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BA214" i="1"/>
  <c r="C82" i="11"/>
  <c r="C62" i="11"/>
  <c r="BA349" i="1"/>
  <c r="A340" i="11"/>
  <c r="BA239" i="1"/>
  <c r="BA237" i="1"/>
  <c r="BA235" i="1"/>
  <c r="BA197" i="1"/>
  <c r="BA240" i="1"/>
  <c r="BA236" i="1"/>
  <c r="BA198" i="1"/>
  <c r="BA196" i="1"/>
  <c r="C95" i="11"/>
  <c r="C363" i="11"/>
  <c r="BA347" i="1"/>
  <c r="BA331" i="1"/>
  <c r="BA273" i="1"/>
  <c r="A261" i="11"/>
  <c r="BA252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65" i="11"/>
  <c r="A262" i="11"/>
  <c r="A222" i="11"/>
  <c r="A255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22" i="1" l="1"/>
  <c r="BA334" i="1"/>
  <c r="A283" i="11"/>
  <c r="A339" i="11"/>
  <c r="A349" i="11"/>
  <c r="BA308" i="1"/>
  <c r="A311" i="11"/>
  <c r="BA262" i="1"/>
  <c r="A213" i="11"/>
  <c r="A159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<sst xmlns="http://schemas.openxmlformats.org/spreadsheetml/2006/main" count="90598" uniqueCount="45018">
  <si>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</si>
  <si>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</si>
  <si>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</si>
  <si>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</si>
  <si>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</si>
  <si>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</si>
  <si>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</si>
  <si>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</si>
  <si>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</si>
  <si>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</si>
  <si>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</si>
  <si>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</si>
  <si>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</si>
  <si>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</si>
  <si>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</si>
  <si>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</si>
  <si>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</si>
  <si>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</si>
  <si>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</si>
  <si>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</si>
  <si>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</si>
  <si>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</si>
  <si>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</si>
  <si>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</si>
  <si>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</si>
  <si>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</si>
  <si>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</si>
  <si>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</si>
  <si>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</si>
  <si>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</si>
  <si>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</si>
  <si>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</si>
  <si>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</si>
  <si>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</si>
  <si>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</si>
  <si>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</si>
  <si>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</si>
  <si>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</si>
  <si>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</si>
  <si>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</si>
  <si>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</si>
  <si>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</si>
  <si>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</si>
  <si>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</si>
  <si>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</si>
  <si>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</si>
  <si>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</si>
  <si>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</si>
  <si>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</si>
  <si>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</si>
  <si>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</si>
  <si>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</si>
  <si>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</si>
  <si>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</si>
  <si>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</si>
  <si>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</si>
  <si>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</si>
  <si>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</si>
  <si>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</si>
  <si>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</si>
  <si>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</si>
  <si>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</si>
  <si>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</si>
  <si>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</si>
  <si>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</si>
  <si>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</si>
  <si>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</si>
  <si>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</si>
  <si>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</si>
  <si>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</si>
  <si>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</si>
  <si>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</si>
  <si>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</si>
  <si>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</si>
  <si>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</si>
  <si>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</si>
  <si>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</si>
  <si>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</si>
  <si>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</si>
  <si>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</si>
  <si>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</si>
  <si>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</si>
  <si>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</si>
  <si>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</si>
  <si>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</si>
  <si>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</si>
  <si>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</si>
  <si>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</si>
  <si>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</si>
  <si>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</si>
  <si>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</si>
  <si>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</si>
  <si>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</si>
  <si>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</si>
  <si>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</si>
  <si>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</si>
  <si>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</si>
  <si>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</si>
  <si>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</si>
  <si>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</si>
  <si>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</si>
  <si>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</si>
  <si>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</si>
  <si>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</si>
  <si>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</si>
  <si>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</si>
  <si>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</si>
  <si>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</si>
  <si>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</si>
  <si>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</si>
  <si>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</si>
  <si>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</si>
  <si>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</si>
  <si>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</si>
  <si>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</si>
  <si>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</si>
  <si>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</si>
  <si>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</si>
  <si>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</si>
  <si>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</si>
  <si>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</si>
  <si>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</si>
  <si>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</si>
  <si>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</si>
  <si>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</si>
  <si>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</si>
  <si>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</si>
  <si>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</si>
  <si>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</si>
  <si>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</si>
  <si>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</si>
  <si>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</si>
  <si>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</si>
  <si>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</si>
  <si>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</si>
  <si>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</si>
  <si>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</si>
  <si>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</si>
  <si>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</si>
  <si>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</si>
  <si>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</si>
  <si>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</si>
  <si>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</si>
  <si>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</si>
  <si>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</si>
  <si>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</si>
  <si>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</si>
  <si>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</si>
  <si>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</si>
  <si>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</si>
  <si>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</si>
  <si>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</si>
  <si>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</si>
  <si>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</si>
  <si>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</si>
  <si>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</si>
  <si>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</si>
  <si>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</si>
  <si>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</si>
  <si>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</si>
  <si>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</si>
  <si>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</si>
  <si>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</si>
  <si>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</si>
  <si>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</si>
  <si>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</si>
  <si>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</si>
  <si>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</si>
  <si>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</si>
  <si>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</si>
  <si>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</si>
  <si>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</si>
  <si>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</si>
  <si>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</si>
  <si>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</si>
  <si>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</si>
  <si>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</si>
  <si>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</si>
  <si>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</si>
  <si>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</si>
  <si>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</si>
  <si>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</si>
  <si>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</si>
  <si>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</si>
  <si>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</si>
  <si>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</si>
  <si>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</si>
  <si>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</si>
  <si>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</si>
  <si>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</si>
  <si>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</si>
  <si>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</si>
  <si>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</si>
  <si>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</si>
  <si>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</si>
  <si>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</si>
  <si>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</si>
  <si>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</si>
  <si>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</si>
  <si>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</si>
  <si>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</si>
  <si>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</si>
  <si>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</si>
  <si>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</si>
  <si>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</si>
  <si>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</si>
  <si>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</si>
  <si>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</si>
  <si>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</si>
  <si>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</si>
  <si>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</si>
  <si>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</si>
  <si>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</si>
  <si>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</si>
  <si>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</si>
  <si>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</si>
  <si>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</si>
  <si>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</si>
  <si>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</si>
  <si>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</si>
  <si>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</si>
  <si>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</si>
  <si>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</si>
  <si>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</si>
  <si>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</si>
  <si>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</si>
  <si>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</si>
  <si>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</si>
  <si>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</si>
  <si>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</si>
  <si>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</si>
  <si>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</si>
  <si>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</si>
  <si>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</si>
  <si>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</si>
  <si>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</si>
  <si>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</si>
  <si>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</si>
  <si>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</si>
  <si>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</si>
  <si>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</si>
  <si>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</si>
  <si>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</si>
  <si>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</si>
  <si>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</si>
  <si>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</si>
  <si>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</si>
  <si>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</si>
  <si>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</si>
  <si>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</si>
  <si>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</si>
  <si>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</si>
  <si>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</si>
  <si>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</si>
  <si>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</si>
  <si>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</si>
  <si>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</si>
  <si>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</si>
  <si>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</si>
  <si>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</si>
  <si>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</si>
  <si>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</si>
  <si>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</si>
  <si>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</si>
  <si>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</si>
  <si>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</si>
  <si>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</si>
  <si>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</si>
  <si>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</si>
  <si>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</si>
  <si>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</si>
  <si>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</si>
  <si>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</si>
  <si>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</si>
  <si>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</si>
  <si>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</si>
  <si>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</si>
  <si>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</si>
  <si>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</si>
  <si>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</si>
  <si>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</si>
  <si>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</si>
  <si>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</si>
  <si>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</si>
  <si>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</si>
  <si>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</si>
  <si>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</si>
  <si>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</si>
  <si>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</si>
  <si>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</si>
  <si>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</si>
  <si>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</si>
  <si>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</si>
  <si>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</si>
  <si>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</si>
  <si>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</si>
  <si>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</si>
  <si>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</si>
  <si>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</si>
  <si>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</si>
  <si>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</si>
  <si>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</si>
  <si>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</si>
  <si>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</si>
  <si>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</si>
  <si>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</si>
  <si>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</si>
  <si>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</si>
  <si>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</si>
  <si>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</si>
  <si>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</si>
  <si>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</si>
  <si>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</si>
  <si>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</si>
  <si>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</si>
  <si>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</si>
  <si>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</si>
  <si>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</si>
  <si>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</si>
  <si>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</si>
  <si>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</si>
  <si>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</si>
  <si>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</si>
  <si>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</si>
  <si>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</si>
  <si>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</si>
  <si>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</si>
  <si>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</si>
  <si>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</si>
  <si>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</si>
  <si>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</si>
  <si>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</si>
  <si>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</si>
  <si>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</si>
  <si>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</si>
  <si>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</si>
  <si>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</si>
  <si>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</si>
  <si>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</si>
  <si>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</si>
  <si>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</si>
  <si>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</si>
  <si>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</si>
  <si>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</si>
  <si>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</si>
  <si>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</si>
  <si>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</si>
  <si>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</si>
  <si>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</si>
  <si>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</si>
  <si>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</si>
  <si>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</si>
  <si>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</si>
  <si>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</si>
  <si>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</si>
  <si>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</si>
  <si>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</si>
  <si>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</si>
  <si>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</si>
  <si>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</si>
  <si>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</si>
  <si>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</si>
  <si>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</si>
  <si>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</si>
  <si>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</si>
  <si>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</si>
  <si>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</si>
  <si>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</si>
  <si>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</si>
  <si>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</si>
  <si>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</si>
  <si>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</si>
  <si>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</si>
  <si>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</si>
  <si>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</si>
  <si>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</si>
  <si>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</si>
  <si>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</si>
  <si>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</si>
  <si>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</si>
  <si>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</si>
  <si>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</si>
  <si>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</si>
  <si>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</si>
  <si>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</si>
  <si>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</si>
  <si>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</si>
  <si>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</si>
  <si>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</si>
  <si>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</si>
  <si>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</si>
  <si>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</si>
  <si>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</si>
  <si>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</si>
  <si>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</si>
  <si>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</si>
  <si>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</si>
  <si>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</si>
  <si>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</si>
  <si>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</si>
  <si>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</si>
  <si>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</si>
  <si>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</si>
  <si>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</si>
  <si>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</si>
  <si>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</si>
  <si>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</si>
  <si>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</si>
  <si>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</si>
  <si>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</si>
  <si>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</si>
  <si>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</si>
  <si>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</si>
  <si>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</si>
  <si>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</si>
  <si>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</si>
  <si>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</si>
  <si>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</si>
  <si>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</si>
  <si>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</si>
  <si>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</si>
  <si>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</si>
  <si>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</si>
  <si>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</si>
  <si>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</si>
  <si>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</si>
  <si>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</si>
  <si>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</si>
  <si>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</si>
  <si>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</si>
  <si>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</si>
  <si>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</si>
  <si>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</si>
  <si>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</si>
  <si>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</si>
  <si>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</si>
  <si>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</si>
  <si>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</si>
  <si>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</si>
  <si>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</si>
  <si>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</si>
  <si>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</si>
  <si>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</si>
  <si>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</si>
  <si>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</si>
  <si>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</si>
  <si>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</si>
  <si>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</si>
  <si>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</si>
  <si>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</si>
  <si>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</si>
  <si>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</si>
  <si>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</si>
  <si>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</si>
  <si>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</si>
  <si>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</si>
  <si>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</si>
  <si>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</si>
  <si>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</si>
  <si>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</si>
  <si>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</si>
  <si>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</si>
  <si>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</si>
  <si>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</si>
  <si>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</si>
  <si>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</si>
  <si>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</si>
  <si>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</si>
  <si>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</si>
  <si>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</si>
  <si>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</si>
  <si>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</si>
  <si>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</si>
  <si>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</si>
  <si>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</si>
  <si>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</si>
  <si>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</si>
  <si>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</si>
  <si>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</si>
  <si>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</si>
  <si>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</si>
  <si>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</si>
  <si>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</si>
  <si>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</si>
  <si>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</si>
  <si>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</si>
  <si>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</si>
  <si>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</si>
  <si>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</si>
  <si>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</si>
  <si>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</si>
  <si>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</si>
  <si>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</si>
  <si>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</si>
  <si>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</si>
  <si>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</si>
  <si>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</si>
  <si>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</si>
  <si>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</si>
  <si>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</si>
  <si>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</si>
  <si>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</si>
  <si>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</si>
  <si>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</si>
  <si>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</si>
  <si>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</si>
  <si>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</si>
  <si>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</si>
  <si>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</si>
  <si>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</si>
  <si>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</si>
  <si>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</si>
  <si>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</si>
  <si>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</si>
  <si>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</si>
  <si>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</si>
  <si>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</si>
  <si>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</si>
  <si>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</si>
  <si>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</si>
  <si>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</si>
  <si>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</si>
  <si>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</si>
  <si>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</si>
  <si>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</si>
  <si>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</si>
  <si>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</si>
  <si>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</si>
  <si>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</si>
  <si>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</si>
  <si>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</si>
  <si>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</si>
  <si>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</si>
  <si>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</si>
  <si>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</si>
  <si>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</si>
  <si>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</si>
  <si>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</si>
  <si>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</si>
  <si>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</si>
  <si>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</si>
  <si>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</si>
  <si>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</si>
  <si>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</si>
  <si>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</si>
  <si>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</si>
  <si>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</si>
  <si>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</si>
  <si>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</si>
  <si>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</si>
  <si>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</si>
  <si>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</si>
  <si>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</si>
  <si>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</si>
  <si>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</si>
  <si>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</si>
  <si>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</si>
  <si>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</si>
  <si>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</si>
  <si>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</si>
  <si>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</si>
  <si>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</si>
  <si>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</si>
  <si>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</si>
  <si>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</si>
  <si>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</si>
  <si>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</si>
  <si>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</si>
  <si>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</si>
  <si>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</si>
  <si>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</si>
  <si>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</si>
  <si>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</si>
  <si>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</si>
  <si>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</si>
  <si>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</si>
  <si>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</si>
  <si>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</si>
  <si>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</si>
  <si>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</si>
  <si>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</si>
  <si>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</si>
  <si>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</si>
  <si>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</si>
  <si>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</si>
  <si>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</si>
  <si>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</si>
  <si>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</si>
  <si>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</si>
  <si>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</si>
  <si>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</si>
  <si>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</si>
  <si>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</si>
  <si>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</si>
  <si>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</si>
  <si>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</si>
  <si>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</si>
  <si>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</si>
  <si>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</si>
  <si>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</si>
  <si>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</si>
  <si>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</si>
  <si>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</si>
  <si>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</si>
  <si>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</si>
  <si>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</si>
  <si>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</si>
  <si>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</si>
  <si>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</si>
  <si>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</si>
  <si>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</si>
  <si>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</si>
  <si>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</si>
  <si>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</si>
  <si>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</si>
  <si>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</si>
  <si>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</si>
  <si>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</si>
  <si>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</si>
  <si>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</si>
  <si>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</si>
  <si>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</si>
  <si>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</si>
  <si>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</si>
  <si>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</si>
  <si>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</si>
  <si>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</si>
  <si>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</si>
  <si>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</si>
  <si>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</si>
  <si>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</si>
  <si>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</si>
  <si>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</si>
  <si>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</si>
  <si>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</si>
  <si>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</si>
  <si>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</si>
  <si>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</si>
  <si>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</si>
  <si>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</si>
  <si>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</si>
  <si>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</si>
  <si>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</si>
  <si>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</si>
  <si>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</si>
  <si>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</si>
  <si>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</si>
  <si>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</si>
  <si>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</si>
  <si>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</si>
  <si>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</si>
  <si>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</si>
  <si>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</si>
  <si>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</si>
  <si>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</si>
  <si>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</si>
  <si>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</si>
  <si>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</si>
  <si>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</si>
  <si>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</si>
  <si>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</si>
  <si>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</si>
  <si>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</si>
  <si>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</si>
  <si>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</si>
  <si>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</si>
  <si>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</si>
  <si>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</si>
  <si>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</si>
  <si>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</si>
  <si>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</si>
  <si>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</si>
  <si>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</si>
  <si>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</si>
  <si>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</si>
  <si>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</si>
  <si>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</si>
  <si>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</si>
  <si>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</si>
  <si>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</si>
  <si>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</si>
  <si>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</si>
  <si>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</si>
  <si>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</si>
  <si>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</si>
  <si>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</si>
  <si>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</si>
  <si>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</si>
  <si>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</si>
  <si>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</si>
  <si>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</si>
  <si>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</si>
  <si>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</si>
  <si>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</si>
  <si>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</si>
  <si>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</si>
  <si>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</si>
  <si>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</si>
  <si>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</si>
  <si>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</si>
  <si>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</si>
  <si>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</si>
  <si>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</si>
  <si>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</si>
  <si>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</si>
  <si>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</si>
  <si>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</si>
  <si>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</si>
  <si>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</si>
  <si>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</si>
  <si>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</si>
  <si>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</si>
  <si>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</si>
  <si>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</si>
  <si>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</si>
  <si>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</si>
  <si>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</si>
  <si>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</si>
  <si>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</si>
  <si>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</si>
  <si>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</si>
  <si>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</si>
  <si>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</si>
  <si>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</si>
  <si>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</si>
  <si>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</si>
  <si>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</si>
  <si>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</si>
  <si>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</si>
  <si>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</si>
  <si>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</si>
  <si>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</si>
  <si>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</si>
  <si>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</si>
  <si>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</si>
  <si>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</si>
  <si>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</si>
  <si>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</si>
  <si>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</si>
  <si>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</si>
  <si>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</si>
  <si>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</si>
  <si>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</si>
  <si>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</si>
  <si>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</si>
  <si>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</si>
  <si>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</si>
  <si>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</si>
  <si>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</si>
  <si>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</si>
  <si>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</si>
  <si>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</si>
  <si>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</si>
  <si>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</si>
  <si>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</si>
  <si>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</si>
  <si>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</si>
  <si>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</si>
  <si>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</si>
  <si>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</si>
  <si>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</si>
  <si>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</si>
  <si>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</si>
  <si>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</si>
  <si>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</si>
  <si>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</si>
  <si>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</si>
  <si>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</si>
  <si>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</si>
  <si>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</si>
  <si>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</si>
  <si>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</si>
  <si>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</si>
  <si>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</si>
  <si>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</si>
  <si>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</si>
  <si>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</si>
  <si>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</si>
  <si>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</si>
  <si>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</si>
  <si>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</si>
  <si>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</si>
  <si>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</si>
  <si>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</si>
  <si>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</si>
  <si>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</si>
  <si>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</si>
  <si>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</si>
  <si>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</si>
  <si>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</si>
  <si>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</si>
  <si>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</si>
  <si>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</si>
  <si>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</si>
  <si>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</si>
  <si>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</si>
  <si>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</si>
  <si>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</si>
  <si>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</si>
  <si>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</si>
  <si>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</si>
  <si>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</si>
  <si>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</si>
  <si>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</si>
  <si>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</si>
  <si>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</si>
  <si>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</si>
  <si>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</si>
  <si>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</si>
  <si>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</si>
  <si>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</si>
  <si>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</si>
  <si>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</si>
  <si>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</si>
  <si>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</si>
  <si>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</si>
  <si>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</si>
  <si>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</si>
  <si>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</si>
  <si>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</si>
  <si>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</si>
  <si>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</si>
  <si>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</si>
  <si>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</si>
  <si>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</si>
  <si>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</si>
  <si>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</si>
  <si>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</si>
  <si>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</si>
  <si>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</si>
  <si>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</si>
  <si>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</si>
  <si>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</si>
  <si>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</si>
  <si>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</si>
  <si>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</si>
  <si>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</si>
  <si>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</si>
  <si>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</si>
  <si>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</si>
  <si>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</si>
  <si>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</si>
  <si>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</si>
  <si>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</si>
  <si>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</si>
  <si>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</si>
  <si>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</si>
  <si>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</si>
  <si>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</si>
  <si>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</si>
  <si>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</si>
  <si>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</si>
  <si>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</si>
  <si>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</si>
  <si>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</si>
  <si>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</si>
  <si>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</si>
  <si>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</si>
  <si>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</si>
  <si>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</si>
  <si>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</si>
  <si>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</si>
  <si>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</si>
  <si>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</si>
  <si>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</si>
  <si>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</si>
  <si>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</si>
  <si>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</si>
  <si>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</si>
  <si>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</si>
  <si>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</si>
  <si>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</si>
  <si>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</si>
  <si>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</si>
  <si>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</si>
  <si>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</si>
  <si>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</si>
  <si>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</si>
  <si>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</si>
  <si>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</si>
  <si>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</si>
  <si>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</si>
  <si>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</si>
  <si>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</si>
  <si>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</si>
  <si>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</si>
  <si>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</si>
  <si>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</si>
  <si>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</si>
  <si>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</si>
  <si>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</si>
  <si>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</si>
  <si>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</si>
  <si>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</si>
  <si>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</si>
  <si>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</si>
  <si>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</si>
  <si>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</si>
  <si>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</si>
  <si>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</si>
  <si>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</si>
  <si>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</si>
  <si>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</si>
  <si>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</si>
  <si>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</si>
  <si>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</si>
  <si>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</si>
  <si>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</si>
  <si>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</si>
  <si>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</si>
  <si>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</si>
  <si>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</si>
  <si>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</si>
  <si>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</si>
  <si>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</si>
  <si>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</si>
  <si>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</si>
  <si>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</si>
  <si>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</si>
  <si>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</si>
  <si>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</si>
  <si>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</si>
  <si>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</si>
  <si>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</si>
  <si>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</si>
  <si>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</si>
  <si>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</si>
  <si>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</si>
  <si>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</si>
  <si>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</si>
  <si>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</si>
  <si>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</si>
  <si>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</si>
  <si>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</si>
  <si>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</si>
  <si>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</si>
  <si>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</si>
  <si>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</si>
  <si>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</si>
  <si>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</si>
  <si>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</si>
  <si>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</si>
  <si>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</si>
  <si>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</si>
  <si>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</si>
  <si>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</si>
  <si>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</si>
  <si>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</si>
  <si>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</si>
  <si>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</si>
  <si>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</si>
  <si>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</si>
  <si>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</si>
  <si>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</si>
  <si>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</si>
  <si>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</si>
  <si>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</si>
  <si>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</si>
  <si>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</si>
  <si>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</si>
  <si>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</si>
  <si>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</si>
  <si>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</si>
  <si>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</si>
  <si>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</si>
  <si>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</si>
  <si>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</si>
  <si>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</si>
  <si>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</si>
  <si>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</si>
  <si>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</si>
  <si>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</si>
  <si>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</si>
  <si>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</si>
  <si>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</si>
  <si>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</si>
  <si>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</si>
  <si>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</si>
  <si>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</si>
  <si>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</si>
  <si>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</si>
  <si>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</si>
  <si>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</si>
  <si>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</si>
  <si>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</si>
  <si>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</si>
  <si>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</si>
  <si>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</si>
  <si>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</si>
  <si>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</si>
  <si>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</si>
  <si>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</si>
  <si>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</si>
  <si>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</si>
  <si>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</si>
  <si>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</si>
  <si>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</si>
  <si>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</si>
  <si>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</si>
  <si>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</si>
  <si>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</si>
  <si>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</si>
  <si>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</si>
  <si>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</si>
  <si>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</si>
  <si>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</si>
  <si>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</si>
  <si>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</si>
  <si>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</si>
  <si>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</si>
  <si>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</si>
  <si>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</si>
  <si>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</si>
  <si>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</si>
  <si>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</si>
  <si>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</si>
  <si>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</si>
  <si>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</si>
  <si>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</si>
  <si>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</si>
  <si>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</si>
  <si>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</si>
  <si>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</si>
  <si>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</si>
  <si>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</si>
  <si>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</si>
  <si>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</si>
  <si>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</si>
  <si>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</si>
  <si>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</si>
  <si>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</si>
  <si>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</si>
  <si>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</si>
  <si>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</si>
  <si>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</si>
  <si>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</si>
  <si>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</si>
  <si>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</si>
  <si>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</si>
  <si>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</si>
  <si>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</si>
  <si>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</si>
  <si>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</si>
  <si>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</si>
  <si>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</si>
  <si>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</si>
  <si>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</si>
  <si>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</si>
  <si>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</si>
  <si>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</si>
  <si>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</si>
  <si>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</si>
  <si>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</si>
  <si>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</si>
  <si>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</si>
  <si>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</si>
  <si>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</si>
  <si>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</si>
  <si>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</si>
  <si>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</si>
  <si>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</si>
  <si>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</si>
  <si>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</si>
  <si>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</si>
  <si>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</si>
  <si>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</si>
  <si>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</si>
  <si>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</si>
  <si>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</si>
  <si>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</si>
  <si>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</si>
  <si>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</si>
  <si>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</si>
  <si>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</si>
  <si>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</si>
  <si>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</si>
  <si>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</si>
  <si>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</si>
  <si>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</si>
  <si>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</si>
  <si>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</si>
  <si>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</si>
  <si>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</si>
  <si>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</si>
  <si>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</si>
  <si>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</si>
  <si>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</si>
  <si>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</si>
  <si>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</si>
  <si>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</si>
  <si>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</si>
  <si>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</si>
  <si>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</si>
  <si>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</si>
  <si>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</si>
  <si>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</si>
  <si>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</si>
  <si>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</si>
  <si>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</si>
  <si>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</si>
  <si>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</si>
  <si>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</si>
  <si>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</si>
  <si>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</si>
  <si>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</si>
  <si>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</si>
  <si>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</si>
  <si>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</si>
  <si>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</si>
  <si>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</si>
  <si>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</si>
  <si>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</si>
  <si>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</si>
  <si>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</si>
  <si>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</si>
  <si>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</si>
  <si>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</si>
  <si>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</si>
  <si>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</si>
  <si>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</si>
  <si>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</si>
  <si>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</si>
  <si>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</si>
  <si>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</si>
  <si>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</si>
  <si>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</si>
  <si>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</si>
  <si>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</si>
  <si>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</si>
  <si>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</si>
  <si>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</si>
  <si>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</si>
  <si>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</si>
  <si>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</si>
  <si>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</si>
  <si>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</si>
  <si>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</si>
  <si>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</si>
  <si>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</si>
  <si>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</si>
  <si>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</si>
  <si>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</si>
  <si>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</si>
  <si>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</si>
  <si>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</si>
  <si>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</si>
  <si>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</si>
  <si>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</si>
  <si>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</si>
  <si>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</si>
  <si>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</si>
  <si>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</si>
  <si>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</si>
  <si>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</si>
  <si>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</si>
  <si>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</si>
  <si>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</si>
  <si>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</si>
  <si>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</si>
  <si>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</si>
  <si>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</si>
  <si>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</si>
  <si>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</si>
  <si>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</si>
  <si>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</si>
  <si>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</si>
  <si>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</si>
  <si>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</si>
  <si>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</si>
  <si>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</si>
  <si>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</si>
  <si>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</si>
  <si>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</si>
  <si>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</si>
  <si>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</si>
  <si>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</si>
  <si>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</si>
  <si>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</si>
  <si>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</si>
  <si>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</si>
  <si>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</si>
  <si>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</si>
  <si>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</si>
  <si>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</si>
  <si>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</si>
  <si>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</si>
  <si>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</si>
  <si>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</si>
  <si>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</si>
  <si>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</si>
  <si>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</si>
  <si>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</si>
  <si>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</si>
  <si>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</si>
  <si>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</si>
  <si>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</si>
  <si>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</si>
  <si>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</si>
  <si>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</si>
  <si>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</si>
  <si>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</si>
  <si>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</si>
  <si>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</si>
  <si>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</si>
  <si>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</si>
  <si>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</si>
  <si>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</si>
  <si>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</si>
  <si>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</si>
  <si>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</si>
  <si>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</si>
  <si>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</si>
  <si>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</si>
  <si>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</si>
  <si>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</si>
  <si>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</si>
  <si>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</si>
  <si>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</si>
  <si>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</si>
  <si>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</si>
  <si>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</si>
  <si>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</si>
  <si>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</si>
  <si>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</si>
  <si>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</si>
  <si>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</si>
  <si>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</si>
  <si>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</si>
  <si>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</si>
  <si>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</si>
  <si>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</si>
  <si>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</si>
  <si>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</si>
  <si>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</si>
  <si>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</si>
  <si>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</si>
  <si>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</si>
  <si>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</si>
  <si>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</si>
  <si>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</si>
  <si>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</si>
  <si>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</si>
  <si>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</si>
  <si>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</si>
  <si>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</si>
  <si>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</si>
  <si>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</si>
  <si>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</si>
  <si>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</si>
  <si>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</si>
  <si>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</si>
  <si>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</si>
  <si>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</si>
  <si>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</si>
  <si>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</si>
  <si>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</si>
  <si>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</si>
  <si>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</si>
  <si>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</si>
  <si>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</si>
  <si>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</si>
  <si>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</si>
  <si>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</si>
  <si>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</si>
  <si>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</si>
  <si>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</si>
  <si>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</si>
  <si>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</si>
  <si>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</si>
  <si>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</si>
  <si>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</si>
  <si>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</si>
  <si>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</si>
  <si>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</si>
  <si>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</si>
  <si>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</si>
  <si>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</si>
  <si>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</si>
  <si>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</si>
  <si>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</si>
  <si>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</si>
  <si>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</si>
  <si>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</si>
  <si>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</si>
  <si>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</si>
  <si>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</si>
  <si>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</si>
  <si>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</si>
  <si>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</si>
  <si>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</si>
  <si>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</si>
  <si>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</si>
  <si>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</si>
  <si>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</si>
  <si>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</si>
  <si>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</si>
  <si>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</si>
  <si>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</si>
  <si>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</si>
  <si>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</si>
  <si>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</si>
  <si>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</si>
  <si>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</si>
  <si>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</si>
  <si>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</si>
  <si>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</si>
  <si>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</si>
  <si>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</si>
  <si>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</si>
  <si>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</si>
  <si>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</si>
  <si>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</si>
  <si>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</si>
  <si>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</si>
  <si>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</si>
  <si>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</si>
  <si>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</si>
  <si>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</si>
  <si>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</si>
  <si>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</si>
  <si>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</si>
  <si>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</si>
  <si>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</si>
  <si>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</si>
  <si>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</si>
  <si>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</si>
  <si>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</si>
  <si>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</si>
  <si>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</si>
  <si>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</si>
  <si>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</si>
  <si>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</si>
  <si>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</si>
  <si>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</si>
  <si>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</si>
  <si>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</si>
  <si>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</si>
  <si>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</si>
  <si>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</si>
  <si>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</si>
  <si>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</si>
  <si>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</si>
  <si>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</si>
  <si>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</si>
  <si>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</si>
  <si>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</si>
  <si>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</si>
  <si>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</si>
  <si>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</si>
  <si>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</si>
  <si>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</si>
  <si>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</si>
  <si>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</si>
  <si>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</si>
  <si>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</si>
  <si>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</si>
  <si>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</si>
  <si>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</si>
  <si>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</si>
  <si>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</si>
  <si>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</si>
  <si>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</si>
  <si>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</si>
  <si>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</si>
  <si>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</si>
  <si>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</si>
  <si>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</si>
  <si>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</si>
  <si>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</si>
  <si>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</si>
  <si>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</si>
  <si>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</si>
  <si>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</si>
  <si>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</si>
  <si>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</si>
  <si>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</si>
  <si>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</si>
  <si>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</si>
  <si>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</si>
  <si>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</si>
  <si>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</si>
  <si>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</si>
  <si>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</si>
  <si>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</si>
  <si>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</si>
  <si>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</si>
  <si>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</si>
  <si>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</si>
  <si>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</si>
  <si>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</si>
  <si>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</si>
  <si>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</si>
  <si>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</si>
  <si>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</si>
  <si>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</si>
  <si>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</si>
  <si>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</si>
  <si>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</si>
  <si>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</si>
  <si>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</si>
  <si>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</si>
  <si>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</si>
  <si>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</si>
  <si>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</si>
  <si>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</si>
  <si>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</si>
  <si>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</si>
  <si>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</si>
  <si>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</si>
  <si>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</si>
  <si>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</si>
  <si>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</si>
  <si>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</si>
  <si>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</si>
  <si>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</si>
  <si>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</si>
  <si>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</si>
  <si>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</si>
  <si>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</si>
  <si>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</si>
  <si>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</si>
  <si>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</si>
  <si>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</si>
  <si>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</si>
  <si>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</si>
  <si>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</si>
  <si>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</si>
  <si>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</si>
  <si>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</si>
  <si>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</si>
  <si>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</si>
  <si>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</si>
  <si>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</si>
  <si>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</si>
  <si>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</si>
  <si>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</si>
  <si>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</si>
  <si>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</si>
  <si>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</si>
  <si>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</si>
  <si>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</si>
  <si>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</si>
  <si>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</si>
  <si>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</si>
  <si>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</si>
  <si>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</si>
  <si>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</si>
  <si>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</si>
  <si>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</si>
  <si>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</si>
  <si>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</si>
  <si>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</si>
  <si>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</si>
  <si>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</si>
  <si>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</si>
  <si>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</si>
  <si>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</si>
  <si>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</si>
  <si>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</si>
  <si>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</si>
  <si>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</si>
  <si>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</si>
  <si>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</si>
  <si>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</si>
  <si>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</si>
  <si>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</si>
  <si>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</si>
  <si>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</si>
  <si>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</si>
  <si>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</si>
  <si>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</si>
  <si>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</si>
  <si>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</si>
  <si>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</si>
  <si>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</si>
  <si>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</si>
  <si>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</si>
  <si>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</si>
  <si>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</si>
  <si>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</si>
  <si>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</si>
  <si>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</si>
  <si>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</si>
  <si>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</si>
  <si>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</si>
  <si>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</si>
  <si>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</si>
  <si>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</si>
  <si>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</si>
  <si>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</si>
  <si>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</si>
  <si>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</si>
  <si>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</si>
  <si>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</si>
  <si>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</si>
  <si>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</si>
  <si>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</si>
  <si>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</si>
  <si>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</si>
  <si>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</si>
  <si>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</si>
  <si>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</si>
  <si>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</si>
  <si>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</si>
  <si>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</si>
  <si>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</si>
  <si>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</si>
  <si>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</si>
  <si>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</si>
  <si>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</si>
  <si>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</si>
  <si>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</si>
  <si>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</si>
  <si>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</si>
  <si>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</si>
  <si>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</si>
  <si>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</si>
  <si>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</si>
  <si>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</si>
  <si>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</si>
  <si>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</si>
  <si>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</si>
  <si>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</si>
  <si>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</si>
  <si>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</si>
  <si>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</si>
  <si>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</si>
  <si>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</si>
  <si>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</si>
  <si>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</si>
  <si>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</si>
  <si>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</si>
  <si>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</si>
  <si>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</si>
  <si>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</si>
  <si>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</si>
  <si>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</si>
  <si>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</si>
  <si>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</si>
  <si>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</si>
  <si>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</si>
  <si>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</si>
  <si>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</si>
  <si>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</si>
  <si>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</si>
  <si>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</si>
  <si>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</si>
  <si>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</si>
  <si>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</si>
  <si>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</si>
  <si>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</si>
  <si>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</si>
  <si>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</si>
  <si>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</si>
  <si>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</si>
  <si>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</si>
  <si>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</si>
  <si>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</si>
  <si>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</si>
  <si>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</si>
  <si>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</si>
  <si>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</si>
  <si>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</si>
  <si>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</si>
  <si>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</si>
  <si>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</si>
  <si>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</si>
  <si>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</si>
  <si>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</si>
  <si>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</si>
  <si>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</si>
  <si>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</si>
  <si>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</si>
  <si>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</si>
  <si>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</si>
  <si>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</si>
  <si>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</si>
  <si>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</si>
  <si>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</si>
  <si>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</si>
  <si>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</si>
  <si>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</si>
  <si>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</si>
  <si>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</si>
  <si>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</si>
  <si>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</si>
  <si>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</si>
  <si>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</si>
  <si>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</si>
  <si>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</si>
  <si>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</si>
  <si>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</si>
  <si>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</si>
  <si>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</si>
  <si>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</si>
  <si>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</si>
  <si>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</si>
  <si>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</si>
  <si>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</si>
  <si>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</si>
  <si>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</si>
  <si>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</si>
  <si>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</si>
  <si>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</si>
  <si>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</si>
  <si>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</si>
  <si>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</si>
  <si>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</si>
  <si>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</si>
  <si>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</si>
  <si>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</si>
  <si>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</si>
  <si>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</si>
  <si>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</si>
  <si>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</si>
  <si>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</si>
  <si>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</si>
  <si>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</si>
  <si>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</si>
  <si>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</si>
  <si>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</si>
  <si>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</si>
  <si>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</si>
  <si>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</si>
  <si>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</si>
  <si>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</si>
  <si>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</si>
  <si>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</si>
  <si>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</si>
  <si>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</si>
  <si>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</si>
  <si>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</si>
  <si>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</si>
  <si>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</si>
  <si>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</si>
  <si>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</si>
  <si>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</si>
  <si>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</si>
  <si>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</si>
  <si>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</si>
  <si>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</si>
  <si>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</si>
  <si>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</si>
  <si>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</si>
  <si>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</si>
  <si>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</si>
  <si>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</si>
  <si>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</si>
  <si>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</si>
  <si>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</si>
  <si>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</si>
  <si>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</si>
  <si>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</si>
  <si>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</si>
  <si>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</si>
  <si>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</si>
  <si>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</si>
  <si>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</si>
  <si>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</si>
  <si>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</si>
  <si>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</si>
  <si>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</si>
  <si>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</si>
  <si>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</si>
  <si>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</si>
  <si>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</si>
  <si>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</si>
  <si>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</si>
  <si>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</si>
  <si>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</si>
  <si>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</si>
  <si>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</si>
  <si>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</si>
  <si>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</si>
  <si>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</si>
  <si>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</si>
  <si>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</si>
  <si>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</si>
  <si>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</si>
  <si>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</si>
  <si>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</si>
  <si>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</si>
  <si>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</si>
  <si>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</si>
  <si>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</si>
  <si>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</si>
  <si>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</si>
  <si>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</si>
  <si>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</si>
  <si>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</si>
  <si>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</si>
  <si>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</si>
  <si>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</si>
  <si>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</si>
  <si>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</si>
  <si>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</si>
  <si>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</si>
  <si>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</si>
  <si>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</si>
  <si>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</si>
  <si>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</si>
  <si>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</si>
  <si>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</si>
  <si>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</si>
  <si>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</si>
  <si>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</si>
  <si>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</si>
  <si>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</si>
  <si>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</si>
  <si>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</si>
  <si>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</si>
  <si>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</si>
  <si>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</si>
  <si>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</si>
  <si>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</si>
  <si>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</si>
  <si>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</si>
  <si>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</si>
  <si>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</si>
  <si>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</si>
  <si>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</si>
  <si>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</si>
  <si>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</si>
  <si>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</si>
  <si>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</si>
  <si>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</si>
  <si>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</si>
  <si>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</si>
  <si>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</si>
  <si>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</si>
  <si>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</si>
  <si>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</si>
  <si>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</si>
  <si>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</si>
  <si>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</si>
  <si>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</si>
  <si>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</si>
  <si>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</si>
  <si>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</si>
  <si>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</si>
  <si>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</si>
  <si>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</si>
  <si>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</si>
  <si>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</si>
  <si>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</si>
  <si>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</si>
  <si>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</si>
  <si>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</si>
  <si>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</si>
  <si>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</si>
  <si>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</si>
  <si>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</si>
  <si>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</si>
  <si>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</si>
  <si>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</si>
  <si>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</si>
  <si>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</si>
  <si>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</si>
  <si>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</si>
  <si>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</si>
  <si>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</si>
  <si>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</si>
  <si>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</si>
  <si>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</si>
  <si>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</si>
  <si>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</si>
  <si>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</si>
  <si>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</si>
  <si>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</si>
  <si>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</si>
  <si>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</si>
  <si>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</si>
  <si>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</si>
  <si>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</si>
  <si>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</si>
  <si>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</si>
  <si>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</si>
  <si>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</si>
  <si>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</si>
  <si>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</si>
  <si>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</si>
  <si>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</si>
  <si>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</si>
  <si>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</si>
  <si>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</si>
  <si>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</si>
  <si>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</si>
  <si>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</si>
  <si>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</si>
  <si>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</si>
  <si>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</si>
  <si>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</si>
  <si>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</si>
  <si>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</si>
  <si>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</si>
  <si>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</si>
  <si>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</si>
  <si>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</si>
  <si>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</si>
  <si>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</si>
  <si>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</si>
  <si>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</si>
  <si>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</si>
  <si>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</si>
  <si>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</si>
  <si>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</si>
  <si>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</si>
  <si>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</si>
  <si>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</si>
  <si>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</si>
  <si>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</si>
  <si>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</si>
  <si>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</si>
  <si>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</si>
  <si>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</si>
  <si>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</si>
  <si>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</si>
  <si>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</si>
  <si>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</si>
  <si>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</si>
  <si>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</si>
  <si>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</si>
  <si>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</si>
  <si>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</si>
  <si>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</si>
  <si>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</si>
  <si>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</si>
  <si>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</si>
  <si>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</si>
  <si>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</si>
  <si>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</si>
  <si>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</si>
  <si>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</si>
  <si>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</si>
  <si>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</si>
  <si>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</si>
  <si>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</si>
  <si>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</si>
  <si>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</si>
  <si>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</si>
  <si>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</si>
  <si>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</si>
  <si>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</si>
  <si>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</si>
  <si>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</si>
  <si>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</si>
  <si>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</si>
  <si>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</si>
  <si>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</si>
  <si>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</si>
  <si>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</si>
  <si>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</si>
  <si>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</si>
  <si>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</si>
  <si>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</si>
  <si>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</si>
  <si>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</si>
  <si>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</si>
  <si>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</si>
  <si>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</si>
  <si>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</si>
  <si>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</si>
  <si>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</si>
  <si>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</si>
  <si>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</si>
  <si>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</si>
  <si>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</si>
  <si>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</si>
  <si>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</si>
  <si>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</si>
  <si>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</si>
  <si>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</si>
  <si>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</si>
  <si>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</si>
  <si>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</si>
  <si>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</si>
  <si>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</si>
  <si>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</si>
  <si>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</si>
  <si>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</si>
  <si>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</si>
  <si>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</si>
  <si>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</si>
  <si>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</si>
  <si>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</si>
  <si>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</si>
  <si>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</si>
  <si>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</si>
  <si>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</si>
  <si>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</si>
  <si>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</si>
  <si>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</si>
  <si>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</si>
  <si>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</si>
  <si>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</si>
  <si>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</si>
  <si>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</si>
  <si>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</si>
  <si>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</si>
  <si>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</si>
  <si>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</si>
  <si>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</si>
  <si>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</si>
  <si>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</si>
  <si>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</si>
  <si>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</si>
  <si>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</si>
  <si>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</si>
  <si>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</si>
  <si>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</si>
  <si>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</si>
  <si>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</si>
  <si>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</si>
  <si>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</si>
  <si>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</si>
  <si>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</si>
  <si>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</si>
  <si>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</si>
  <si>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</si>
  <si>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</si>
  <si>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</si>
  <si>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</si>
  <si>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</si>
  <si>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</si>
  <si>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</si>
  <si>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</si>
  <si>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</si>
  <si>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</si>
  <si>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</si>
  <si>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</si>
  <si>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</si>
  <si>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</si>
  <si>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</si>
  <si>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</si>
  <si>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</si>
  <si>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</si>
  <si>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</si>
  <si>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</si>
  <si>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</si>
  <si>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</si>
  <si>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</si>
  <si>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</si>
  <si>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</si>
  <si>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</si>
  <si>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</si>
  <si>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</si>
  <si>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</si>
  <si>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</si>
  <si>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</si>
  <si>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</si>
  <si>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</si>
  <si>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</si>
  <si>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</si>
  <si>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</si>
  <si>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</si>
  <si>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</si>
  <si>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</si>
  <si>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</si>
  <si>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</si>
  <si>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</si>
  <si>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</si>
  <si>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</si>
  <si>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</si>
  <si>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</si>
  <si>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</si>
  <si>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</si>
  <si>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</si>
  <si>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</si>
  <si>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</si>
  <si>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</si>
  <si>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</si>
  <si>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</si>
  <si>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</si>
  <si>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</si>
  <si>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</si>
  <si>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</si>
  <si>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</si>
  <si>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</si>
  <si>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</si>
  <si>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</si>
  <si>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</si>
  <si>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</si>
  <si>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</si>
  <si>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</si>
  <si>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</si>
  <si>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</si>
  <si>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</si>
  <si>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</si>
  <si>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</si>
  <si>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</si>
  <si>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</si>
  <si>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</si>
  <si>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</si>
  <si>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</si>
  <si>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</si>
  <si>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</si>
  <si>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</si>
  <si>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</si>
  <si>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</si>
  <si>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</si>
  <si>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</si>
  <si>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</si>
  <si>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</si>
  <si>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</si>
  <si>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</si>
  <si>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</si>
  <si>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</si>
  <si>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</si>
  <si>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</si>
  <si>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</si>
  <si>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</si>
  <si>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</si>
  <si>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</si>
  <si>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</si>
  <si>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</si>
  <si>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</si>
  <si>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</si>
  <si>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</si>
  <si>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</si>
  <si>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</si>
  <si>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</si>
  <si>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</si>
  <si>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</si>
  <si>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</si>
  <si>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</si>
  <si>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</si>
  <si>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</si>
  <si>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</si>
  <si>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</si>
  <si>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</si>
  <si>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</si>
  <si>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</si>
  <si>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</si>
  <si>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</si>
  <si>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</si>
  <si>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</si>
  <si>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</si>
  <si>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</si>
  <si>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</si>
  <si>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</si>
  <si>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</si>
  <si>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</si>
  <si>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</si>
  <si>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</si>
  <si>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</si>
  <si>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</si>
  <si>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</si>
  <si>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</si>
  <si>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</si>
  <si>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</si>
  <si>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</si>
  <si>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</si>
  <si>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</si>
  <si>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</si>
  <si>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</si>
  <si>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</si>
  <si>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</si>
  <si>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</si>
  <si>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</si>
  <si>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</si>
  <si>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</si>
  <si>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</si>
  <si>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</si>
  <si>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</si>
  <si>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</si>
  <si>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</si>
  <si>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</si>
  <si>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</si>
  <si>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</si>
  <si>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</si>
  <si>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</si>
  <si>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</si>
  <si>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</si>
  <si>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</si>
  <si>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</si>
  <si>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</si>
  <si>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</si>
  <si>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</si>
  <si>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</si>
  <si>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</si>
  <si>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</si>
  <si>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</si>
  <si>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</si>
  <si>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</si>
  <si>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</si>
  <si>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</si>
  <si>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</si>
  <si>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</si>
  <si>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</si>
  <si>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</si>
  <si>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</si>
  <si>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</si>
  <si>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</si>
  <si>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</si>
  <si>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</si>
  <si>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</si>
  <si>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</si>
  <si>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</si>
  <si>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</si>
  <si>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</si>
  <si>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</si>
  <si>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</si>
  <si>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</si>
  <si>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</si>
  <si>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</si>
  <si>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</si>
  <si>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</si>
  <si>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</si>
  <si>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</si>
  <si>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</si>
  <si>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</si>
  <si>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</si>
  <si>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</si>
  <si>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</si>
  <si>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</si>
  <si>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</si>
  <si>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</si>
  <si>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</si>
  <si>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</si>
  <si>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</si>
  <si>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</si>
  <si>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</si>
  <si>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</si>
  <si>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</si>
  <si>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</si>
  <si>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</si>
  <si>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</si>
  <si>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</si>
  <si>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</si>
  <si>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</si>
  <si>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</si>
  <si>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</si>
  <si>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</si>
  <si>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</si>
  <si>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</si>
  <si>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</si>
  <si>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</si>
  <si>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</si>
  <si>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</si>
  <si>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</si>
  <si>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</si>
  <si>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</si>
  <si>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</si>
  <si>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</si>
  <si>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</si>
  <si>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</si>
  <si>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</si>
  <si>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</si>
  <si>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</si>
  <si>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</si>
  <si>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</si>
  <si>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</si>
  <si>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</si>
  <si>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</si>
  <si>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</si>
  <si>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</si>
  <si>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</si>
  <si>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</si>
  <si>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</si>
  <si>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</si>
  <si>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</si>
  <si>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</si>
  <si>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</si>
  <si>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</si>
  <si>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</si>
  <si>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</si>
  <si>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</si>
  <si>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</si>
  <si>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</si>
  <si>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</si>
  <si>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</si>
  <si>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</si>
  <si>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</si>
  <si>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</si>
  <si>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</si>
  <si>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</si>
  <si>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</si>
  <si>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</si>
  <si>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</si>
  <si>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</si>
  <si>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</si>
  <si>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</si>
  <si>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</si>
  <si>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</si>
  <si>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</si>
  <si>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</si>
  <si>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</si>
  <si>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</si>
  <si>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</si>
  <si>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</si>
  <si>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</si>
  <si>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</si>
  <si>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</si>
  <si>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</si>
  <si>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</si>
  <si>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</si>
  <si>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</si>
  <si>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</si>
  <si>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</si>
  <si>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</si>
  <si>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</si>
  <si>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</si>
  <si>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</si>
  <si>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</si>
  <si>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</si>
  <si>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</si>
  <si>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</si>
  <si>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</si>
  <si>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</si>
  <si>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</si>
  <si>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</si>
  <si>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</si>
  <si>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</si>
  <si>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</si>
  <si>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</si>
  <si>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</si>
  <si>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</si>
  <si>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</si>
  <si>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</si>
  <si>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</si>
  <si>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</si>
  <si>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</si>
  <si>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</si>
  <si>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</si>
  <si>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</si>
  <si>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</si>
  <si>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</si>
  <si>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</si>
  <si>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</si>
  <si>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</si>
  <si>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</si>
  <si>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</si>
  <si>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</si>
  <si>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</si>
  <si>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</si>
  <si>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</si>
  <si>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</si>
  <si>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</si>
  <si>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</si>
  <si>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</si>
  <si>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</si>
  <si>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</si>
  <si>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</si>
  <si>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</si>
  <si>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</si>
  <si>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</si>
  <si>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</si>
  <si>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</si>
  <si>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</si>
  <si>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</si>
  <si>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</si>
  <si>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</si>
  <si>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</si>
  <si>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</si>
  <si>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</si>
  <si>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</si>
  <si>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</si>
  <si>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</si>
  <si>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</si>
  <si>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</si>
  <si>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</si>
  <si>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</si>
  <si>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</si>
  <si>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</si>
  <si>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</si>
  <si>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</si>
  <si>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</si>
  <si>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</si>
  <si>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</si>
  <si>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</si>
  <si>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</si>
  <si>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</si>
  <si>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</si>
  <si>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</si>
  <si>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</si>
  <si>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</si>
  <si>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</si>
  <si>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</si>
  <si>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</si>
  <si>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</si>
  <si>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</si>
  <si>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</si>
  <si>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</si>
  <si>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</si>
  <si>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</si>
  <si>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</si>
  <si>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</si>
  <si>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</si>
  <si>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</si>
  <si>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</si>
  <si>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</si>
  <si>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</si>
  <si>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</si>
  <si>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</si>
  <si>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</si>
  <si>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</si>
  <si>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</si>
  <si>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</si>
  <si>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</si>
  <si>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</si>
  <si>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</si>
  <si>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</si>
  <si>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</si>
  <si>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</si>
  <si>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</si>
  <si>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</si>
  <si>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</si>
  <si>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</si>
  <si>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</si>
  <si>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</si>
  <si>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</si>
  <si>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</si>
  <si>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</si>
  <si>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</si>
  <si>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</si>
  <si>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</si>
  <si>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</si>
  <si>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</si>
  <si>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</si>
  <si>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</si>
  <si>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</si>
  <si>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</si>
  <si>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</si>
  <si>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</si>
  <si>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</si>
  <si>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</si>
  <si>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</si>
  <si>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</si>
  <si>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</si>
  <si>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</si>
  <si>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</si>
  <si>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</si>
  <si>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</si>
  <si>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</si>
  <si>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</si>
  <si>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</si>
  <si>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</si>
  <si>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</si>
  <si>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</si>
  <si>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</si>
  <si>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</si>
  <si>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</si>
  <si>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</si>
  <si>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</si>
  <si>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</si>
  <si>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</si>
  <si>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</si>
  <si>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</si>
  <si>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</si>
  <si>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</si>
  <si>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</si>
  <si>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</si>
  <si>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</si>
  <si>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</si>
  <si>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</si>
  <si>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</si>
  <si>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</si>
  <si>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</si>
  <si>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</si>
  <si>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</si>
  <si>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</si>
  <si>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</si>
  <si>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</si>
  <si>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</si>
  <si>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</si>
  <si>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</si>
  <si>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</si>
  <si>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</si>
  <si>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</si>
  <si>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</si>
  <si>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</si>
  <si>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</si>
  <si>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</si>
  <si>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</si>
  <si>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</si>
  <si>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</si>
  <si>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</si>
  <si>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</si>
  <si>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</si>
  <si>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</si>
  <si>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</si>
  <si>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</si>
  <si>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</si>
  <si>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</si>
  <si>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</si>
  <si>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</si>
  <si>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</si>
  <si>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</si>
  <si>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</si>
  <si>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</si>
  <si>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</si>
  <si>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</si>
  <si>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</si>
  <si>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</si>
  <si>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</si>
  <si>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</si>
  <si>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</si>
  <si>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</si>
  <si>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</si>
  <si>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</si>
  <si>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</si>
  <si>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</si>
  <si>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</si>
  <si>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</si>
  <si>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</si>
  <si>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</si>
  <si>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</si>
  <si>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</si>
  <si>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</si>
  <si>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</si>
  <si>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</si>
  <si>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</si>
  <si>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</si>
  <si>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</si>
  <si>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</si>
  <si>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</si>
  <si>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</si>
  <si>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</si>
  <si>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</si>
  <si>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</si>
  <si>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</si>
  <si>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</si>
  <si>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</si>
  <si>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</si>
  <si>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</si>
  <si>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</si>
  <si>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</si>
  <si>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</si>
  <si>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</si>
  <si>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</si>
  <si>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</si>
  <si>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</si>
  <si>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</si>
  <si>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</si>
  <si>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</si>
  <si>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</si>
  <si>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</si>
  <si>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</si>
  <si>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</si>
  <si>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</si>
  <si>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</si>
  <si>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</si>
  <si>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</si>
  <si>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</si>
  <si>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</si>
  <si>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</si>
  <si>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</si>
  <si>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</si>
  <si>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</si>
  <si>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</si>
  <si>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</si>
  <si>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</si>
  <si>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</si>
  <si>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</si>
  <si>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</si>
  <si>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</si>
  <si>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</si>
  <si>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</si>
  <si>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</si>
  <si>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</si>
  <si>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</si>
  <si>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</si>
  <si>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</si>
  <si>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</si>
  <si>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</si>
  <si>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</si>
  <si>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</si>
  <si>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</si>
  <si>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</si>
  <si>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</si>
  <si>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</si>
  <si>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</si>
  <si>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</si>
  <si>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</si>
  <si>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</si>
  <si>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</si>
  <si>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</si>
  <si>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</si>
  <si>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</si>
  <si>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</si>
  <si>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</si>
  <si>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</si>
  <si>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</si>
  <si>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</si>
  <si>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</si>
  <si>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</si>
  <si>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</si>
  <si>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</si>
  <si>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</si>
  <si>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</si>
  <si>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</si>
  <si>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</si>
  <si>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</si>
  <si>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</si>
  <si>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</si>
  <si>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</si>
  <si>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</si>
  <si>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</si>
  <si>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</si>
  <si>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</si>
  <si>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</si>
  <si>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</si>
  <si>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</si>
  <si>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</si>
  <si>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</si>
  <si>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</si>
  <si>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</si>
  <si>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</si>
  <si>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</si>
  <si>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</si>
  <si>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</si>
  <si>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</si>
  <si>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</si>
  <si>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</si>
  <si>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</si>
  <si>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</si>
  <si>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</si>
  <si>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</si>
  <si>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</si>
  <si>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</si>
  <si>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</si>
  <si>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</si>
  <si>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</si>
  <si>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</si>
  <si>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</si>
  <si>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</si>
  <si>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</si>
  <si>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</si>
  <si>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</si>
  <si>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</si>
  <si>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</si>
  <si>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</si>
  <si>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</si>
  <si>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</si>
  <si>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</si>
  <si>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</si>
  <si>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</si>
  <si>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</si>
  <si>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</si>
  <si>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</si>
  <si>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</si>
  <si>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</si>
  <si>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</si>
  <si>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</si>
  <si>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</si>
  <si>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</si>
  <si>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</si>
  <si>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</si>
  <si>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</si>
  <si>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</si>
  <si>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</si>
  <si>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</si>
  <si>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</si>
  <si>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</si>
  <si>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</si>
  <si>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</si>
  <si>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</si>
  <si>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</si>
  <si>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</si>
  <si>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</si>
  <si>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</si>
  <si>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</si>
  <si>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</si>
  <si>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</si>
  <si>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</si>
  <si>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</si>
  <si>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</si>
  <si>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</si>
  <si>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</si>
  <si>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</si>
  <si>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</si>
  <si>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</si>
  <si>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</si>
  <si>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</si>
  <si>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</si>
  <si>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</si>
  <si>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</si>
  <si>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</si>
  <si>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</si>
  <si>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</si>
  <si>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</si>
  <si>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</si>
  <si>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</si>
  <si>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</si>
  <si>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</si>
  <si>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</si>
  <si>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</si>
  <si>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</si>
  <si>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</si>
  <si>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</si>
  <si>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</si>
  <si>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</si>
  <si>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</si>
  <si>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</si>
  <si>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</si>
  <si>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</si>
  <si>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</si>
  <si>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</si>
  <si>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</si>
  <si>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</si>
  <si>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</si>
  <si>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</si>
  <si>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</si>
  <si>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</si>
  <si>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</si>
  <si>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</si>
  <si>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</si>
  <si>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</si>
  <si>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</si>
  <si>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</si>
  <si>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</si>
  <si>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</si>
  <si>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</si>
  <si>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</si>
  <si>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</si>
  <si>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</si>
  <si>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</si>
  <si>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</si>
  <si>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</si>
  <si>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</si>
  <si>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</si>
  <si>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</si>
  <si>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</si>
  <si>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</si>
  <si>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</si>
  <si>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</si>
  <si>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</si>
  <si>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</si>
  <si>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</si>
  <si>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</si>
  <si>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</si>
  <si>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</si>
  <si>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</si>
  <si>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</si>
  <si>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</si>
  <si>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</si>
  <si>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</si>
  <si>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</si>
  <si>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</si>
  <si>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</si>
  <si>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</si>
  <si>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</si>
  <si>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</si>
  <si>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</si>
  <si>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</si>
  <si>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</si>
  <si>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</si>
  <si>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</si>
  <si>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</si>
  <si>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</si>
  <si>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</si>
  <si>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</si>
  <si>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</si>
  <si>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</si>
  <si>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</si>
  <si>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</si>
  <si>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</si>
  <si>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</si>
  <si>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</si>
  <si>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</si>
  <si>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</si>
  <si>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</si>
  <si>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</si>
  <si>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</si>
  <si>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</si>
  <si>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</si>
  <si>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</si>
  <si>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</si>
  <si>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</si>
  <si>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</si>
  <si>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</si>
  <si>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</si>
  <si>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</si>
  <si>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</si>
  <si>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</si>
  <si>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</si>
  <si>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</si>
  <si>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</si>
  <si>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</si>
  <si>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</si>
  <si>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</si>
  <si>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</si>
  <si>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</si>
  <si>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</si>
  <si>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</si>
  <si>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</si>
  <si>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</si>
  <si>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</si>
  <si>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</si>
  <si>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</si>
  <si>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</si>
  <si>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</si>
  <si>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</si>
  <si>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</si>
  <si>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</si>
  <si>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</si>
  <si>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</si>
  <si>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</si>
  <si>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</si>
  <si>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</si>
  <si>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</si>
  <si>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</si>
  <si>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</si>
  <si>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</si>
  <si>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</si>
  <si>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</si>
  <si>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</si>
  <si>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</si>
  <si>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</si>
  <si>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</si>
  <si>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</si>
  <si>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</si>
  <si>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</si>
  <si>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</si>
  <si>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</si>
  <si>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</si>
  <si>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</si>
  <si>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</si>
  <si>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</si>
  <si>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</si>
  <si>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</si>
  <si>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</si>
  <si>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</si>
  <si>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</si>
  <si>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</si>
  <si>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</si>
  <si>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</si>
  <si>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</si>
  <si>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</si>
  <si>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</si>
  <si>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</si>
  <si>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</si>
  <si>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</si>
  <si>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</si>
  <si>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</si>
  <si>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</si>
  <si>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</si>
  <si>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</si>
  <si>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</si>
  <si>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</si>
  <si>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</si>
  <si>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</si>
  <si>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</si>
  <si>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</si>
  <si>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</si>
  <si>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</si>
  <si>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</si>
  <si>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</si>
  <si>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</si>
  <si>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</si>
  <si>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</si>
  <si>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</si>
  <si>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</si>
  <si>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</si>
  <si>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</si>
  <si>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</si>
  <si>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</si>
  <si>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</si>
  <si>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</si>
  <si>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</si>
  <si>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</si>
  <si>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</si>
  <si>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</si>
  <si>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</si>
  <si>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</si>
  <si>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</si>
  <si>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</si>
  <si>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</si>
  <si>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</si>
  <si>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</si>
  <si>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</si>
  <si>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</si>
  <si>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</si>
  <si>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</si>
  <si>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</si>
  <si>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</si>
  <si>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</si>
  <si>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</si>
  <si>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</si>
  <si>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</si>
  <si>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</si>
  <si>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</si>
  <si>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</si>
  <si>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</si>
  <si>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</si>
  <si>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</si>
  <si>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</si>
  <si>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</si>
  <si>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</si>
  <si>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</si>
  <si>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</si>
  <si>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</si>
  <si>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</si>
  <si>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</si>
  <si>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</si>
  <si>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</si>
  <si>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</si>
  <si>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</si>
  <si>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</si>
  <si>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</si>
  <si>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</si>
  <si>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</si>
  <si>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</si>
  <si>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</si>
  <si>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</si>
  <si>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</si>
  <si>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</si>
  <si>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</si>
  <si>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</si>
  <si>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</si>
  <si>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</si>
  <si>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</si>
  <si>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</si>
  <si>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</si>
  <si>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</si>
  <si>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</si>
  <si>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</si>
  <si>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</si>
  <si>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</si>
  <si>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</si>
  <si>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</si>
  <si>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</si>
  <si>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</si>
  <si>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</si>
  <si>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</si>
  <si>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</si>
  <si>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</si>
  <si>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</si>
  <si>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</si>
  <si>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</si>
  <si>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</si>
  <si>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</si>
  <si>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</si>
  <si>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</si>
  <si>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</si>
  <si>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</si>
  <si>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</si>
  <si>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</si>
  <si>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</si>
  <si>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</si>
  <si>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</si>
  <si>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</si>
  <si>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</si>
  <si>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</si>
  <si>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</si>
  <si>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</si>
  <si>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</si>
  <si>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</si>
  <si>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</si>
  <si>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</si>
  <si>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</si>
  <si>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</si>
  <si>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</si>
  <si>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</si>
  <si>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</si>
  <si>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</si>
  <si>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</si>
  <si>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</si>
  <si>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</si>
  <si>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</si>
  <si>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</si>
  <si>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</si>
  <si>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</si>
  <si>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</si>
  <si>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</si>
  <si>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</si>
  <si>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</si>
  <si>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</si>
  <si>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</si>
  <si>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</si>
  <si>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</si>
  <si>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</si>
  <si>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</si>
  <si>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</si>
  <si>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</si>
  <si>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</si>
  <si>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</si>
  <si>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</si>
  <si>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</si>
  <si>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</si>
  <si>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</si>
  <si>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</si>
  <si>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</si>
  <si>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</si>
  <si>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</si>
  <si>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</si>
  <si>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</si>
  <si>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</si>
  <si>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</si>
  <si>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</si>
  <si>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</si>
  <si>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</si>
  <si>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</si>
  <si>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</si>
  <si>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</si>
  <si>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</si>
  <si>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</si>
  <si>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</si>
  <si>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</si>
  <si>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</si>
  <si>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</si>
  <si>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</si>
  <si>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</si>
  <si>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</si>
  <si>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</si>
  <si>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</si>
  <si>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</si>
  <si>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</si>
  <si>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</si>
  <si>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</si>
  <si>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</si>
  <si>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</si>
  <si>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</si>
  <si>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</si>
  <si>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</si>
  <si>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</si>
  <si>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</si>
  <si>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</si>
  <si>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</si>
  <si>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</si>
  <si>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</si>
  <si>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</si>
  <si>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</si>
  <si>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</si>
  <si>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</si>
  <si>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</si>
  <si>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</si>
  <si>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</si>
  <si>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</si>
  <si>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</si>
  <si>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</si>
  <si>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</si>
  <si>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</si>
  <si>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</si>
  <si>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</si>
  <si>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</si>
  <si>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</si>
  <si>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</si>
  <si>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</si>
  <si>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</si>
  <si>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</si>
  <si>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</si>
  <si>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</si>
  <si>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</si>
  <si>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</si>
  <si>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</si>
  <si>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</si>
  <si>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</si>
  <si>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</si>
  <si>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</si>
  <si>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</si>
  <si>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</si>
  <si>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</si>
  <si>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</si>
  <si>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</si>
  <si>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</si>
  <si>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</si>
  <si>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</si>
  <si>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</si>
  <si>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</si>
  <si>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</si>
  <si>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</si>
  <si>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</si>
  <si>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</si>
  <si>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</si>
  <si>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</si>
  <si>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</si>
  <si>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</si>
  <si>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</si>
  <si>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</si>
  <si>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</si>
  <si>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</si>
  <si>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</si>
  <si>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</si>
  <si>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</si>
  <si>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</si>
  <si>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</si>
  <si>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</si>
  <si>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</si>
  <si>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</si>
  <si>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</si>
  <si>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</si>
  <si>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</si>
  <si>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</si>
  <si>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</si>
  <si>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</si>
  <si>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</si>
  <si>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</si>
  <si>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</si>
  <si>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</si>
  <si>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</si>
  <si>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</si>
  <si>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</si>
  <si>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</si>
  <si>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</si>
  <si>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</si>
  <si>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</si>
  <si>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</si>
  <si>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</si>
  <si>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</si>
  <si>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</si>
  <si>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</si>
  <si>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</si>
  <si>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</si>
  <si>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</si>
  <si>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</si>
  <si>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</si>
  <si>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</si>
  <si>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</si>
  <si>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</si>
  <si>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</si>
  <si>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</si>
  <si>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</si>
  <si>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</si>
  <si>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</si>
  <si>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</si>
  <si>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</si>
  <si>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</si>
  <si>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</si>
  <si>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</si>
  <si>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</si>
  <si>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</si>
  <si>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</si>
  <si>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</si>
  <si>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</si>
  <si>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</si>
  <si>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</si>
  <si>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</si>
  <si>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</si>
  <si>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</si>
  <si>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</si>
  <si>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</si>
  <si>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</si>
  <si>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</si>
  <si>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</si>
  <si>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</si>
  <si>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</si>
  <si>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</si>
  <si>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</si>
  <si>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</si>
  <si>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</si>
  <si>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</si>
  <si>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</si>
  <si>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</si>
  <si>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</si>
  <si>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</si>
  <si>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</si>
  <si>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</si>
  <si>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</si>
  <si>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</si>
  <si>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</si>
  <si>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</si>
  <si>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</si>
  <si>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</si>
  <si>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</si>
  <si>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</si>
  <si>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</si>
  <si>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</si>
  <si>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</si>
  <si>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</si>
  <si>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</si>
  <si>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</si>
  <si>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</si>
  <si>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</si>
  <si>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</si>
  <si>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</si>
  <si>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</si>
  <si>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</si>
  <si>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</si>
  <si>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</si>
  <si>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</si>
  <si>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</si>
  <si>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</si>
  <si>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</si>
  <si>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</si>
  <si>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</si>
  <si>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</si>
  <si>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</si>
  <si>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</si>
  <si>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</si>
  <si>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</si>
  <si>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</si>
  <si>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</si>
  <si>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</si>
  <si>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</si>
  <si>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</si>
  <si>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</si>
  <si>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</si>
  <si>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</si>
  <si>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</si>
  <si>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</si>
  <si>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</si>
  <si>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</si>
  <si>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</si>
  <si>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</si>
  <si>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</si>
  <si>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</si>
  <si>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</si>
  <si>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</si>
  <si>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</si>
  <si>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</si>
  <si>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</si>
  <si>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</si>
  <si>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</si>
  <si>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</si>
  <si>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</si>
  <si>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</si>
  <si>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</si>
  <si>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</si>
  <si>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</si>
  <si>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</si>
  <si>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</si>
  <si>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</si>
  <si>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</si>
  <si>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</si>
  <si>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</si>
  <si>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</si>
  <si>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</si>
  <si>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</si>
  <si>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</si>
  <si>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</si>
  <si>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</si>
  <si>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</si>
  <si>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</si>
  <si>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</si>
  <si>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</si>
  <si>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</si>
  <si>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</si>
  <si>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</si>
  <si>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</si>
  <si>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</si>
  <si>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</si>
  <si>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</si>
  <si>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</si>
  <si>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</si>
  <si>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</si>
  <si>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</si>
  <si>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</si>
  <si>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</si>
  <si>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</si>
  <si>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</si>
  <si>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</si>
  <si>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</si>
  <si>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</si>
  <si>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</si>
  <si>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</si>
  <si>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</si>
  <si>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</si>
  <si>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</si>
  <si>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</si>
  <si>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</si>
  <si>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</si>
  <si>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</si>
  <si>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</si>
  <si>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</si>
  <si>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</si>
  <si>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</si>
  <si>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</si>
  <si>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</si>
  <si>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</si>
  <si>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</si>
  <si>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</si>
  <si>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</si>
  <si>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</si>
  <si>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</si>
  <si>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</si>
  <si>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</si>
  <si>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</si>
  <si>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</si>
  <si>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</si>
  <si>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</si>
  <si>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</si>
  <si>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</si>
  <si>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</si>
  <si>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</si>
  <si>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</si>
  <si>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</si>
  <si>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</si>
  <si>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</si>
  <si>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</si>
  <si>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</si>
  <si>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</si>
  <si>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</si>
  <si>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</si>
  <si>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</si>
  <si>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</si>
  <si>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</si>
  <si>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</si>
  <si>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</si>
  <si>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</si>
  <si>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</si>
  <si>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</si>
  <si>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</si>
  <si>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</si>
  <si>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</si>
  <si>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</si>
  <si>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</si>
  <si>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</si>
  <si>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</si>
  <si>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</si>
  <si>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</si>
  <si>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</si>
  <si>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</si>
  <si>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</si>
  <si>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</si>
  <si>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</si>
  <si>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</si>
  <si>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</si>
  <si>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</si>
  <si>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</si>
  <si>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</si>
  <si>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</si>
  <si>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</si>
  <si>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</si>
  <si>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</si>
  <si>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</si>
  <si>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</si>
  <si>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</si>
  <si>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</si>
  <si>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</si>
  <si>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</si>
  <si>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</si>
  <si>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</si>
  <si>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</si>
  <si>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</si>
  <si>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</si>
  <si>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</si>
  <si>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</si>
  <si>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</si>
  <si>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</si>
  <si>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</si>
  <si>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</si>
  <si>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</si>
  <si>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</si>
  <si>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</si>
  <si>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</si>
  <si>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</si>
  <si>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</si>
  <si>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</si>
  <si>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</si>
  <si>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</si>
  <si>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</si>
  <si>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</si>
  <si>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</si>
  <si>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</si>
  <si>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</si>
  <si>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</si>
  <si>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</si>
  <si>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</si>
  <si>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</si>
  <si>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</si>
  <si>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</si>
  <si>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</si>
  <si>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</si>
  <si>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</si>
  <si>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</si>
  <si>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</si>
  <si>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</si>
  <si>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</si>
  <si>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</si>
  <si>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</si>
  <si>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</si>
  <si>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</si>
  <si>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</si>
  <si>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</si>
  <si>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</si>
  <si>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</si>
  <si>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</si>
  <si>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</si>
  <si>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</si>
  <si>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</si>
  <si>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</si>
  <si>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</si>
  <si>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</si>
  <si>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</si>
  <si>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</si>
  <si>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</si>
  <si>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</si>
  <si>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</si>
  <si>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</si>
  <si>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</si>
  <si>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</si>
  <si>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</si>
  <si>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</si>
  <si>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</si>
  <si>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</si>
  <si>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</si>
  <si>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</si>
  <si>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</si>
  <si>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</si>
  <si>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</si>
  <si>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</si>
  <si>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</si>
  <si>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</si>
  <si>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</si>
  <si>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</si>
  <si>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</si>
  <si>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</si>
  <si>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</si>
  <si>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</si>
  <si>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</si>
  <si>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</si>
  <si>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</si>
  <si>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</si>
  <si>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</si>
  <si>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</si>
  <si>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</si>
  <si>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</si>
  <si>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</si>
  <si>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</si>
  <si>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</si>
  <si>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</si>
  <si>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</si>
  <si>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</si>
  <si>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</si>
  <si>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</si>
  <si>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</si>
  <si>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</si>
  <si>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</si>
  <si>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</si>
  <si>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</si>
  <si>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</si>
  <si>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</si>
  <si>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</si>
  <si>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</si>
  <si>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</si>
  <si>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</si>
  <si>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</si>
  <si>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</si>
  <si>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</si>
  <si>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</si>
  <si>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</si>
  <si>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</si>
  <si>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</si>
  <si>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</si>
  <si>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</si>
  <si>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</si>
  <si>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</si>
  <si>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</si>
  <si>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</si>
  <si>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</si>
  <si>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</si>
  <si>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</si>
  <si>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</si>
  <si>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</si>
  <si>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</si>
  <si>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</si>
  <si>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</si>
  <si>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</si>
  <si>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</si>
  <si>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</si>
  <si>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</si>
  <si>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</si>
  <si>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</si>
  <si>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</si>
  <si>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</si>
  <si>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</si>
  <si>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</si>
  <si>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</si>
  <si>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</si>
  <si>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</si>
  <si>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</si>
  <si>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</si>
  <si>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</si>
  <si>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</si>
  <si>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</si>
  <si>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</si>
  <si>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</si>
  <si>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</si>
  <si>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</si>
  <si>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</si>
  <si>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</si>
  <si>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</si>
  <si>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</si>
  <si>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</si>
  <si>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</si>
  <si>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</si>
  <si>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</si>
  <si>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</si>
  <si>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</si>
  <si>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</si>
  <si>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</si>
  <si>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</si>
  <si>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</si>
  <si>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</si>
  <si>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</si>
  <si>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</si>
  <si>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</si>
  <si>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</si>
  <si>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</si>
  <si>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</si>
  <si>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</si>
  <si>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</si>
  <si>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</si>
  <si>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</si>
  <si>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</si>
  <si>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</si>
  <si>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</si>
  <si>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</si>
  <si>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</si>
  <si>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</si>
  <si>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</si>
  <si>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</si>
  <si>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</si>
  <si>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</si>
  <si>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</si>
  <si>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</si>
  <si>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</si>
  <si>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</si>
  <si>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</si>
  <si>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</si>
  <si>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</si>
  <si>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</si>
  <si>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</si>
  <si>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</si>
  <si>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</si>
  <si>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</si>
  <si>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</si>
  <si>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</si>
  <si>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</si>
  <si>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</si>
  <si>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</si>
  <si>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</si>
  <si>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</si>
  <si>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</si>
  <si>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</si>
  <si>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</si>
  <si>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</si>
  <si>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</si>
  <si>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</si>
  <si>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</si>
  <si>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</si>
  <si>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</si>
  <si>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</si>
  <si>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</si>
  <si>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</si>
  <si>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</si>
  <si>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</si>
  <si>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</si>
  <si>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</si>
  <si>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</si>
  <si>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</si>
  <si>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</si>
  <si>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</si>
  <si>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</si>
  <si>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</si>
  <si>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</si>
  <si>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</si>
  <si>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</si>
  <si>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</si>
  <si>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</si>
  <si>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</si>
  <si>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</si>
  <si>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</si>
  <si>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</si>
  <si>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</si>
  <si>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</si>
  <si>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</si>
  <si>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</si>
  <si>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</si>
  <si>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</si>
  <si>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</si>
  <si>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</si>
  <si>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</si>
  <si>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</si>
  <si>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</si>
  <si>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</si>
  <si>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</si>
  <si>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</si>
  <si>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</si>
  <si>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</si>
  <si>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</si>
  <si>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</si>
  <si>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</si>
  <si>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</si>
  <si>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</si>
  <si>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</si>
  <si>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</si>
  <si>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</si>
  <si>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</si>
  <si>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</si>
  <si>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</si>
  <si>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</si>
  <si>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</si>
  <si>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</si>
  <si>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</si>
  <si>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</si>
  <si>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</si>
  <si>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</si>
  <si>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</si>
  <si>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</si>
  <si>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</si>
  <si>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</si>
  <si>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</si>
  <si>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</si>
  <si>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</si>
  <si>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</si>
  <si>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</si>
  <si>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</si>
  <si>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</si>
  <si>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</si>
  <si>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</si>
  <si>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</si>
  <si>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</si>
  <si>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</si>
  <si>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</si>
  <si>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</si>
  <si>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</si>
  <si>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</si>
  <si>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</si>
  <si>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</si>
  <si>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</si>
  <si>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</si>
  <si>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</si>
  <si>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</si>
  <si>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</si>
  <si>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</si>
  <si>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</si>
  <si>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</si>
  <si>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</si>
  <si>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</si>
  <si>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</si>
  <si>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</si>
  <si>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</si>
  <si>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</si>
  <si>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</si>
  <si>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</si>
  <si>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</si>
  <si>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</si>
  <si>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</si>
  <si>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</si>
  <si>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</si>
  <si>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</si>
  <si>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</si>
  <si>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</si>
  <si>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</si>
  <si>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</si>
  <si>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</si>
  <si>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</si>
  <si>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</si>
  <si>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</si>
  <si>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</si>
  <si>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</si>
  <si>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</si>
  <si>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</si>
  <si>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</si>
  <si>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</si>
  <si>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</si>
  <si>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</si>
  <si>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</si>
  <si>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</si>
  <si>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</si>
  <si>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</si>
  <si>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</si>
  <si>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</si>
  <si>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</si>
  <si>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</si>
  <si>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</si>
  <si>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</si>
  <si>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</si>
  <si>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</si>
  <si>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</si>
  <si>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</si>
  <si>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</si>
  <si>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</si>
  <si>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</si>
  <si>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</si>
  <si>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</si>
  <si>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</si>
  <si>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</si>
  <si>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</si>
  <si>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</si>
  <si>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</si>
  <si>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</si>
  <si>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</si>
  <si>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</si>
  <si>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</si>
  <si>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</si>
  <si>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</si>
  <si>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</si>
  <si>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</si>
  <si>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</si>
  <si>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</si>
  <si>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</si>
  <si>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</si>
  <si>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</si>
  <si>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</si>
  <si>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</si>
  <si>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</si>
  <si>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</si>
  <si>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</si>
  <si>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</si>
  <si>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</si>
  <si>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</si>
  <si>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</si>
  <si>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</si>
  <si>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</si>
  <si>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</si>
  <si>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</si>
  <si>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</si>
  <si>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</si>
  <si>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</si>
  <si>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</si>
  <si>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</si>
  <si>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</si>
  <si>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</si>
  <si>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</si>
  <si>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</si>
  <si>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</si>
  <si>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</si>
  <si>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</si>
  <si>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</si>
  <si>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</si>
  <si>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</si>
  <si>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</si>
  <si>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</si>
  <si>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</si>
  <si>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</si>
  <si>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</si>
  <si>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</si>
  <si>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</si>
  <si>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</si>
  <si>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</si>
  <si>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</si>
  <si>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</si>
  <si>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</si>
  <si>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</si>
  <si>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</si>
  <si>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</si>
  <si>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</si>
  <si>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</si>
  <si>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</si>
  <si>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</si>
  <si>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</si>
  <si>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</si>
  <si>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</si>
  <si>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</si>
  <si>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</si>
  <si>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</si>
  <si>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</si>
  <si>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</si>
  <si>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</si>
  <si>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</si>
  <si>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</si>
  <si>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</si>
  <si>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</si>
  <si>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</si>
  <si>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</si>
  <si>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</si>
  <si>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</si>
  <si>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</si>
  <si>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</si>
  <si>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</si>
  <si>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</si>
  <si>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</si>
  <si>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</si>
  <si>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</si>
  <si>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</si>
  <si>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</si>
  <si>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</si>
  <si>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</si>
  <si>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</si>
  <si>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</si>
  <si>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</si>
  <si>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</si>
  <si>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</si>
  <si>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</si>
  <si>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</si>
  <si>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</si>
  <si>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</si>
  <si>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</si>
  <si>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</si>
  <si>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</si>
  <si>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</si>
  <si>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</si>
  <si>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</si>
  <si>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</si>
  <si>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</si>
  <si>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</si>
  <si>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</si>
  <si>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</si>
  <si>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</si>
  <si>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</si>
  <si>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</si>
  <si>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</si>
  <si>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</si>
  <si>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</si>
  <si>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</si>
  <si>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</si>
  <si>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</si>
  <si>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</si>
  <si>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</si>
  <si>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</si>
  <si>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</si>
  <si>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</si>
  <si>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</si>
  <si>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</si>
  <si>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</si>
  <si>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</si>
  <si>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</si>
  <si>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</si>
  <si>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</si>
  <si>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</si>
  <si>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</si>
  <si>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</si>
  <si>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</si>
  <si>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</si>
  <si>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</si>
  <si>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</si>
  <si>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</si>
  <si>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</si>
  <si>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</si>
  <si>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</si>
  <si>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</si>
  <si>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</si>
  <si>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</si>
  <si>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</si>
  <si>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</si>
  <si>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</si>
  <si>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</si>
  <si>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</si>
  <si>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</si>
  <si>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</si>
  <si>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</si>
  <si>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</si>
  <si>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</si>
  <si>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</si>
  <si>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</si>
  <si>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</si>
  <si>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</si>
  <si>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</si>
  <si>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</si>
  <si>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</si>
  <si>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</si>
  <si>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</si>
  <si>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</si>
  <si>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</si>
  <si>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</si>
  <si>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</si>
  <si>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</si>
  <si>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</si>
  <si>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</si>
  <si>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</si>
  <si>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</si>
  <si>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</si>
  <si>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</si>
  <si>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</si>
  <si>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</si>
  <si>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</si>
  <si>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</si>
  <si>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</si>
  <si>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</si>
  <si>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</si>
  <si>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</si>
  <si>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</si>
  <si>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</si>
  <si>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</si>
  <si>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</si>
  <si>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</si>
  <si>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</si>
  <si>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</si>
  <si>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</si>
  <si>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</si>
  <si>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</si>
  <si>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</si>
  <si>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</si>
  <si>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</si>
  <si>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</si>
  <si>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</si>
  <si>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</si>
  <si>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</si>
  <si>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</si>
  <si>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</si>
  <si>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</si>
  <si>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</si>
  <si>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</si>
  <si>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</si>
  <si>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</si>
  <si>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</si>
  <si>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</si>
  <si>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</si>
  <si>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</si>
  <si>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</si>
  <si>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</si>
  <si>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</si>
  <si>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</si>
  <si>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</si>
  <si>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</si>
  <si>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</si>
  <si>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</si>
  <si>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</si>
  <si>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</si>
  <si>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</si>
  <si>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</si>
  <si>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</si>
  <si>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</si>
  <si>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</si>
  <si>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</si>
  <si>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</si>
  <si>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</si>
  <si>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</si>
  <si>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</si>
  <si>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</si>
  <si>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</si>
  <si>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</si>
  <si>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</si>
  <si>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</si>
  <si>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</si>
  <si>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</si>
  <si>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</si>
  <si>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</si>
  <si>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</si>
  <si>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</si>
  <si>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</si>
  <si>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</si>
  <si>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</si>
  <si>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</si>
  <si>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</si>
  <si>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</si>
  <si>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</si>
  <si>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</si>
  <si>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</si>
  <si>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</si>
  <si>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</si>
  <si>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</si>
  <si>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</si>
  <si>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</si>
  <si>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</si>
  <si>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</si>
  <si>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</si>
  <si>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</si>
  <si>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</si>
  <si>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</si>
  <si>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</si>
  <si>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</si>
  <si>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</si>
  <si>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</si>
  <si>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</si>
  <si>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</si>
  <si>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</si>
  <si>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</si>
  <si>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</si>
  <si>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</si>
  <si>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</si>
  <si>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</si>
  <si>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</si>
  <si>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</si>
  <si>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</si>
  <si>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</si>
  <si>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</si>
  <si>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</si>
  <si>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</si>
  <si>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</si>
  <si>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</si>
  <si>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</si>
  <si>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</si>
  <si>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</si>
  <si>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</si>
  <si>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</si>
  <si>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</si>
  <si>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</si>
  <si>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</si>
  <si>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</si>
  <si>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</si>
  <si>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</si>
  <si>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</si>
  <si>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</si>
  <si>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</si>
  <si>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</si>
  <si>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</si>
  <si>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</si>
  <si>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</si>
  <si>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</si>
  <si>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</si>
  <si>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</si>
  <si>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</si>
  <si>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</si>
  <si>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</si>
  <si>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</si>
  <si>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</si>
  <si>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</si>
  <si>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</si>
  <si>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</si>
  <si>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</si>
  <si>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</si>
  <si>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</si>
  <si>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</si>
  <si>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</si>
  <si>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</si>
  <si>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</si>
  <si>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</si>
  <si>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</si>
  <si>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</si>
  <si>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</si>
  <si>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</si>
  <si>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</si>
  <si>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</si>
  <si>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</si>
  <si>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</si>
  <si>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</si>
  <si>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</si>
  <si>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</si>
  <si>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</si>
  <si>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</si>
  <si>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</si>
  <si>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</si>
  <si>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</si>
  <si>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</si>
  <si>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</si>
  <si>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</si>
  <si>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</si>
  <si>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</si>
  <si>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</si>
  <si>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</si>
  <si>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</si>
  <si>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</si>
  <si>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</si>
  <si>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</si>
  <si>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</si>
  <si>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</si>
  <si>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</si>
  <si>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</si>
  <si>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</si>
  <si>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</si>
  <si>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</si>
  <si>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</si>
  <si>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</si>
  <si>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</si>
  <si>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</si>
  <si>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</si>
  <si>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</si>
  <si>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</si>
  <si>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</si>
  <si>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</si>
  <si>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</si>
  <si>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</si>
  <si>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</si>
  <si>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</si>
  <si>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</si>
  <si>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</si>
  <si>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</si>
  <si>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</si>
  <si>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</si>
  <si>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</si>
  <si>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</si>
  <si>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</si>
  <si>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</si>
  <si>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</si>
  <si>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</si>
  <si>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</si>
  <si>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</si>
  <si>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</si>
  <si>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</si>
  <si>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</si>
  <si>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</si>
  <si>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</si>
  <si>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</si>
  <si>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</si>
  <si>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</si>
  <si>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</si>
  <si>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</si>
  <si>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</si>
  <si>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</si>
  <si>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</si>
  <si>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</si>
  <si>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</si>
  <si>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</si>
  <si>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</si>
  <si>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</si>
  <si>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</si>
  <si>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</si>
  <si>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</si>
  <si>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</si>
  <si>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</si>
  <si>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</si>
  <si>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</si>
  <si>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</si>
  <si>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</si>
  <si>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</si>
  <si>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</si>
  <si>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</si>
  <si>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</si>
  <si>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</si>
  <si>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</si>
  <si>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</si>
  <si>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</si>
  <si>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</si>
  <si>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</si>
  <si>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</si>
  <si>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</si>
  <si>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</si>
  <si>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</si>
  <si>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</si>
  <si>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</si>
  <si>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</si>
  <si>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</si>
  <si>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</si>
  <si>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</si>
  <si>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</si>
  <si>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</si>
  <si>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</si>
  <si>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</si>
  <si>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</si>
  <si>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</si>
  <si>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</si>
  <si>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</si>
  <si>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</si>
  <si>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</si>
  <si>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</si>
  <si>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</si>
  <si>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</si>
  <si>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</si>
  <si>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</si>
  <si>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</si>
  <si>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</si>
  <si>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</si>
  <si>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</si>
  <si>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</si>
  <si>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</si>
  <si>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</si>
  <si>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</si>
  <si>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</si>
  <si>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</si>
  <si>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</si>
  <si>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</si>
  <si>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</si>
  <si>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</si>
  <si>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</si>
  <si>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</si>
  <si>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</si>
  <si>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</si>
  <si>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</si>
  <si>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</si>
  <si>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</si>
  <si>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</si>
  <si>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</si>
  <si>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</si>
  <si>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</si>
  <si>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</si>
  <si>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</si>
  <si>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</si>
  <si>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</si>
  <si>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</si>
  <si>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</si>
  <si>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</si>
  <si>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</si>
  <si>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</si>
  <si>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</si>
  <si>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</si>
  <si>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</si>
  <si>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</si>
  <si>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</si>
  <si>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</si>
  <si>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</si>
  <si>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</si>
  <si>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</si>
  <si>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</si>
  <si>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</si>
  <si>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</si>
  <si>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</si>
  <si>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</si>
  <si>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</si>
  <si>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</si>
  <si>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</si>
  <si>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</si>
  <si>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</si>
  <si>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</si>
  <si>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</si>
  <si>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</si>
  <si>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</si>
  <si>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</si>
  <si>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</si>
  <si>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</si>
  <si>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</si>
  <si>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</si>
  <si>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</si>
  <si>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</si>
  <si>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</si>
  <si>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</si>
  <si>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</si>
  <si>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</si>
  <si>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</si>
  <si>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</si>
  <si>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</si>
  <si>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</si>
  <si>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</si>
  <si>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</si>
  <si>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</si>
  <si>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</si>
  <si>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</si>
  <si>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</si>
  <si>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</si>
  <si>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</si>
  <si>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</si>
  <si>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</si>
  <si>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</si>
  <si>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</si>
  <si>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</si>
  <si>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</si>
  <si>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</si>
  <si>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</si>
  <si>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</si>
  <si>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</si>
  <si>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</si>
  <si>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</si>
  <si>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</si>
  <si>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</si>
  <si>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</si>
  <si>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</si>
  <si>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</si>
  <si>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</si>
  <si>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</si>
  <si>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</si>
  <si>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</si>
  <si>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</si>
  <si>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</si>
  <si>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</si>
  <si>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</si>
  <si>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</si>
  <si>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</si>
  <si>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</si>
  <si>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</si>
  <si>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</si>
  <si>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</si>
  <si>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</si>
  <si>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</si>
  <si>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</si>
  <si>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</si>
  <si>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</si>
  <si>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</si>
  <si>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</si>
  <si>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</si>
  <si>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</si>
  <si>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</si>
  <si>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</si>
  <si>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</si>
  <si>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</si>
  <si>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</si>
  <si>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</si>
  <si>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</si>
  <si>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</si>
  <si>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</si>
  <si>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</si>
  <si>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</si>
  <si>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</si>
  <si>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</si>
  <si>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</si>
  <si>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</si>
  <si>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</si>
  <si>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</si>
  <si>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</si>
  <si>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</si>
  <si>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</si>
  <si>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</si>
  <si>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</si>
  <si>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</si>
  <si>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</si>
  <si>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</si>
  <si>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</si>
  <si>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</si>
  <si>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</si>
  <si>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</si>
  <si>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</si>
  <si>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</si>
  <si>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</si>
  <si>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</si>
  <si>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</si>
  <si>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</si>
  <si>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</si>
  <si>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</si>
  <si>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</si>
  <si>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</si>
  <si>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</si>
  <si>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</si>
  <si>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</si>
  <si>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</si>
  <si>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</si>
  <si>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</si>
  <si>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</si>
  <si>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</si>
  <si>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</si>
  <si>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</si>
  <si>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</si>
  <si>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</si>
  <si>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</si>
  <si>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</si>
  <si>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</si>
  <si>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</si>
  <si>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</si>
  <si>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</si>
  <si>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</si>
  <si>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</si>
  <si>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</si>
  <si>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</si>
  <si>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</si>
  <si>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</si>
  <si>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</si>
  <si>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</si>
  <si>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</si>
  <si>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</si>
  <si>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</si>
  <si>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</si>
  <si>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</si>
  <si>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</si>
  <si>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</si>
  <si>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</si>
  <si>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</si>
  <si>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</si>
  <si>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</si>
  <si>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</si>
  <si>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</si>
  <si>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</si>
  <si>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</si>
  <si>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</si>
  <si>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</si>
  <si>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</si>
  <si>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</si>
  <si>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</si>
  <si>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</si>
  <si>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</si>
  <si>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</si>
  <si>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</si>
  <si>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</si>
  <si>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</si>
  <si>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</si>
  <si>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</si>
  <si>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</si>
  <si>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</si>
  <si>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</si>
  <si>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</si>
  <si>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</si>
  <si>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</si>
  <si>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</si>
  <si>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</si>
  <si>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</si>
  <si>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</si>
  <si>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</si>
  <si>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</si>
  <si>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</si>
  <si>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</si>
  <si>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</si>
  <si>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</si>
  <si>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</si>
  <si>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</si>
  <si>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</si>
  <si>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</si>
  <si>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</si>
  <si>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</si>
  <si>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</si>
  <si>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</si>
  <si>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</si>
  <si>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</si>
  <si>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</si>
  <si>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</si>
  <si>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</si>
  <si>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</si>
  <si>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</si>
  <si>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</si>
  <si>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</si>
  <si>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</si>
  <si>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</si>
  <si>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</si>
  <si>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</si>
  <si>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</si>
  <si>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</si>
  <si>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</si>
  <si>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</si>
  <si>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</si>
  <si>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</si>
  <si>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</si>
  <si>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</si>
  <si>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</si>
  <si>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</si>
  <si>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</si>
  <si>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</si>
  <si>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</si>
  <si>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</si>
  <si>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</si>
  <si>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</si>
  <si>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</si>
  <si>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</si>
  <si>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</si>
  <si>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</si>
  <si>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</si>
  <si>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</si>
  <si>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</si>
  <si>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</si>
  <si>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</si>
  <si>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</si>
  <si>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</si>
  <si>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</si>
  <si>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</si>
  <si>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</si>
  <si>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</si>
  <si>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</si>
  <si>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</si>
  <si>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</si>
  <si>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</si>
  <si>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</si>
  <si>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</si>
  <si>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</si>
  <si>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</si>
  <si>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</si>
  <si>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</si>
  <si>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</si>
  <si>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</si>
  <si>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</si>
  <si>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</si>
  <si>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</si>
  <si>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</si>
  <si>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</si>
  <si>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</si>
  <si>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</si>
  <si>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</si>
  <si>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</si>
  <si>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</si>
  <si>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</si>
  <si>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</si>
  <si>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</si>
  <si>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</si>
  <si>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</si>
  <si>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</si>
  <si>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</si>
  <si>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</si>
  <si>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</si>
  <si>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</si>
  <si>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</si>
  <si>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</si>
  <si>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</si>
  <si>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</si>
  <si>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</si>
  <si>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</si>
  <si>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</si>
  <si>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</si>
  <si>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</si>
  <si>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</si>
  <si>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</si>
  <si>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</si>
  <si>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</si>
  <si>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</si>
  <si>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</si>
  <si>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</si>
  <si>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</si>
  <si>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</si>
  <si>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</si>
  <si>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</si>
  <si>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</si>
  <si>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</si>
  <si>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</si>
  <si>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</si>
  <si>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</si>
  <si>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</si>
  <si>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</si>
  <si>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</si>
  <si>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</si>
  <si>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</si>
  <si>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</si>
  <si>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</si>
  <si>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</si>
  <si>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</si>
  <si>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</si>
  <si>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</si>
  <si>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</si>
  <si>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</si>
  <si>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</si>
  <si>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</si>
  <si>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</si>
  <si>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</si>
  <si>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</si>
  <si>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</si>
  <si>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</si>
  <si>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</si>
  <si>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</si>
  <si>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</si>
  <si>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</si>
  <si>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</si>
  <si>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</si>
  <si>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</si>
  <si>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</si>
  <si>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</si>
  <si>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</si>
  <si>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</si>
  <si>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</si>
  <si>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</si>
  <si>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</si>
  <si>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</si>
  <si>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</si>
  <si>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</si>
  <si>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</si>
  <si>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</si>
  <si>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</si>
  <si>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</si>
  <si>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</si>
  <si>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</si>
  <si>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</si>
  <si>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</si>
  <si>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</si>
  <si>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</si>
  <si>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</si>
  <si>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</si>
  <si>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</si>
  <si>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</si>
  <si>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</si>
  <si>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</si>
  <si>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</si>
  <si>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</si>
  <si>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</si>
  <si>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</si>
  <si>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</si>
  <si>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</si>
  <si>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</si>
  <si>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</si>
  <si>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</si>
  <si>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</si>
  <si>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</si>
  <si>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</si>
  <si>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</si>
  <si>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</si>
  <si>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</si>
  <si>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</si>
  <si>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</si>
  <si>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</si>
  <si>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</si>
  <si>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</si>
  <si>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</si>
  <si>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</si>
  <si>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</si>
  <si>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</si>
  <si>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</si>
  <si>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</si>
  <si>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</si>
  <si>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</si>
  <si>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</si>
  <si>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</si>
  <si>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</si>
  <si>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</si>
  <si>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</si>
  <si>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</si>
  <si>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</si>
  <si>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</si>
  <si>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</si>
  <si>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</si>
  <si>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</si>
  <si>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</si>
  <si>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</si>
  <si>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</si>
  <si>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</si>
  <si>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</si>
  <si>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</si>
  <si>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</si>
  <si>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</si>
  <si>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</si>
  <si>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</si>
  <si>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</si>
  <si>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</si>
  <si>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</si>
  <si>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</si>
  <si>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</si>
  <si>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</si>
  <si>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</si>
  <si>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</si>
  <si>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</si>
  <si>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</si>
  <si>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</si>
  <si>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</si>
  <si>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</si>
  <si>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</si>
  <si>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</si>
  <si>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</si>
  <si>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</si>
  <si>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</si>
  <si>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</si>
  <si>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</si>
  <si>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</si>
  <si>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</si>
  <si>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</si>
  <si>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</si>
  <si>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</si>
  <si>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</si>
  <si>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</si>
  <si>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</si>
  <si>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</si>
  <si>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</si>
  <si>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</si>
  <si>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</si>
  <si>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</si>
  <si>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</si>
  <si>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</si>
  <si>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</si>
  <si>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</si>
  <si>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</si>
  <si>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</si>
  <si>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</si>
  <si>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</si>
  <si>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</si>
  <si>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</si>
  <si>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</si>
  <si>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</si>
  <si>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</si>
  <si>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</si>
  <si>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</si>
  <si>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</si>
  <si>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</si>
  <si>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</si>
  <si>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</si>
  <si>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</si>
  <si>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</si>
  <si>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</si>
  <si>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</si>
  <si>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</si>
  <si>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</si>
  <si>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</si>
  <si>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</si>
  <si>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</si>
  <si>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</si>
  <si>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</si>
  <si>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</si>
  <si>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</si>
  <si>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</si>
  <si>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</si>
  <si>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</si>
  <si>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</si>
  <si>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</si>
  <si>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</si>
  <si>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</si>
  <si>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</si>
  <si>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</si>
  <si>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</si>
  <si>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</si>
  <si>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</si>
  <si>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</si>
  <si>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</si>
  <si>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</si>
  <si>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</si>
  <si>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</si>
  <si>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</si>
  <si>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</si>
  <si>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</si>
  <si>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</si>
  <si>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</si>
  <si>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</si>
  <si>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</si>
  <si>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</si>
  <si>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</si>
  <si>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</si>
  <si>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</si>
  <si>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</si>
  <si>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</si>
  <si>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</si>
  <si>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</si>
  <si>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</si>
  <si>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</si>
  <si>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</si>
  <si>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</si>
  <si>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</si>
  <si>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</si>
  <si>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</si>
  <si>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</si>
  <si>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</si>
  <si>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</si>
  <si>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</si>
  <si>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</si>
  <si>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</si>
  <si>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</si>
  <si>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</si>
  <si>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</si>
  <si>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</si>
  <si>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</si>
  <si>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</si>
  <si>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</si>
  <si>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</si>
  <si>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</si>
  <si>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</si>
  <si>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</si>
  <si>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</si>
  <si>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</si>
  <si>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</si>
  <si>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</si>
  <si>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</si>
  <si>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</si>
  <si>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</si>
  <si>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</si>
  <si>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</si>
  <si>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</si>
  <si>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</si>
  <si>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</si>
  <si>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</si>
  <si>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</si>
  <si>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</si>
  <si>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</si>
  <si>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</si>
  <si>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</si>
  <si>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</si>
  <si>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</si>
  <si>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</si>
  <si>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</si>
  <si>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</si>
  <si>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</si>
  <si>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</si>
  <si>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</si>
  <si>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</si>
  <si>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</si>
  <si>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</si>
  <si>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</si>
  <si>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</si>
  <si>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</si>
  <si>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</si>
  <si>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</si>
  <si>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</si>
  <si>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</si>
  <si>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</si>
  <si>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</si>
  <si>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</si>
  <si>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</si>
  <si>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</si>
  <si>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</si>
  <si>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</si>
  <si>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</si>
  <si>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</si>
  <si>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</si>
  <si>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</si>
  <si>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</si>
  <si>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</si>
  <si>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</si>
  <si>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</si>
  <si>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</si>
  <si>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</si>
  <si>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</si>
  <si>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</si>
  <si>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</si>
  <si>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</si>
  <si>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</si>
  <si>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</si>
  <si>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</si>
  <si>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</si>
  <si>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</si>
  <si>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</si>
  <si>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</si>
  <si>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</si>
  <si>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</si>
  <si>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</si>
  <si>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</si>
  <si>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</si>
  <si>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</si>
  <si>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</si>
  <si>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</si>
  <si>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</si>
  <si>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</si>
  <si>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</si>
  <si>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</si>
  <si>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</si>
  <si>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</si>
  <si>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</si>
  <si>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</si>
  <si>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</si>
  <si>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</si>
  <si>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</si>
  <si>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</si>
  <si>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</si>
  <si>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</si>
  <si>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</si>
  <si>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</si>
  <si>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</si>
  <si>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</si>
  <si>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</si>
  <si>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</si>
  <si>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</si>
  <si>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</si>
  <si>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</si>
  <si>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</si>
  <si>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</si>
  <si>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</si>
  <si>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</si>
  <si>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</si>
  <si>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</si>
  <si>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</si>
  <si>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</si>
  <si>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</si>
  <si>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</si>
  <si>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</si>
  <si>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</si>
  <si>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</si>
  <si>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</si>
  <si>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</si>
  <si>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</si>
  <si>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</si>
  <si>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</si>
  <si>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</si>
  <si>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</si>
  <si>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</si>
  <si>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</si>
  <si>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</si>
  <si>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</si>
  <si>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</si>
  <si>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</si>
  <si>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</si>
  <si>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</si>
  <si>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</si>
  <si>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</si>
  <si>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</si>
  <si>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</si>
  <si>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</si>
  <si>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</si>
  <si>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</si>
  <si>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</si>
  <si>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</si>
  <si>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</si>
  <si>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</si>
  <si>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</si>
  <si>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</si>
  <si>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</si>
  <si>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</si>
  <si>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</si>
  <si>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</si>
  <si>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</si>
  <si>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</si>
  <si>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</si>
  <si>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</si>
  <si>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</si>
  <si>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</si>
  <si>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</si>
  <si>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</si>
  <si>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</si>
  <si>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</si>
  <si>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</si>
  <si>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</si>
  <si>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</si>
  <si>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</si>
  <si>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</si>
  <si>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</si>
  <si>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</si>
  <si>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</si>
  <si>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</si>
  <si>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</si>
  <si>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</si>
  <si>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</si>
  <si>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</si>
  <si>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</si>
  <si>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</si>
  <si>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</si>
  <si>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</si>
  <si>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</si>
  <si>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</si>
  <si>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</si>
  <si>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</si>
  <si>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</si>
  <si>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</si>
  <si>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</si>
  <si>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</si>
  <si>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</si>
  <si>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</si>
  <si>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</si>
  <si>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</si>
  <si>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</si>
  <si>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</si>
  <si>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</si>
  <si>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</si>
  <si>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</si>
  <si>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</si>
  <si>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</si>
  <si>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</si>
  <si>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</si>
  <si>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</si>
  <si>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</si>
  <si>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</si>
  <si>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</si>
  <si>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</si>
  <si>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</si>
  <si>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</si>
  <si>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</si>
  <si>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</si>
  <si>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</si>
  <si>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</si>
  <si>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</si>
  <si>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</si>
  <si>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</si>
  <si>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</si>
  <si>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</si>
  <si>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</si>
  <si>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</si>
  <si>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</si>
  <si>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</si>
  <si>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</si>
  <si>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</si>
  <si>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</si>
  <si>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</si>
  <si>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</si>
  <si>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</si>
  <si>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</si>
  <si>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</si>
  <si>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</si>
  <si>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</si>
  <si>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</si>
  <si>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</si>
  <si>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</si>
  <si>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</si>
  <si>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</si>
  <si>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</si>
  <si>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</si>
  <si>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</si>
  <si>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</si>
  <si>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</si>
  <si>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</si>
  <si>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</si>
  <si>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</si>
  <si>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</si>
  <si>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</si>
  <si>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</si>
  <si>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</si>
  <si>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</si>
  <si>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</si>
  <si>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</si>
  <si>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</si>
  <si>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</si>
  <si>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</si>
  <si>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</si>
  <si>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</si>
  <si>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</si>
  <si>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</si>
  <si>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</si>
  <si>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</si>
  <si>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</si>
  <si>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</si>
  <si>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</si>
  <si>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</si>
  <si>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</si>
  <si>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</si>
  <si>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</si>
  <si>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</si>
  <si>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</si>
  <si>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</si>
  <si>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</si>
  <si>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</si>
  <si>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</si>
  <si>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</si>
  <si>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</si>
  <si>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</si>
  <si>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</si>
  <si>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</si>
  <si>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</si>
  <si>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</si>
  <si>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</si>
  <si>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</si>
  <si>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</si>
  <si>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</si>
  <si>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</si>
  <si>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</si>
  <si>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</si>
  <si>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</si>
  <si>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</si>
  <si>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</si>
  <si>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</si>
  <si>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</si>
  <si>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</si>
  <si>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</si>
  <si>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</si>
  <si>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</si>
  <si>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</si>
  <si>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</si>
  <si>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</si>
  <si>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</si>
  <si>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</si>
  <si>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</si>
  <si>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</si>
  <si>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</si>
  <si>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</si>
  <si>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</si>
  <si>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</si>
  <si>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</si>
  <si>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</si>
  <si>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</si>
  <si>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</si>
  <si>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</si>
  <si>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</si>
  <si>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</si>
  <si>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</si>
  <si>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</si>
  <si>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</si>
  <si>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</si>
  <si>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</si>
  <si>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</si>
  <si>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</si>
  <si>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</si>
  <si>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</si>
  <si>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</si>
  <si>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</si>
  <si>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</si>
  <si>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</si>
  <si>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</si>
  <si>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</si>
  <si>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</si>
  <si>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</si>
  <si>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</si>
  <si>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</si>
  <si>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</si>
  <si>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</si>
  <si>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</si>
  <si>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</si>
  <si>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</si>
  <si>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</si>
  <si>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</si>
  <si>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</si>
  <si>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</si>
  <si>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</si>
  <si>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</si>
  <si>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</si>
  <si>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</si>
  <si>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</si>
  <si>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</si>
  <si>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</si>
  <si>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</si>
  <si>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</si>
  <si>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</si>
  <si>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</si>
  <si>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</si>
  <si>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</si>
  <si>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</si>
  <si>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</si>
  <si>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</si>
  <si>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</si>
  <si>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</si>
  <si>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</si>
  <si>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</si>
  <si>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</si>
  <si>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</si>
  <si>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</si>
  <si>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</si>
  <si>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</si>
  <si>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</si>
  <si>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</si>
  <si>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</si>
  <si>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</si>
  <si>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</si>
  <si>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</si>
  <si>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</si>
  <si>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</si>
  <si>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</si>
  <si>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</si>
  <si>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</si>
  <si>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</si>
  <si>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</si>
  <si>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</si>
  <si>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</si>
  <si>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</si>
  <si>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</si>
  <si>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</si>
  <si>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</si>
  <si>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</si>
  <si>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</si>
  <si>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</si>
  <si>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</si>
  <si>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</si>
  <si>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</si>
  <si>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</si>
  <si>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</si>
  <si>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</si>
  <si>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</si>
  <si>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</si>
  <si>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</si>
  <si>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</si>
  <si>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</si>
  <si>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</si>
  <si>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</si>
  <si>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</si>
  <si>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</si>
  <si>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</si>
  <si>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</si>
  <si>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</si>
  <si>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</si>
  <si>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</si>
  <si>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</si>
  <si>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</si>
  <si>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</si>
  <si>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</si>
  <si>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</si>
  <si>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</si>
  <si>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</si>
  <si>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</si>
  <si>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</si>
  <si>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</si>
  <si>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</si>
  <si>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</si>
  <si>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</si>
  <si>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</si>
  <si>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</si>
  <si>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</si>
  <si>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</si>
  <si>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</si>
  <si>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</si>
  <si>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</si>
  <si>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</si>
  <si>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</si>
  <si>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</si>
  <si>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</si>
  <si>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</si>
  <si>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</si>
  <si>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</si>
  <si>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</si>
  <si>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</si>
  <si>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</si>
  <si>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</si>
  <si>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</si>
  <si>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</si>
  <si>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</si>
  <si>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</si>
  <si>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</si>
  <si>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</si>
  <si>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</si>
  <si>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</si>
  <si>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</si>
  <si>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</si>
  <si>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</si>
  <si>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</si>
  <si>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</si>
  <si>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</si>
  <si>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</si>
  <si>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</si>
  <si>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</si>
  <si>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</si>
  <si>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</si>
  <si>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</si>
  <si>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</si>
  <si>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</si>
  <si>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</si>
  <si>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</si>
  <si>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</si>
  <si>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</si>
  <si>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</si>
  <si>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</si>
  <si>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</si>
  <si>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</si>
  <si>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</si>
  <si>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</si>
  <si>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</si>
  <si>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</si>
  <si>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</si>
  <si>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</si>
  <si>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</si>
  <si>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</si>
  <si>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</si>
  <si>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</si>
  <si>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</si>
  <si>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</si>
  <si>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</si>
  <si>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</si>
  <si>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</si>
  <si>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</si>
  <si>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</si>
  <si>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</si>
  <si>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</si>
  <si>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</si>
  <si>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</si>
  <si>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</si>
  <si>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</si>
  <si>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</si>
  <si>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</si>
  <si>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</si>
  <si>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</si>
  <si>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</si>
  <si>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</si>
  <si>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</si>
  <si>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</si>
  <si>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</si>
  <si>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</si>
  <si>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</si>
  <si>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</si>
  <si>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</si>
  <si>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</si>
  <si>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</si>
  <si>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</si>
  <si>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</si>
  <si>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</si>
  <si>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</si>
  <si>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</si>
  <si>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</si>
  <si>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</si>
  <si>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</si>
  <si>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</si>
  <si>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</si>
  <si>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</si>
  <si>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</si>
  <si>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</si>
  <si>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</si>
  <si>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</si>
  <si>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</si>
  <si>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</si>
  <si>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</si>
  <si>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</si>
  <si>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</si>
  <si>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</si>
  <si>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</si>
  <si>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</si>
  <si>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</si>
  <si>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</si>
  <si>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</si>
  <si>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</si>
  <si>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</si>
  <si>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</si>
  <si>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</si>
  <si>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</si>
  <si>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</si>
  <si>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</si>
  <si>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</si>
  <si>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</si>
  <si>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</si>
  <si>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</si>
  <si>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</si>
  <si>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</si>
  <si>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</si>
  <si>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</si>
  <si>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</si>
  <si>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</si>
  <si>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</si>
  <si>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</si>
  <si>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</si>
  <si>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</si>
  <si>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</si>
  <si>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</si>
  <si>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</si>
  <si>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</si>
  <si>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</si>
  <si>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</si>
  <si>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</si>
  <si>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</si>
  <si>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</si>
  <si>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</si>
  <si>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</si>
  <si>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</si>
  <si>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</si>
  <si>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</si>
  <si>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</si>
  <si>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</si>
  <si>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</si>
  <si>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</si>
  <si>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</si>
  <si>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</si>
  <si>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</si>
  <si>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</si>
  <si>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</si>
  <si>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</si>
  <si>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</si>
  <si>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</si>
  <si>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</si>
  <si>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</si>
  <si>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</si>
  <si>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</si>
  <si>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</si>
  <si>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</si>
  <si>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</si>
  <si>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</si>
  <si>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</si>
  <si>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</si>
  <si>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</si>
  <si>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</si>
  <si>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</si>
  <si>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</si>
  <si>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</si>
  <si>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</si>
  <si>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</si>
  <si>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</si>
  <si>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</si>
  <si>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</si>
  <si>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</si>
  <si>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</si>
  <si>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</si>
  <si>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</si>
  <si>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</si>
  <si>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</si>
  <si>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</si>
  <si>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</si>
  <si>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</si>
  <si>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</si>
  <si>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</si>
  <si>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</si>
  <si>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</si>
  <si>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</si>
  <si>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</si>
  <si>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</si>
  <si>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</si>
  <si>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</si>
  <si>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</si>
  <si>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</si>
  <si>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</si>
  <si>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</si>
  <si>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</si>
  <si>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</si>
  <si>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</si>
  <si>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</si>
  <si>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</si>
  <si>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</si>
  <si>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</si>
  <si>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</si>
  <si>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</si>
  <si>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</si>
  <si>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</si>
  <si>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</si>
  <si>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</si>
  <si>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</si>
  <si>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</si>
  <si>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</si>
  <si>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</si>
  <si>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</si>
  <si>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</si>
  <si>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</si>
  <si>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</si>
  <si>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</si>
  <si>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</si>
  <si>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</si>
  <si>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</si>
  <si>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</si>
  <si>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</si>
  <si>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</si>
  <si>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</si>
  <si>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</si>
  <si>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</si>
  <si>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</si>
  <si>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</si>
  <si>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</si>
  <si>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</si>
  <si>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</si>
  <si>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</si>
  <si>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</si>
  <si>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</si>
  <si>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</si>
  <si>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</si>
  <si>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</si>
  <si>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</si>
  <si>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</si>
  <si>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</si>
  <si>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</si>
  <si>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</si>
  <si>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</si>
  <si>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</si>
  <si>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</si>
  <si>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</si>
  <si>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</si>
  <si>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</si>
  <si>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</si>
  <si>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</si>
  <si>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</si>
  <si>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</si>
  <si>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</si>
  <si>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</si>
  <si>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</si>
  <si>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</si>
  <si>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</si>
  <si>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</si>
  <si>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</si>
  <si>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</si>
  <si>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</si>
  <si>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</si>
  <si>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</si>
  <si>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</si>
  <si>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</si>
  <si>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</si>
  <si>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</si>
  <si>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</si>
  <si>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</si>
  <si>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</si>
  <si>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</si>
  <si>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</si>
  <si>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</si>
  <si>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</si>
  <si>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</si>
  <si>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</si>
  <si>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</si>
  <si>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</si>
  <si>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</si>
  <si>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</si>
  <si>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</si>
  <si>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</si>
  <si>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</si>
  <si>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</si>
  <si>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</si>
  <si>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</si>
  <si>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</si>
  <si>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</si>
  <si>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</si>
  <si>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</si>
  <si>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</si>
  <si>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</si>
  <si>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</si>
  <si>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</si>
  <si>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</si>
  <si>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</si>
  <si>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</si>
  <si>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</si>
  <si>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</si>
  <si>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</si>
  <si>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</si>
  <si>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</si>
  <si>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</si>
  <si>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</si>
  <si>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</si>
  <si>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</si>
  <si>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</si>
  <si>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</si>
  <si>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</si>
  <si>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</si>
  <si>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</si>
  <si>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</si>
  <si>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</si>
  <si>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</si>
  <si>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</si>
  <si>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</si>
  <si>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</si>
  <si>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</si>
  <si>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</si>
  <si>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</si>
  <si>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</si>
  <si>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</si>
  <si>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</si>
  <si>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</si>
  <si>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</si>
  <si>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</si>
  <si>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</si>
  <si>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</si>
  <si>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</si>
  <si>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</si>
  <si>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</si>
  <si>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</si>
  <si>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</si>
  <si>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</si>
  <si>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</si>
  <si>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</si>
  <si>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</si>
  <si>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</si>
  <si>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</si>
  <si>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</si>
  <si>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</si>
  <si>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</si>
  <si>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</si>
  <si>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</si>
  <si>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</si>
  <si>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</si>
  <si>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</si>
  <si>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</si>
  <si>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</si>
  <si>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</si>
  <si>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</si>
  <si>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</si>
  <si>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</si>
  <si>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</si>
  <si>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</si>
  <si>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</si>
  <si>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</si>
  <si>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</si>
  <si>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</si>
  <si>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</si>
  <si>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</si>
  <si>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</si>
  <si>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</si>
  <si>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</si>
  <si>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</si>
  <si>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</si>
  <si>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</si>
  <si>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</si>
  <si>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</si>
  <si>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</si>
  <si>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</si>
  <si>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</si>
  <si>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</si>
  <si>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</si>
  <si>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</si>
  <si>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</si>
  <si>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</si>
  <si>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</si>
  <si>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</si>
  <si>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</si>
  <si>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</si>
  <si>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</si>
  <si>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</si>
  <si>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</si>
  <si>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</si>
  <si>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</si>
  <si>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</si>
  <si>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</si>
  <si>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</si>
  <si>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</si>
  <si>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</si>
  <si>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</si>
  <si>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</si>
  <si>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</si>
  <si>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</si>
  <si>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</si>
  <si>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</si>
  <si>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</si>
  <si>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</si>
  <si>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</si>
  <si>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</si>
  <si>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</si>
  <si>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</si>
  <si>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</si>
  <si>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</si>
  <si>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</si>
  <si>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</si>
  <si>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</si>
  <si>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</si>
  <si>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</si>
  <si>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</si>
  <si>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</si>
  <si>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</si>
  <si>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</si>
  <si>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</si>
  <si>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</si>
  <si>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</si>
  <si>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</si>
  <si>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</si>
  <si>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</si>
  <si>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</si>
  <si>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</si>
  <si>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</si>
  <si>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</si>
  <si>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</si>
  <si>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</si>
  <si>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</si>
  <si>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</si>
  <si>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</si>
  <si>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</si>
  <si>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</si>
  <si>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</si>
  <si>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</si>
  <si>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</si>
  <si>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</si>
  <si>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</si>
  <si>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</si>
  <si>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</si>
  <si>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</si>
  <si>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</si>
  <si>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</si>
  <si>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</si>
  <si>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</si>
  <si>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</si>
  <si>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</si>
  <si>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</si>
  <si>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</si>
  <si>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</si>
  <si>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</si>
  <si>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</si>
  <si>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</si>
  <si>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</si>
  <si>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</si>
  <si>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</si>
  <si>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</si>
  <si>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</si>
  <si>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</si>
  <si>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</si>
  <si>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</si>
  <si>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</si>
  <si>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</si>
  <si>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</si>
  <si>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</si>
  <si>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</si>
  <si>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</si>
  <si>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</si>
  <si>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</si>
  <si>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</si>
  <si>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</si>
  <si>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</si>
  <si>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</si>
  <si>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</si>
  <si>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</si>
  <si>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</si>
  <si>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</si>
  <si>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</si>
  <si>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</si>
  <si>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</si>
  <si>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</si>
  <si>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</si>
  <si>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</si>
  <si>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</si>
  <si>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</si>
  <si>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</si>
  <si>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</si>
  <si>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</si>
  <si>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</si>
  <si>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</si>
  <si>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</si>
  <si>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</si>
  <si>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</si>
  <si>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</si>
  <si>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</si>
  <si>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</si>
  <si>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</si>
  <si>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</si>
  <si>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</si>
  <si>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</si>
  <si>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</si>
  <si>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</si>
  <si>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</si>
  <si>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</si>
  <si>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</si>
  <si>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</si>
  <si>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</si>
  <si>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</si>
  <si>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</si>
  <si>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</si>
  <si>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</si>
  <si>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</si>
  <si>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</si>
  <si>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</si>
  <si>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</si>
  <si>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</si>
  <si>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</si>
  <si>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</si>
  <si>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</si>
  <si>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</si>
  <si>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</si>
  <si>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</si>
  <si>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</si>
  <si>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</si>
  <si>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</si>
  <si>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</si>
  <si>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</si>
  <si>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</si>
  <si>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</si>
  <si>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</si>
  <si>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</si>
  <si>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</si>
  <si>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</si>
  <si>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</si>
  <si>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</si>
  <si>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</si>
  <si>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</si>
  <si>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</si>
  <si>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</si>
  <si>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</si>
  <si>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</si>
  <si>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</si>
  <si>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</si>
  <si>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</si>
  <si>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</si>
  <si>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</si>
  <si>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</si>
  <si>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</si>
  <si>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</si>
  <si>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</si>
  <si>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</si>
  <si>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</si>
  <si>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</si>
  <si>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</si>
  <si>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</si>
  <si>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</si>
  <si>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</si>
  <si>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</si>
  <si>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</si>
  <si>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</si>
  <si>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</si>
  <si>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</si>
  <si>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</si>
  <si>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</si>
  <si>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</si>
  <si>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</si>
  <si>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</si>
  <si>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</si>
  <si>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</si>
  <si>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</si>
  <si>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</si>
  <si>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</si>
  <si>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</si>
  <si>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</si>
  <si>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</si>
  <si>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</si>
  <si>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</si>
  <si>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</si>
  <si>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</si>
  <si>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</si>
  <si>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</si>
  <si>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</si>
  <si>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</si>
  <si>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</si>
  <si>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</si>
  <si>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</si>
  <si>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</si>
  <si>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</si>
  <si>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</si>
  <si>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</si>
  <si>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</si>
  <si>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</si>
  <si>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</si>
  <si>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</si>
  <si>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</si>
  <si>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</si>
  <si>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</si>
  <si>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</si>
  <si>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</si>
  <si>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</si>
  <si>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</si>
  <si>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</si>
  <si>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</si>
  <si>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</si>
  <si>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</si>
  <si>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</si>
  <si>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</si>
  <si>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</si>
  <si>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</si>
  <si>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</si>
  <si>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</si>
  <si>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</si>
  <si>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</si>
  <si>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</si>
  <si>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</si>
  <si>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</si>
  <si>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</si>
  <si>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</si>
  <si>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</si>
  <si>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</si>
  <si>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</si>
  <si>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</si>
  <si>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</si>
  <si>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</si>
  <si>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</si>
  <si>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</si>
  <si>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</si>
  <si>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</si>
  <si>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</si>
  <si>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</si>
  <si>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</si>
  <si>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</si>
  <si>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</si>
  <si>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</si>
  <si>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</si>
  <si>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</si>
  <si>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</si>
  <si>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</si>
  <si>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</si>
  <si>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</si>
  <si>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</si>
  <si>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</si>
  <si>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</si>
  <si>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</si>
  <si>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</si>
  <si>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</si>
  <si>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</si>
  <si>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</si>
  <si>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</si>
  <si>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</si>
  <si>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</si>
  <si>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</si>
  <si>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</si>
  <si>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</si>
  <si>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</si>
  <si>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</si>
  <si>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</si>
  <si>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</si>
  <si>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</si>
  <si>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</si>
  <si>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</si>
  <si>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</si>
  <si>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</si>
  <si>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</si>
  <si>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</si>
  <si>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</si>
  <si>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</si>
  <si>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</si>
  <si>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</si>
  <si>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</si>
  <si>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</si>
  <si>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</si>
  <si>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</si>
  <si>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</si>
  <si>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</si>
  <si>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</si>
  <si>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</si>
  <si>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</si>
  <si>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</si>
  <si>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</si>
  <si>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</si>
  <si>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</si>
  <si>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</si>
  <si>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</si>
  <si>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</si>
  <si>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</si>
  <si>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</si>
  <si>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</si>
  <si>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</si>
  <si>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</si>
  <si>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</si>
  <si>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</si>
  <si>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</si>
  <si>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</si>
  <si>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</si>
  <si>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</si>
  <si>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</si>
  <si>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</si>
  <si>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</si>
  <si>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</si>
  <si>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</si>
  <si>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</si>
  <si>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</si>
  <si>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</si>
  <si>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</si>
  <si>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</si>
  <si>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</si>
  <si>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</si>
  <si>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</si>
  <si>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</si>
  <si>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</si>
  <si>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</si>
  <si>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</si>
  <si>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</si>
  <si>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</si>
  <si>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</si>
  <si>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</si>
  <si>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</si>
  <si>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</si>
  <si>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</si>
  <si>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</si>
  <si>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</si>
  <si>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</si>
  <si>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</si>
  <si>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</si>
  <si>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</si>
  <si>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</si>
  <si>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</si>
  <si>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</si>
  <si>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</si>
  <si>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</si>
  <si>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</si>
  <si>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</si>
  <si>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</si>
  <si>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</si>
  <si>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</si>
  <si>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</si>
  <si>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</si>
  <si>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</si>
  <si>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</si>
  <si>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</si>
  <si>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</si>
  <si>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</si>
  <si>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</si>
  <si>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</si>
  <si>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</si>
  <si>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</si>
  <si>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</si>
  <si>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</si>
  <si>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</si>
  <si>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</si>
  <si>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</si>
  <si>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</si>
  <si>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</si>
  <si>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</si>
  <si>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</si>
  <si>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</si>
  <si>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</si>
  <si>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</si>
  <si>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</si>
  <si>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</si>
  <si>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</si>
  <si>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</si>
  <si>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</si>
  <si>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</si>
  <si>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</si>
  <si>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</si>
  <si>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</si>
  <si>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</si>
  <si>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</si>
  <si>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</si>
  <si>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</si>
  <si>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</si>
  <si>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</si>
  <si>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</si>
  <si>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</si>
  <si>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</si>
  <si>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</si>
  <si>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</si>
  <si>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</si>
  <si>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</si>
  <si>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</si>
  <si>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</si>
  <si>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</si>
  <si>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</si>
  <si>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</si>
  <si>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</si>
  <si>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</si>
  <si>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</si>
  <si>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</si>
  <si>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</si>
  <si>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</si>
  <si>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</si>
  <si>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</si>
  <si>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</si>
  <si>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</si>
  <si>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</si>
  <si>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</si>
  <si>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</si>
  <si>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</si>
  <si>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</si>
  <si>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</si>
  <si>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</si>
  <si>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</si>
  <si>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</si>
  <si>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</si>
  <si>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</si>
  <si>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</si>
  <si>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</si>
  <si>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</si>
  <si>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</si>
  <si>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</si>
  <si>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</si>
  <si>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</si>
  <si>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</si>
  <si>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</si>
  <si>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</si>
  <si>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</si>
  <si>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</si>
  <si>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</si>
  <si>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</si>
  <si>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</si>
  <si>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</si>
  <si>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</si>
  <si>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</si>
  <si>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</si>
  <si>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</si>
  <si>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</si>
  <si>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</si>
  <si>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</si>
  <si>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</si>
  <si>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</si>
  <si>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</si>
  <si>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</si>
  <si>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</si>
  <si>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</si>
  <si>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</si>
  <si>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</si>
  <si>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</si>
  <si>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</si>
  <si>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</si>
  <si>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</si>
  <si>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</si>
  <si>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</si>
  <si>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</si>
  <si>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</si>
  <si>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</si>
  <si>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</si>
  <si>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</si>
  <si>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</si>
  <si>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</si>
  <si>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</si>
  <si>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</si>
  <si>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</si>
  <si>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</si>
  <si>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</si>
  <si>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</si>
  <si>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</si>
  <si>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</si>
  <si>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</si>
  <si>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</si>
  <si>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</si>
  <si>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</si>
  <si>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</si>
  <si>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</si>
  <si>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</si>
  <si>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</si>
  <si>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</si>
  <si>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</si>
  <si>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</si>
  <si>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</si>
  <si>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</si>
  <si>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</si>
  <si>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</si>
  <si>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</si>
  <si>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</si>
  <si>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</si>
  <si>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</si>
  <si>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</si>
  <si>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</si>
  <si>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</si>
  <si>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</si>
  <si>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</si>
  <si>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</si>
  <si>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</si>
  <si>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</si>
  <si>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</si>
  <si>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</si>
  <si>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</si>
  <si>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</si>
  <si>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</si>
  <si>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</si>
  <si>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</si>
  <si>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</si>
  <si>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</si>
  <si>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</si>
  <si>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</si>
  <si>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</si>
  <si>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</si>
  <si>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</si>
  <si>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</si>
  <si>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</si>
  <si>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</si>
  <si>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</si>
  <si>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</si>
  <si>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</si>
  <si>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</si>
  <si>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</si>
  <si>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</si>
  <si>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</si>
  <si>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</si>
  <si>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</si>
  <si>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</si>
  <si>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</si>
  <si>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</si>
  <si>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</si>
  <si>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</si>
  <si>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</si>
  <si>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</si>
  <si>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</si>
  <si>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</si>
  <si>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</si>
  <si>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</si>
  <si>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</si>
  <si>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</si>
  <si>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</si>
  <si>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</si>
  <si>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</si>
  <si>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</si>
  <si>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</si>
  <si>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</si>
  <si>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</si>
  <si>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</si>
  <si>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</si>
  <si>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</si>
  <si>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</si>
  <si>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</si>
  <si>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</si>
  <si>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</si>
  <si>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</si>
  <si>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</si>
  <si>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</si>
  <si>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</si>
  <si>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</si>
  <si>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</si>
  <si>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</si>
  <si>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</si>
  <si>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</si>
  <si>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</si>
  <si>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</si>
  <si>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</si>
  <si>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</si>
  <si>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</si>
  <si>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</si>
  <si>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</si>
  <si>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</si>
  <si>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</si>
  <si>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</si>
  <si>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</si>
  <si>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</si>
  <si>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</si>
  <si>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</si>
  <si>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</si>
  <si>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</si>
  <si>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</si>
  <si>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</si>
  <si>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</si>
  <si>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</si>
  <si>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</si>
  <si>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</si>
  <si>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</si>
  <si>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</si>
  <si>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</si>
  <si>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</si>
  <si>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</si>
  <si>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</si>
  <si>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</si>
  <si>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</si>
  <si>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</si>
  <si>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</si>
  <si>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</si>
  <si>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</si>
  <si>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</si>
  <si>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</si>
  <si>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</si>
  <si>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</si>
  <si>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</si>
  <si>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</si>
  <si>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</si>
  <si>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</si>
  <si>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</si>
  <si>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</si>
  <si>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</si>
  <si>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</si>
  <si>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</si>
  <si>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</si>
  <si>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</si>
  <si>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</si>
  <si>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</si>
  <si>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</si>
  <si>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</si>
  <si>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</si>
  <si>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</si>
  <si>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</si>
  <si>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</si>
  <si>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</si>
  <si>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</si>
  <si>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</si>
  <si>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</si>
  <si>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</si>
  <si>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</si>
  <si>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</si>
  <si>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</si>
  <si>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</si>
  <si>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</si>
  <si>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</si>
  <si>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</si>
  <si>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</si>
  <si>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</si>
  <si>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</si>
  <si>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</si>
  <si>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</si>
  <si>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</si>
  <si>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</si>
  <si>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</si>
  <si>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</si>
  <si>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</si>
  <si>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</si>
  <si>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</si>
  <si>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</si>
  <si>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</si>
  <si>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</si>
  <si>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</si>
  <si>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</si>
  <si>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</si>
  <si>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</si>
  <si>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</si>
  <si>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</si>
  <si>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</si>
  <si>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</si>
  <si>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</si>
  <si>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</si>
  <si>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</si>
  <si>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</si>
  <si>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</si>
  <si>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</si>
  <si>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</si>
  <si>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</si>
  <si>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</si>
  <si>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</si>
  <si>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</si>
  <si>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</si>
  <si>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</si>
  <si>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</si>
  <si>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</si>
  <si>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</si>
  <si>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</si>
  <si>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</si>
  <si>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</si>
  <si>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</si>
  <si>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</si>
  <si>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</si>
  <si>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</si>
  <si>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</si>
  <si>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</si>
  <si>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</si>
  <si>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</si>
  <si>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</si>
  <si>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</si>
  <si>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</si>
  <si>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</si>
  <si>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</si>
  <si>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</si>
  <si>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</si>
  <si>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</si>
  <si>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</si>
  <si>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</si>
  <si>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</si>
  <si>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</si>
  <si>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</si>
  <si>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</si>
  <si>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</si>
  <si>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</si>
  <si>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</si>
  <si>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</si>
  <si>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</si>
  <si>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</si>
  <si>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</si>
  <si>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</si>
  <si>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</si>
  <si>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</si>
  <si>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</si>
  <si>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</si>
  <si>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</si>
  <si>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</si>
  <si>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</si>
  <si>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</si>
  <si>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</si>
  <si>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</si>
  <si>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</si>
  <si>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</si>
  <si>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</si>
  <si>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</si>
  <si>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</si>
  <si>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</si>
  <si>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</si>
  <si>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</si>
  <si>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</si>
  <si>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</si>
  <si>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</si>
  <si>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</si>
  <si>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</si>
  <si>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</si>
  <si>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</si>
  <si>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</si>
  <si>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</si>
  <si>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</si>
  <si>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</si>
  <si>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</si>
  <si>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</si>
  <si>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</si>
  <si>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</si>
  <si>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</si>
  <si>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</si>
  <si>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</si>
  <si>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</si>
  <si>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</si>
  <si>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</si>
  <si>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</si>
  <si>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</si>
  <si>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</si>
  <si>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</si>
  <si>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</si>
  <si>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</si>
  <si>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</si>
  <si>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</si>
  <si>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</si>
  <si>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</si>
  <si>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</si>
  <si>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</si>
  <si>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</si>
  <si>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</si>
  <si>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</si>
  <si>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</si>
  <si>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</si>
  <si>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</si>
  <si>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</si>
  <si>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</si>
  <si>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</si>
  <si>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</si>
  <si>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</si>
  <si>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</si>
  <si>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</si>
  <si>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</si>
  <si>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</si>
  <si>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</si>
  <si>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</si>
  <si>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</si>
  <si>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</si>
  <si>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</si>
  <si>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</si>
  <si>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</si>
  <si>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</si>
  <si>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</si>
  <si>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</si>
  <si>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</si>
  <si>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</si>
  <si>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</si>
  <si>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</si>
  <si>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</si>
  <si>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</si>
  <si>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</si>
  <si>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</si>
  <si>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</si>
  <si>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</si>
  <si>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</si>
  <si>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</si>
  <si>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</si>
  <si>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</si>
  <si>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</si>
  <si>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</si>
  <si>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</si>
  <si>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</si>
  <si>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</si>
  <si>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</si>
  <si>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</si>
  <si>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</si>
  <si>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</si>
  <si>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</si>
  <si>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</si>
  <si>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</si>
  <si>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</si>
  <si>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</si>
  <si>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</si>
  <si>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</si>
  <si>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</si>
  <si>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</si>
  <si>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</si>
  <si>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</si>
  <si>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</si>
  <si>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</si>
  <si>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</si>
  <si>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</si>
  <si>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</si>
  <si>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</si>
  <si>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</si>
  <si>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</si>
  <si>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</si>
  <si>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</si>
  <si>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</si>
  <si>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</si>
  <si>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</si>
  <si>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</si>
  <si>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</si>
  <si>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</si>
  <si>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</si>
  <si>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</si>
  <si>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</si>
  <si>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</si>
  <si>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</si>
  <si>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</si>
  <si>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</si>
  <si>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</si>
  <si>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</si>
  <si>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</si>
  <si>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</si>
  <si>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</si>
  <si>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</si>
  <si>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</si>
  <si>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</si>
  <si>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</si>
  <si>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</si>
  <si>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</si>
  <si>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</si>
  <si>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</si>
  <si>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</si>
  <si>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</si>
  <si>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</si>
  <si>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</si>
  <si>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</si>
  <si>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</si>
  <si>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</si>
  <si>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</si>
  <si>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</si>
  <si>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</si>
  <si>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</si>
  <si>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</si>
  <si>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</si>
  <si>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</si>
  <si>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</si>
  <si>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</si>
  <si>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</si>
  <si>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</si>
  <si>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</si>
  <si>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</si>
  <si>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</si>
  <si>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</si>
  <si>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</si>
  <si>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</si>
  <si>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</si>
  <si>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</si>
  <si>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</si>
  <si>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</si>
  <si>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</si>
  <si>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</si>
  <si>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</si>
  <si>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</si>
  <si>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</si>
  <si>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</si>
  <si>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</si>
  <si>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</si>
  <si>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</si>
  <si>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</si>
  <si>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</si>
  <si>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</si>
  <si>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</si>
  <si>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</si>
  <si>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</si>
  <si>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</si>
  <si>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</si>
  <si>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</si>
  <si>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</si>
  <si>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</si>
  <si>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</si>
  <si>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</si>
  <si>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</si>
  <si>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</si>
  <si>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</si>
  <si>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</si>
  <si>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</si>
  <si>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</si>
  <si>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</si>
  <si>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</si>
  <si>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</si>
  <si>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</si>
  <si>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</si>
  <si>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</si>
  <si>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</si>
  <si>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</si>
  <si>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</si>
  <si>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</si>
  <si>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</si>
  <si>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</si>
  <si>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</si>
  <si>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</si>
  <si>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</si>
  <si>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</si>
  <si>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</si>
  <si>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</si>
  <si>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</si>
  <si>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</si>
  <si>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</si>
  <si>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</si>
  <si>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</si>
  <si>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</si>
  <si>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</si>
  <si>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</si>
  <si>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</si>
  <si>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</si>
  <si>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</si>
  <si>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</si>
  <si>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</si>
  <si>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</si>
  <si>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</si>
  <si>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</si>
  <si>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</si>
  <si>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</si>
  <si>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</si>
  <si>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</si>
  <si>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</si>
  <si>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</si>
  <si>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</si>
  <si>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</si>
  <si>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</si>
  <si>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</si>
  <si>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</si>
  <si>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</si>
  <si>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</si>
  <si>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</si>
  <si>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</si>
  <si>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</si>
  <si>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</si>
  <si>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</si>
  <si>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</si>
  <si>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</si>
  <si>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</si>
  <si>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</si>
  <si>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</si>
  <si>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</si>
  <si>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</si>
  <si>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</si>
  <si>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</si>
  <si>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</si>
  <si>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</si>
  <si>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</si>
  <si>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</si>
  <si>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</si>
  <si>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</si>
  <si>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</si>
  <si>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</si>
  <si>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</si>
  <si>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</si>
  <si>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</si>
  <si>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</si>
  <si>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</si>
  <si>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</si>
  <si>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</si>
  <si>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</si>
  <si>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</si>
  <si>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</si>
  <si>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</si>
  <si>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</si>
  <si>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</si>
  <si>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</si>
  <si>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</si>
  <si>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</si>
  <si>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</si>
  <si>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</si>
  <si>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</si>
  <si>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</si>
  <si>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</si>
  <si>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</si>
  <si>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</si>
  <si>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</si>
  <si>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</si>
  <si>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</si>
  <si>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</si>
  <si>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</si>
  <si>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</si>
  <si>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</si>
  <si>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</si>
  <si>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</si>
  <si>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</si>
  <si>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</si>
  <si>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</si>
  <si>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</si>
  <si>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</si>
  <si>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</si>
  <si>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</si>
  <si>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</si>
  <si>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</si>
  <si>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</si>
  <si>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</si>
  <si>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</si>
  <si>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</si>
  <si>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</si>
  <si>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</si>
  <si>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</si>
  <si>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</si>
  <si>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</si>
  <si>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</si>
  <si>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</si>
  <si>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</si>
  <si>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</si>
  <si>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</si>
  <si>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</si>
  <si>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</si>
  <si>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</si>
  <si>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</si>
  <si>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</si>
  <si>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</si>
  <si>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</si>
  <si>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</si>
  <si>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</si>
  <si>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</si>
  <si>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</si>
  <si>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</si>
  <si>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</si>
  <si>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</si>
  <si>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</si>
  <si>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</si>
  <si>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</si>
  <si>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</si>
  <si>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</si>
  <si>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</si>
  <si>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</si>
  <si>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</si>
  <si>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</si>
  <si>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</si>
  <si>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</si>
  <si>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</si>
  <si>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</si>
  <si>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</si>
  <si>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</si>
  <si>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</si>
  <si>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</si>
  <si>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</si>
  <si>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</si>
  <si>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</si>
  <si>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</si>
  <si>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</si>
  <si>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</si>
  <si>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</si>
  <si>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</si>
  <si>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</si>
  <si>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</si>
  <si>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</si>
  <si>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</si>
  <si>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</si>
  <si>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</si>
  <si>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</si>
  <si>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</si>
  <si>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</si>
  <si>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</si>
  <si>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</si>
  <si>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</si>
  <si>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</si>
  <si>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</si>
  <si>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</si>
  <si>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</si>
  <si>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</si>
  <si>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</si>
  <si>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</si>
  <si>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</si>
  <si>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</si>
  <si>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</si>
  <si>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</si>
  <si>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</si>
  <si>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</si>
  <si>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</si>
  <si>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</si>
  <si>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</si>
  <si>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</si>
  <si>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</si>
  <si>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</si>
  <si>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</si>
  <si>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</si>
  <si>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</si>
  <si>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</si>
  <si>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</si>
  <si>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</si>
  <si>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</si>
  <si>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</si>
  <si>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</si>
  <si>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</si>
  <si>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</si>
  <si>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</si>
  <si>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</si>
  <si>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</si>
  <si>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</si>
  <si>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</si>
  <si>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</si>
  <si>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</si>
  <si>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</si>
  <si>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</si>
  <si>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</si>
  <si>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</si>
  <si>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</si>
  <si>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</si>
  <si>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</si>
  <si>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</si>
  <si>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</si>
  <si>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</si>
  <si>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</si>
  <si>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</si>
  <si>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</si>
  <si>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</si>
  <si>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</si>
  <si>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</si>
  <si>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</si>
  <si>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</si>
  <si>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</si>
  <si>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</si>
  <si>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</si>
  <si>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</si>
  <si>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</si>
  <si>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</si>
  <si>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</si>
  <si>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</si>
  <si>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</si>
  <si>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</si>
  <si>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</si>
  <si>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</si>
  <si>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</si>
  <si>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</si>
  <si>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</si>
  <si>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</si>
  <si>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</si>
  <si>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</si>
  <si>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</si>
  <si>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</si>
  <si>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</si>
  <si>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</si>
  <si>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</si>
  <si>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</si>
  <si>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</si>
  <si>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</si>
  <si>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</si>
  <si>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</si>
  <si>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</si>
  <si>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</si>
  <si>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</si>
  <si>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</si>
  <si>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</si>
  <si>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</si>
  <si>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</si>
  <si>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</si>
  <si>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</si>
  <si>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</si>
  <si>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</si>
  <si>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</si>
  <si>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</si>
  <si>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</si>
  <si>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</si>
  <si>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</si>
  <si>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</si>
  <si>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</si>
  <si>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</si>
  <si>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</si>
  <si>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</si>
  <si>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</si>
  <si>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</si>
  <si>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</si>
  <si>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</si>
  <si>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</si>
  <si>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</si>
  <si>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</si>
  <si>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</si>
  <si>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</si>
  <si>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</si>
  <si>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</si>
  <si>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</si>
  <si>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</si>
  <si>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</si>
  <si>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</si>
  <si>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</si>
  <si>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</si>
  <si>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</si>
  <si>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</si>
  <si>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</si>
  <si>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</si>
  <si>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</si>
  <si>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</si>
  <si>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</si>
  <si>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</si>
  <si>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</si>
  <si>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</si>
  <si>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</si>
  <si>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</si>
  <si>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</si>
  <si>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</si>
  <si>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</si>
  <si>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</si>
  <si>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</si>
  <si>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</si>
  <si>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</si>
  <si>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</si>
  <si>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</si>
  <si>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</si>
  <si>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</si>
  <si>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</si>
  <si>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</si>
  <si>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</si>
  <si>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</si>
  <si>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</si>
  <si>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</si>
  <si>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</si>
  <si>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</si>
  <si>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</si>
  <si>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</si>
  <si>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</si>
  <si>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</si>
  <si>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</si>
  <si>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</si>
  <si>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</si>
  <si>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</si>
  <si>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</si>
  <si>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</si>
  <si>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</si>
  <si>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</si>
  <si>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</si>
  <si>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</si>
  <si>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</si>
  <si>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</si>
  <si>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</si>
  <si>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</si>
  <si>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</si>
  <si>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</si>
  <si>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</si>
  <si>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</si>
  <si>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</si>
  <si>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</si>
  <si>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</si>
  <si>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</si>
  <si>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</si>
  <si>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</si>
  <si>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</si>
  <si>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</si>
  <si>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</si>
  <si>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</si>
  <si>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</si>
  <si>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</si>
  <si>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</si>
  <si>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</si>
  <si>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</si>
  <si>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</si>
  <si>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</si>
  <si>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</si>
  <si>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</si>
  <si>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</si>
  <si>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</si>
  <si>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</si>
  <si>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</si>
  <si>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</si>
  <si>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</si>
  <si>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</si>
  <si>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</si>
  <si>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</si>
  <si>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</si>
  <si>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</si>
  <si>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</si>
  <si>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</si>
  <si>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</si>
  <si>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</si>
  <si>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</si>
  <si>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</si>
  <si>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</si>
  <si>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</si>
  <si>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</si>
  <si>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</si>
  <si>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</si>
  <si>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</si>
  <si>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</si>
  <si>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</si>
  <si>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</si>
  <si>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</si>
  <si>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</si>
  <si>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</si>
  <si>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</si>
  <si>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</si>
  <si>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</si>
  <si>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</si>
  <si>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</si>
  <si>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</si>
  <si>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</si>
  <si>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</si>
  <si>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</si>
  <si>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</si>
  <si>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</si>
  <si>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</si>
  <si>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</si>
  <si>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</si>
  <si>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</si>
  <si>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</si>
  <si>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</si>
  <si>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</si>
  <si>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</si>
  <si>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</si>
  <si>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</si>
  <si>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</si>
  <si>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</si>
  <si>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</si>
  <si>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</si>
  <si>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</si>
  <si>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</si>
  <si>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</si>
  <si>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</si>
  <si>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</si>
  <si>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</si>
  <si>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</si>
  <si>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</si>
  <si>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</si>
  <si>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</si>
  <si>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</si>
  <si>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</si>
  <si>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</si>
  <si>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</si>
  <si>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</si>
  <si>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</si>
  <si>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</si>
  <si>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</si>
  <si>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</si>
  <si>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</si>
  <si>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</si>
  <si>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</si>
  <si>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</si>
  <si>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</si>
  <si>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</si>
  <si>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</si>
  <si>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</si>
  <si>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</si>
  <si>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</si>
  <si>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</si>
  <si>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</si>
  <si>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</si>
  <si>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</si>
  <si>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</si>
  <si>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</si>
  <si>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</si>
  <si>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</si>
  <si>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</si>
  <si>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</si>
  <si>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</si>
  <si>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</si>
  <si>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</si>
  <si>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</si>
  <si>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</si>
  <si>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</si>
  <si>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</si>
  <si>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</si>
  <si>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</si>
  <si>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</si>
  <si>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</si>
  <si>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</si>
  <si>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</si>
  <si>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</si>
  <si>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</si>
  <si>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</si>
  <si>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</si>
  <si>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</si>
  <si>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</si>
  <si>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</si>
  <si>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</si>
  <si>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</si>
  <si>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</si>
  <si>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</si>
  <si>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</si>
  <si>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</si>
  <si>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</si>
  <si>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</si>
  <si>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</si>
  <si>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</si>
  <si>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</si>
  <si>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</si>
  <si>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</si>
  <si>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</si>
  <si>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</si>
  <si>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</si>
  <si>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</si>
  <si>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</si>
  <si>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</si>
  <si>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</si>
  <si>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</si>
  <si>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</si>
  <si>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</si>
  <si>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</si>
  <si>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</si>
  <si>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</si>
  <si>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</si>
  <si>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</si>
  <si>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</si>
  <si>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</si>
  <si>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</si>
  <si>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</si>
  <si>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</si>
  <si>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</si>
  <si>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</si>
  <si>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</si>
  <si>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</si>
  <si>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</si>
  <si>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</si>
  <si>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</si>
  <si>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</si>
  <si>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</si>
  <si>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</si>
  <si>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</si>
  <si>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</si>
  <si>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</si>
  <si>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</si>
  <si>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</si>
  <si>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</si>
  <si>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</si>
  <si>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</si>
  <si>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</si>
  <si>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</si>
  <si>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</si>
  <si>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</si>
  <si>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</si>
  <si>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</si>
  <si>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</si>
  <si>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</si>
  <si>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</si>
  <si>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</si>
  <si>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</si>
  <si>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</si>
  <si>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</si>
  <si>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</si>
  <si>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</si>
  <si>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</si>
  <si>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</si>
  <si>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</si>
  <si>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</si>
  <si>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</si>
  <si>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</si>
  <si>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</si>
  <si>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</si>
  <si>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</si>
  <si>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</si>
  <si>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</si>
  <si>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</si>
  <si>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</si>
  <si>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</si>
  <si>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</si>
  <si>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</si>
  <si>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</si>
  <si>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</si>
  <si>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</si>
  <si>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</si>
  <si>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</si>
  <si>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</si>
  <si>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</si>
  <si>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</si>
  <si>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</si>
  <si>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</si>
  <si>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</si>
  <si>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</si>
  <si>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</si>
  <si>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</si>
  <si>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</si>
  <si>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</si>
  <si>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</si>
  <si>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</si>
  <si>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</si>
  <si>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</si>
  <si>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</si>
  <si>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</si>
  <si>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</si>
  <si>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</si>
  <si>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</si>
  <si>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</si>
  <si>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</si>
  <si>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</si>
  <si>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</si>
  <si>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</si>
  <si>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</si>
  <si>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</si>
  <si>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</si>
  <si>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</si>
  <si>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</si>
  <si>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</si>
  <si>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</si>
  <si>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</si>
  <si>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</si>
  <si>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</si>
  <si>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</si>
  <si>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</si>
  <si>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</si>
  <si>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</si>
  <si>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</si>
  <si>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</si>
  <si>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</si>
  <si>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</si>
  <si>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</si>
  <si>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</si>
  <si>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</si>
  <si>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</si>
  <si>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</si>
  <si>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</si>
  <si>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</si>
  <si>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</si>
  <si>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</si>
  <si>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</si>
  <si>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</si>
  <si>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</si>
  <si>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</si>
  <si>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</si>
  <si>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</si>
  <si>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</si>
  <si>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</si>
  <si>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</si>
  <si>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</si>
  <si>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</si>
  <si>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</si>
  <si>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</si>
  <si>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</si>
  <si>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</si>
  <si>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</si>
  <si>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</si>
  <si>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</si>
  <si>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</si>
  <si>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</si>
  <si>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</si>
  <si>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</si>
  <si>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</si>
  <si>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</si>
  <si>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</si>
  <si>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</si>
  <si>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</si>
  <si>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</si>
  <si>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</si>
  <si>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</si>
  <si>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</si>
  <si>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</si>
  <si>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</si>
  <si>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</si>
  <si>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</si>
  <si>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</si>
  <si>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</si>
  <si>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</si>
  <si>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</si>
  <si>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</si>
  <si>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</si>
  <si>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</si>
  <si>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</si>
  <si>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</si>
  <si>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</si>
  <si>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</si>
  <si>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</si>
  <si>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</si>
  <si>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</si>
  <si>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</si>
  <si>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</si>
  <si>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</si>
  <si>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</si>
  <si>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</si>
  <si>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</si>
  <si>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</si>
  <si>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</si>
  <si>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</si>
  <si>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</si>
  <si>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</si>
  <si>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</si>
  <si>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</si>
  <si>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</si>
  <si>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</si>
  <si>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</si>
  <si>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</si>
  <si>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</si>
  <si>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</si>
  <si>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</si>
  <si>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</si>
  <si>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</si>
  <si>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</si>
  <si>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</si>
  <si>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</si>
  <si>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</si>
  <si>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</si>
  <si>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</si>
  <si>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</si>
  <si>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</si>
  <si>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</si>
  <si>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</si>
  <si>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</si>
  <si>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</si>
  <si>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</si>
  <si>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</si>
  <si>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</si>
  <si>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</si>
  <si>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</si>
  <si>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</si>
  <si>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</si>
  <si>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</si>
  <si>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</si>
  <si>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</si>
  <si>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</si>
  <si>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</si>
  <si>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</si>
  <si>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</si>
  <si>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</si>
  <si>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</si>
  <si>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</si>
  <si>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</si>
  <si>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</si>
  <si>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</si>
  <si>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</si>
  <si>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</si>
  <si>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</si>
  <si>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</si>
  <si>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</si>
  <si>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</si>
  <si>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</si>
  <si>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</si>
  <si>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</si>
  <si>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</si>
  <si>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</si>
  <si>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</si>
  <si>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</si>
  <si>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</si>
  <si>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</si>
  <si>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</si>
  <si>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</si>
  <si>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</si>
  <si>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</si>
  <si>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</si>
  <si>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</si>
  <si>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</si>
  <si>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</si>
  <si>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</si>
  <si>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</si>
  <si>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</si>
  <si>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</si>
  <si>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</si>
  <si>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</si>
  <si>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</si>
  <si>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</si>
  <si>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</si>
  <si>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</si>
  <si>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</si>
  <si>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</si>
  <si>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</si>
  <si>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</si>
  <si>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</si>
  <si>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</si>
  <si>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</si>
  <si>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</si>
  <si>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</si>
  <si>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</si>
  <si>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</si>
  <si>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</si>
  <si>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</si>
  <si>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</si>
  <si>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</si>
  <si>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</si>
  <si>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</si>
  <si>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</si>
  <si>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</si>
  <si>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</si>
  <si>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</si>
  <si>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</si>
  <si>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</si>
  <si>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</si>
  <si>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</si>
  <si>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</si>
  <si>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</si>
  <si>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</si>
  <si>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</si>
  <si>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</si>
  <si>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</si>
  <si>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</si>
  <si>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</si>
  <si>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</si>
  <si>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</si>
  <si>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</si>
  <si>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</si>
  <si>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</si>
  <si>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</si>
  <si>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</si>
  <si>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</si>
  <si>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</si>
  <si>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</si>
  <si>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</si>
  <si>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</si>
  <si>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</si>
  <si>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</si>
  <si>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</si>
  <si>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</si>
  <si>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</si>
  <si>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</si>
  <si>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</si>
  <si>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</si>
  <si>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</si>
  <si>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</si>
  <si>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</si>
  <si>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</si>
  <si>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</si>
  <si>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</si>
  <si>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</si>
  <si>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</si>
  <si>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</si>
  <si>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</si>
  <si>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</si>
  <si>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</si>
  <si>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</si>
  <si>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</si>
  <si>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</si>
  <si>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</si>
  <si>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</si>
  <si>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</si>
  <si>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</si>
  <si>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</si>
  <si>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</si>
  <si>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</si>
  <si>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</si>
  <si>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</si>
  <si>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</si>
  <si>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</si>
  <si>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</si>
  <si>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</si>
  <si>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</si>
  <si>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</si>
  <si>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</si>
  <si>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</si>
  <si>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</si>
  <si>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</si>
  <si>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</si>
  <si>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</si>
  <si>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</si>
  <si>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</si>
  <si>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</si>
  <si>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</si>
  <si>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</si>
  <si>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</si>
  <si>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</si>
  <si>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</si>
  <si>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</si>
  <si>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</si>
  <si>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</si>
  <si>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</si>
  <si>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</si>
  <si>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</si>
  <si>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</si>
  <si>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</si>
  <si>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</si>
  <si>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</si>
  <si>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</si>
  <si>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</si>
  <si>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</si>
  <si>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</si>
  <si>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</si>
  <si>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</si>
  <si>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</si>
  <si>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</si>
  <si>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</si>
  <si>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</si>
  <si>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</si>
  <si>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</si>
  <si>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</si>
  <si>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</si>
  <si>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</si>
  <si>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</si>
  <si>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</si>
  <si>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</si>
  <si>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</si>
  <si>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</si>
  <si>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</si>
  <si>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</si>
  <si>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</si>
  <si>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</si>
  <si>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</si>
  <si>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</si>
  <si>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</si>
  <si>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</si>
  <si>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</si>
  <si>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</si>
  <si>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</si>
  <si>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</si>
  <si>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</si>
  <si>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</si>
  <si>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</si>
  <si>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</si>
  <si>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</si>
  <si>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</si>
  <si>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</si>
  <si>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</si>
  <si>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</si>
  <si>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</si>
  <si>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</si>
  <si>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</si>
  <si>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</si>
  <si>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</si>
  <si>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</si>
  <si>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</si>
  <si>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</si>
  <si>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</si>
  <si>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</si>
  <si>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</si>
  <si>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</si>
  <si>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</si>
  <si>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</si>
  <si>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</si>
  <si>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</si>
  <si>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</si>
  <si>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</si>
  <si>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</si>
  <si>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</si>
  <si>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</si>
  <si>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</si>
  <si>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</si>
  <si>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</si>
  <si>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</si>
  <si>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</si>
  <si>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</si>
  <si>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</si>
  <si>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</si>
  <si>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</si>
  <si>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</si>
  <si>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</si>
  <si>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</si>
  <si>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</si>
  <si>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</si>
  <si>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</si>
  <si>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</si>
  <si>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</si>
  <si>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</si>
  <si>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</si>
  <si>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</si>
  <si>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</si>
  <si>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</si>
  <si>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</si>
  <si>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</si>
  <si>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</si>
  <si>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</si>
  <si>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</si>
  <si>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</si>
  <si>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</si>
  <si>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</si>
  <si>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</si>
  <si>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</si>
  <si>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</si>
  <si>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</si>
  <si>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</si>
  <si>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</si>
  <si>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</si>
  <si>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</si>
  <si>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</si>
  <si>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</si>
  <si>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</si>
  <si>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</si>
  <si>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</si>
  <si>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</si>
  <si>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</si>
  <si>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</si>
  <si>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</si>
  <si>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</si>
  <si>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</si>
  <si>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</si>
  <si>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</si>
  <si>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</si>
  <si>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</si>
  <si>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</si>
  <si>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</si>
  <si>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</si>
  <si>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</si>
  <si>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</si>
  <si>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</si>
  <si>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</si>
  <si>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</si>
  <si>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</si>
  <si>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</si>
  <si>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</si>
  <si>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</si>
  <si>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</si>
  <si>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</si>
  <si>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</si>
  <si>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</si>
  <si>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</si>
  <si>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</si>
  <si>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</si>
  <si>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</si>
  <si>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</si>
  <si>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</si>
  <si>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</si>
  <si>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</si>
  <si>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</si>
  <si>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</si>
  <si>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</si>
  <si>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</si>
  <si>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</si>
  <si>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</si>
  <si>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</si>
  <si>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</si>
  <si>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</si>
  <si>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</si>
  <si>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</si>
  <si>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</si>
  <si>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</si>
  <si>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</si>
  <si>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</si>
  <si>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</si>
  <si>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</si>
  <si>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</si>
  <si>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</si>
  <si>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</si>
  <si>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</si>
  <si>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</si>
  <si>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</si>
  <si>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</si>
  <si>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</si>
  <si>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</si>
  <si>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</si>
  <si>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</si>
  <si>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</si>
  <si>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</si>
  <si>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</si>
  <si>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</si>
  <si>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</si>
  <si>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</si>
  <si>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</si>
  <si>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</si>
  <si>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</si>
  <si>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</si>
  <si>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</si>
  <si>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</si>
  <si>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</si>
  <si>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</si>
  <si>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</si>
  <si>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</si>
  <si>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</si>
  <si>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</si>
  <si>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</si>
  <si>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</si>
  <si>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</si>
  <si>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</si>
  <si>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</si>
  <si>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</si>
  <si>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</si>
  <si>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</si>
  <si>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</si>
  <si>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</si>
  <si>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</si>
  <si>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</si>
  <si>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</si>
  <si>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</si>
  <si>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</si>
  <si>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</si>
  <si>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</si>
  <si>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</si>
  <si>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</si>
  <si>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</si>
  <si>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</si>
  <si>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</si>
  <si>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</si>
  <si>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</si>
  <si>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</si>
  <si>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</si>
  <si>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</si>
  <si>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</si>
  <si>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</si>
  <si>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</si>
  <si>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</si>
  <si>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</si>
  <si>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</si>
  <si>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</si>
  <si>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</si>
  <si>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</si>
  <si>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</si>
  <si>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</si>
  <si>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</si>
  <si>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</si>
  <si>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</si>
  <si>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</si>
  <si>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</si>
  <si>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</si>
  <si>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</si>
  <si>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</si>
  <si>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</si>
  <si>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</si>
  <si>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</si>
  <si>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</si>
  <si>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</si>
  <si>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</si>
  <si>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</si>
  <si>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</si>
  <si>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</si>
  <si>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</si>
  <si>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</si>
  <si>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</si>
  <si>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</si>
  <si>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</si>
  <si>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</si>
  <si>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</si>
  <si>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</si>
  <si>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</si>
  <si>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</si>
  <si>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</si>
  <si>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</si>
  <si>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</si>
  <si>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</si>
  <si>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</si>
  <si>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</si>
  <si>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</si>
  <si>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</si>
  <si>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</si>
  <si>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</si>
  <si>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</si>
  <si>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</si>
  <si>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</si>
  <si>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</si>
  <si>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</si>
  <si>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</si>
  <si>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</si>
  <si>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</si>
  <si>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</si>
  <si>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</si>
  <si>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</si>
  <si>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</si>
  <si>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</si>
  <si>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</si>
  <si>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</si>
  <si>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</si>
  <si>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</si>
  <si>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</si>
  <si>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</si>
  <si>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</si>
  <si>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</si>
  <si>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</si>
  <si>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</si>
  <si>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</si>
  <si>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</si>
  <si>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</si>
  <si>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</si>
  <si>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</si>
  <si>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</si>
  <si>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</si>
  <si>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</si>
  <si>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</si>
  <si>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</si>
  <si>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</si>
  <si>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</si>
  <si>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</si>
  <si>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</si>
  <si>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</si>
  <si>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</si>
  <si>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</si>
  <si>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</si>
  <si>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</si>
  <si>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</si>
  <si>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</si>
  <si>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</si>
  <si>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</si>
  <si>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</si>
  <si>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</si>
  <si>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</si>
  <si>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</si>
  <si>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</si>
  <si>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</si>
  <si>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</si>
  <si>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</si>
  <si>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</si>
  <si>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</si>
  <si>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</si>
  <si>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</si>
  <si>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</si>
  <si>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</si>
  <si>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</si>
  <si>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</si>
  <si>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</si>
  <si>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</si>
  <si>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</si>
  <si>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</si>
  <si>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</si>
  <si>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</si>
  <si>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</si>
  <si>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</si>
  <si>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</si>
  <si>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</si>
  <si>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</si>
  <si>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</si>
  <si>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</si>
  <si>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</si>
  <si>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</si>
  <si>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</si>
  <si>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</si>
  <si>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</si>
  <si>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</si>
  <si>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</si>
  <si>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</si>
  <si>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</si>
  <si>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</si>
  <si>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</si>
  <si>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</si>
  <si>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</si>
  <si>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</si>
  <si>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</si>
  <si>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</si>
  <si>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</si>
  <si>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</si>
  <si>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</si>
  <si>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</si>
  <si>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</si>
  <si>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</si>
  <si>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</si>
  <si>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</si>
  <si>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</si>
  <si>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</si>
  <si>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</si>
  <si>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</si>
  <si>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</si>
  <si>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</si>
  <si>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</si>
  <si>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</si>
  <si>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</si>
  <si>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</si>
  <si>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</si>
  <si>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</si>
  <si>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</si>
  <si>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</si>
  <si>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</si>
  <si>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</si>
  <si>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</si>
  <si>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</si>
  <si>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</si>
  <si>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</si>
  <si>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</si>
  <si>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</si>
  <si>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</si>
  <si>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</si>
  <si>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</si>
  <si>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</si>
  <si>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</si>
  <si>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</si>
  <si>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</si>
  <si>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</si>
  <si>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</si>
  <si>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</si>
  <si>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</si>
  <si>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</si>
  <si>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</si>
  <si>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</si>
  <si>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</si>
  <si>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</si>
  <si>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</si>
  <si>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</si>
  <si>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</si>
  <si>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</si>
  <si>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</si>
  <si>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</si>
  <si>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</si>
  <si>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</si>
  <si>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</si>
  <si>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</si>
  <si>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</si>
  <si>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</si>
  <si>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</si>
  <si>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</si>
  <si>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</si>
  <si>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</si>
  <si>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</si>
  <si>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</si>
  <si>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</si>
  <si>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</si>
  <si>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</si>
  <si>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</si>
  <si>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</si>
  <si>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</si>
  <si>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</si>
  <si>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</si>
  <si>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</si>
  <si>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</si>
  <si>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</si>
  <si>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</si>
  <si>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</si>
  <si>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</si>
  <si>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</si>
  <si>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</si>
  <si>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</si>
  <si>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</si>
  <si>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</si>
  <si>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</si>
  <si>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</si>
  <si>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</si>
  <si>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</si>
  <si>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</si>
  <si>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</si>
  <si>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</si>
  <si>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</si>
  <si>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</si>
  <si>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</si>
  <si>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</si>
  <si>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</si>
  <si>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</si>
  <si>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</si>
  <si>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</si>
  <si>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</si>
  <si>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</si>
  <si>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</si>
  <si>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</si>
  <si>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</si>
  <si>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</si>
  <si>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</si>
  <si>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</si>
  <si>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</si>
  <si>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</si>
  <si>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</si>
  <si>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</si>
  <si>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</si>
  <si>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</si>
  <si>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</si>
  <si>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</si>
  <si>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</si>
  <si>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</si>
  <si>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</si>
  <si>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</si>
  <si>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</si>
  <si>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</si>
  <si>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</si>
  <si>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</si>
  <si>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</si>
  <si>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</si>
  <si>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</si>
  <si>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</si>
  <si>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</si>
  <si>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</si>
  <si>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</si>
  <si>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</si>
  <si>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</si>
  <si>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</si>
  <si>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</si>
  <si>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</si>
  <si>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</si>
  <si>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</si>
  <si>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</si>
  <si>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</si>
  <si>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</si>
  <si>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</si>
  <si>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</si>
  <si>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</si>
  <si>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</si>
  <si>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</si>
  <si>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</si>
  <si>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</si>
  <si>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</si>
  <si>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</si>
  <si>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</si>
  <si>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</si>
  <si>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</si>
  <si>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</si>
  <si>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</si>
  <si>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</si>
  <si>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</si>
  <si>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</si>
  <si>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</si>
  <si>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</si>
  <si>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</si>
  <si>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</si>
  <si>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</si>
  <si>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</si>
  <si>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</si>
  <si>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</si>
  <si>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</si>
  <si>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</si>
  <si>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</si>
  <si>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</si>
  <si>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</si>
  <si>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</si>
  <si>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</si>
  <si>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</si>
  <si>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</si>
  <si>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</si>
  <si>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</si>
  <si>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</si>
  <si>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</si>
  <si>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</si>
  <si>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</si>
  <si>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</si>
  <si>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</si>
  <si>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</si>
  <si>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</si>
  <si>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</si>
  <si>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</si>
  <si>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</si>
  <si>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</si>
  <si>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</si>
  <si>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</si>
  <si>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</si>
  <si>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</si>
  <si>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</si>
  <si>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</si>
  <si>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</si>
  <si>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</si>
  <si>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</si>
  <si>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</si>
  <si>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</si>
  <si>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</si>
  <si>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</si>
  <si>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</si>
  <si>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</si>
  <si>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</si>
  <si>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</si>
  <si>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</si>
  <si>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</si>
  <si>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</si>
  <si>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</si>
  <si>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</si>
  <si>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</si>
  <si>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</si>
  <si>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</si>
  <si>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</si>
  <si>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</si>
  <si>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</si>
  <si>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</si>
  <si>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</si>
  <si>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</si>
  <si>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</si>
  <si>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</si>
  <si>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</si>
  <si>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</si>
  <si>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</si>
  <si>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</si>
  <si>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</si>
  <si>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</si>
  <si>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</si>
  <si>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</si>
  <si>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</si>
  <si>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</si>
  <si>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</si>
  <si>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</si>
  <si>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</si>
  <si>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</si>
  <si>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</si>
  <si>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</si>
  <si>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</si>
  <si>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</si>
  <si>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</si>
  <si>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</si>
  <si>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</si>
  <si>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</si>
  <si>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</si>
  <si>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</si>
  <si>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</si>
  <si>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</si>
  <si>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</si>
  <si>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</si>
  <si>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</si>
  <si>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</si>
  <si>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</si>
  <si>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</si>
  <si>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</si>
  <si>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</si>
  <si>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</si>
  <si>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</si>
  <si>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</si>
  <si>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</si>
  <si>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</si>
  <si>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</si>
  <si>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</si>
  <si>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</si>
  <si>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</si>
  <si>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</si>
  <si>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</si>
  <si>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</si>
  <si>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</si>
  <si>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</si>
  <si>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</si>
  <si>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</si>
  <si>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</si>
  <si>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</si>
  <si>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</si>
  <si>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</si>
  <si>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</si>
  <si>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</si>
  <si>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</si>
  <si>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</si>
  <si>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</si>
  <si>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</si>
  <si>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</si>
  <si>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</si>
  <si>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</si>
  <si>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</si>
  <si>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</si>
  <si>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</si>
  <si>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</si>
  <si>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</si>
  <si>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</si>
  <si>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</si>
  <si>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</si>
  <si>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</si>
  <si>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</si>
  <si>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</si>
  <si>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</si>
  <si>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</si>
  <si>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</si>
  <si>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</si>
  <si>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</si>
  <si>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</si>
  <si>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</si>
  <si>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</si>
  <si>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</si>
  <si>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</si>
  <si>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</si>
  <si>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</si>
  <si>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</si>
  <si>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</si>
  <si>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</si>
  <si>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</si>
  <si>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</si>
  <si>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</si>
  <si>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</si>
  <si>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</si>
  <si>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</si>
  <si>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</si>
  <si>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</si>
  <si>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</si>
  <si>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</si>
  <si>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</si>
  <si>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</si>
  <si>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</si>
  <si>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</si>
  <si>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</si>
  <si>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</si>
  <si>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</si>
  <si>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</si>
  <si>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</si>
  <si>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</si>
  <si>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</si>
  <si>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</si>
  <si>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</si>
  <si>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</si>
  <si>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</si>
  <si>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</si>
  <si>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</si>
  <si>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</si>
  <si>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</si>
  <si>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</si>
  <si>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</si>
  <si>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</si>
  <si>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</si>
  <si>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</si>
  <si>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</si>
  <si>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</si>
  <si>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</si>
  <si>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</si>
  <si>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</si>
  <si>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</si>
  <si>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</si>
  <si>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</si>
  <si>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</si>
  <si>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</si>
  <si>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</si>
  <si>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</si>
  <si>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</si>
  <si>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</si>
  <si>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</si>
  <si>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</si>
  <si>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</si>
  <si>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</si>
  <si>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</si>
  <si>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</si>
  <si>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</si>
  <si>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</si>
  <si>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</si>
  <si>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</si>
  <si>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</si>
  <si>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</si>
  <si>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</si>
  <si>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</si>
  <si>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</si>
  <si>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</si>
  <si>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</si>
  <si>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</si>
  <si>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</si>
  <si>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</si>
  <si>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</si>
  <si>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</si>
  <si>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</si>
  <si>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</si>
  <si>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</si>
  <si>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</si>
  <si>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</si>
  <si>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</si>
  <si>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</si>
  <si>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</si>
  <si>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</si>
  <si>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</si>
  <si>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</si>
  <si>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</si>
  <si>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</si>
  <si>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</si>
  <si>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</si>
  <si>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</si>
  <si>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</si>
  <si>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</si>
  <si>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</si>
  <si>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</si>
  <si>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</si>
  <si>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</si>
  <si>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</si>
  <si>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</si>
  <si>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</si>
  <si>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</si>
  <si>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</si>
  <si>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</si>
  <si>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</si>
  <si>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</si>
  <si>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</si>
  <si>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</si>
  <si>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</si>
  <si>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</si>
  <si>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</si>
  <si>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</si>
  <si>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</si>
  <si>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</si>
  <si>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</si>
  <si>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</si>
  <si>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</si>
  <si>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</si>
  <si>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</si>
  <si>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</si>
  <si>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</si>
  <si>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</si>
  <si>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</si>
  <si>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</si>
  <si>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</si>
  <si>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</si>
  <si>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</si>
  <si>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</si>
  <si>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</si>
  <si>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</si>
  <si>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</si>
  <si>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</si>
  <si>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</si>
  <si>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</si>
  <si>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</si>
  <si>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</si>
  <si>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</si>
  <si>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</si>
  <si>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</si>
  <si>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</si>
  <si>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</si>
  <si>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</si>
  <si>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</si>
  <si>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</si>
  <si>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</si>
  <si>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</si>
  <si>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</si>
  <si>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</si>
  <si>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</si>
  <si>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</si>
  <si>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</si>
  <si>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</si>
  <si>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</si>
  <si>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</si>
  <si>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</si>
  <si>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</si>
  <si>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</si>
  <si>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</si>
  <si>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</si>
  <si>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</si>
  <si>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</si>
  <si>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</si>
  <si>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</si>
  <si>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</si>
  <si>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</si>
  <si>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</si>
  <si>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</si>
  <si>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</si>
  <si>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</si>
  <si>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</si>
  <si>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</si>
  <si>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</si>
  <si>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</si>
  <si>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</si>
  <si>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</si>
  <si>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</si>
  <si>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</si>
  <si>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</si>
  <si>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</si>
  <si>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</si>
  <si>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</si>
  <si>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</si>
  <si>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</si>
  <si>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</si>
  <si>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</si>
  <si>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</si>
  <si>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</si>
  <si>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</si>
  <si>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</si>
  <si>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</si>
  <si>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</si>
  <si>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</si>
  <si>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</si>
  <si>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</si>
  <si>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</si>
  <si>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</si>
  <si>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</si>
  <si>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</si>
  <si>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</si>
  <si>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</si>
  <si>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</si>
  <si>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</si>
  <si>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</si>
  <si>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</si>
  <si>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</si>
  <si>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</si>
  <si>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</si>
  <si>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</si>
  <si>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</si>
  <si>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</si>
  <si>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</si>
  <si>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</si>
  <si>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</si>
  <si>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</si>
  <si>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</si>
  <si>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</si>
  <si>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</si>
  <si>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</si>
  <si>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</si>
  <si>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</si>
  <si>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</si>
  <si>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</si>
  <si>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</si>
  <si>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</si>
  <si>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</si>
  <si>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</si>
  <si>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</si>
  <si>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</si>
  <si>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</si>
  <si>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</si>
  <si>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</si>
  <si>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</si>
  <si>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</si>
  <si>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</si>
  <si>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</si>
  <si>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</si>
  <si>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</si>
  <si>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</si>
  <si>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</si>
  <si>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</si>
  <si>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</si>
  <si>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</si>
  <si>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</si>
  <si>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</si>
  <si>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</si>
  <si>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</si>
  <si>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</si>
  <si>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</si>
  <si>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</si>
  <si>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</si>
  <si>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</si>
  <si>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</si>
  <si>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</si>
  <si>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</si>
  <si>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</si>
  <si>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</si>
  <si>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</si>
  <si>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</si>
  <si>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</si>
  <si>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</si>
  <si>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</si>
  <si>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</si>
  <si>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</si>
  <si>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</si>
  <si>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</si>
  <si>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</si>
  <si>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</si>
  <si>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</si>
  <si>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</si>
  <si>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</si>
  <si>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</si>
  <si>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</si>
  <si>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</si>
  <si>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</si>
  <si>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</si>
  <si>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</si>
  <si>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</si>
  <si>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</si>
  <si>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</si>
  <si>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</si>
  <si>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</si>
  <si>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</si>
  <si>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</si>
  <si>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</si>
  <si>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</si>
  <si>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</si>
  <si>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</si>
  <si>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</si>
  <si>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</si>
  <si>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</si>
  <si>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</si>
  <si>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</si>
  <si>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</si>
  <si>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</si>
  <si>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</si>
  <si>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</si>
  <si>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</si>
  <si>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</si>
  <si>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</si>
  <si>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</si>
  <si>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</si>
  <si>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</si>
  <si>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</si>
  <si>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</si>
  <si>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</si>
  <si>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</si>
  <si>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</si>
  <si>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</si>
  <si>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</si>
  <si>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</si>
  <si>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</si>
  <si>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</si>
  <si>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</si>
  <si>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</si>
  <si>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</si>
  <si>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</si>
  <si>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</si>
  <si>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</si>
  <si>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</si>
  <si>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</si>
  <si>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</si>
  <si>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</si>
  <si>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</si>
  <si>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</si>
  <si>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</si>
  <si>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</si>
  <si>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</si>
  <si>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</si>
  <si>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</si>
  <si>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</si>
  <si>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</si>
  <si>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</si>
  <si>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</si>
  <si>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</si>
  <si>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</si>
  <si>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</si>
  <si>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</si>
  <si>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</si>
  <si>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</si>
  <si>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</si>
  <si>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</si>
  <si>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</si>
  <si>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</si>
  <si>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</si>
  <si>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</si>
  <si>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</si>
  <si>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</si>
  <si>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</si>
  <si>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</si>
  <si>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</si>
  <si>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</si>
  <si>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</si>
  <si>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</si>
  <si>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</si>
  <si>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</si>
  <si>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</si>
  <si>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</si>
  <si>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</si>
  <si>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</si>
  <si>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</si>
  <si>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</si>
  <si>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</si>
  <si>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</si>
  <si>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</si>
  <si>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</si>
  <si>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</si>
  <si>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</si>
  <si>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</si>
  <si>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</si>
  <si>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</si>
  <si>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</si>
  <si>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</si>
  <si>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</si>
  <si>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</si>
  <si>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</si>
  <si>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</si>
  <si>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</si>
  <si>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</si>
  <si>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</si>
  <si>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</si>
  <si>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</si>
  <si>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</si>
  <si>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</si>
  <si>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</si>
  <si>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</si>
  <si>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</si>
  <si>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</si>
  <si>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</si>
  <si>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</si>
  <si>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</si>
  <si>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</si>
  <si>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</si>
  <si>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</si>
  <si>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</si>
  <si>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</si>
  <si>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</si>
  <si>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</si>
  <si>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</si>
  <si>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</si>
  <si>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</si>
  <si>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</si>
  <si>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</si>
  <si>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</si>
  <si>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</si>
  <si>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</si>
  <si>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</si>
  <si>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</si>
  <si>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</si>
  <si>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</si>
  <si>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</si>
  <si>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</si>
  <si>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</si>
  <si>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</si>
  <si>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</si>
  <si>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</si>
  <si>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</si>
  <si>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</si>
  <si>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</si>
  <si>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</si>
  <si>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</si>
  <si>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</si>
  <si>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</si>
  <si>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</si>
  <si>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</si>
  <si>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</si>
  <si>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</si>
  <si>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</si>
  <si>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</si>
  <si>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</si>
  <si>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</si>
  <si>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</si>
  <si>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</si>
  <si>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</si>
  <si>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</si>
  <si>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</si>
  <si>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</si>
  <si>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</si>
  <si>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</si>
  <si>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</si>
  <si>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</si>
  <si>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</si>
  <si>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</si>
  <si>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</si>
  <si>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</si>
  <si>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</si>
  <si>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</si>
  <si>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</si>
  <si>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</si>
  <si>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</si>
  <si>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</si>
  <si>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</si>
  <si>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</si>
  <si>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</si>
  <si>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</si>
  <si>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</si>
  <si>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</si>
  <si>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</si>
  <si>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</si>
  <si>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</si>
  <si>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</si>
  <si>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</si>
  <si>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</si>
  <si>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</si>
  <si>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</si>
  <si>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</si>
  <si>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</si>
  <si>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</si>
  <si>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</si>
  <si>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</si>
  <si>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</si>
  <si>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</si>
  <si>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</si>
  <si>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</si>
  <si>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</si>
  <si>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</si>
  <si>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</si>
  <si>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</si>
  <si>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</si>
  <si>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</si>
  <si>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</si>
  <si>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</si>
  <si>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</si>
  <si>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</si>
  <si>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</si>
  <si>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</si>
  <si>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</si>
  <si>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</si>
  <si>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</si>
  <si>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</si>
  <si>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</si>
  <si>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</si>
  <si>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</si>
  <si>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</si>
  <si>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</si>
  <si>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</si>
  <si>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</si>
  <si>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</si>
  <si>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</si>
  <si>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</si>
  <si>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</si>
  <si>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</si>
  <si>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</si>
  <si>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</si>
  <si>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</si>
  <si>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</si>
  <si>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</si>
  <si>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</si>
  <si>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</si>
  <si>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</si>
  <si>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</si>
  <si>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</si>
  <si>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</si>
  <si>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</si>
  <si>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</si>
  <si>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</si>
  <si>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</si>
  <si>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</si>
  <si>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</si>
  <si>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</si>
  <si>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</si>
  <si>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</si>
  <si>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</si>
  <si>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</si>
  <si>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</si>
  <si>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</si>
  <si>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</si>
  <si>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</si>
  <si>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</si>
  <si>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</si>
  <si>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</si>
  <si>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</si>
  <si>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</si>
  <si>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</si>
  <si>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</si>
  <si>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</si>
  <si>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</si>
  <si>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</si>
  <si>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</si>
  <si>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</si>
  <si>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</si>
  <si>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</si>
  <si>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</si>
  <si>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</si>
  <si>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</si>
  <si>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</si>
  <si>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</si>
  <si>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</si>
  <si>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</si>
  <si>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</si>
  <si>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</si>
  <si>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</si>
  <si>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</si>
  <si>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</si>
  <si>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</si>
  <si>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</si>
  <si>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</si>
  <si>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</si>
  <si>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</si>
  <si>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</si>
  <si>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</si>
  <si>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</si>
  <si>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</si>
  <si>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</si>
  <si>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</si>
  <si>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</si>
  <si>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</si>
  <si>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</si>
  <si>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</si>
  <si>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</si>
  <si>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</si>
  <si>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</si>
  <si>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</si>
  <si>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</si>
  <si>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</si>
  <si>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</si>
  <si>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</si>
  <si>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</si>
  <si>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</si>
  <si>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</si>
  <si>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</si>
  <si>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</si>
  <si>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</si>
  <si>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</si>
  <si>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</si>
  <si>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</si>
  <si>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</si>
  <si>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</si>
  <si>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</si>
  <si>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</si>
  <si>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</si>
  <si>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</si>
  <si>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</si>
  <si>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</si>
  <si>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</si>
  <si>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</si>
  <si>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</si>
  <si>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</si>
  <si>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</si>
  <si>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</si>
  <si>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</si>
  <si>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</si>
  <si>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</si>
  <si>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</si>
  <si>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</si>
  <si>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</si>
  <si>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</si>
  <si>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</si>
  <si>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</si>
  <si>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</si>
  <si>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</si>
  <si>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</si>
  <si>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</si>
  <si>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</si>
  <si>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</si>
  <si>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</si>
  <si>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</si>
  <si>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</si>
  <si>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</si>
  <si>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</si>
  <si>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</si>
  <si>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</si>
  <si>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</si>
  <si>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</si>
  <si>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</si>
  <si>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</si>
  <si>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</si>
  <si>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</si>
  <si>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</si>
  <si>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</si>
  <si>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</si>
  <si>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</si>
  <si>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</si>
  <si>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</si>
  <si>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</si>
  <si>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</si>
  <si>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</si>
  <si>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</si>
  <si>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</si>
  <si>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</si>
  <si>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</si>
  <si>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</si>
  <si>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</si>
  <si>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</si>
  <si>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</si>
  <si>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</si>
  <si>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</si>
  <si>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</si>
  <si>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</si>
  <si>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</si>
  <si>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</si>
  <si>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</si>
  <si>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</si>
  <si>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</si>
  <si>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</si>
  <si>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</si>
  <si>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</si>
  <si>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</si>
  <si>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</si>
  <si>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</si>
  <si>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</si>
  <si>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</si>
  <si>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</si>
  <si>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</si>
  <si>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</si>
  <si>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</si>
  <si>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</si>
  <si>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</si>
  <si>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</si>
  <si>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</si>
  <si>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</si>
  <si>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</si>
  <si>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</si>
  <si>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</si>
  <si>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</si>
  <si>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</si>
  <si>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</si>
  <si>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</si>
  <si>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</si>
  <si>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</si>
  <si>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</si>
  <si>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</si>
  <si>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</si>
  <si>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</si>
  <si>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</si>
  <si>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</si>
  <si>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</si>
  <si>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</si>
  <si>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</si>
  <si>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</si>
  <si>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</si>
  <si>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</si>
  <si>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</si>
  <si>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</si>
  <si>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</si>
  <si>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</si>
  <si>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</si>
  <si>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</si>
  <si>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</si>
  <si>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</si>
  <si>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</si>
  <si>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</si>
  <si>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</si>
  <si>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</si>
  <si>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</si>
  <si>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</si>
  <si>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</si>
  <si>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</si>
  <si>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</si>
  <si>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</si>
  <si>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</si>
  <si>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</si>
  <si>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</si>
  <si>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</si>
  <si>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</si>
  <si>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</si>
  <si>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</si>
  <si>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</si>
  <si>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</si>
  <si>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</si>
  <si>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</si>
  <si>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</si>
  <si>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</si>
  <si>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</si>
  <si>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</si>
  <si>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</si>
  <si>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</si>
  <si>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</si>
  <si>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</si>
  <si>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</si>
  <si>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</si>
  <si>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</si>
  <si>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</si>
  <si>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</si>
  <si>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</si>
  <si>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</si>
  <si>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</si>
  <si>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</si>
  <si>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</si>
  <si>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</si>
  <si>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</si>
  <si>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</si>
  <si>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</si>
  <si>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</si>
  <si>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</si>
  <si>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</si>
  <si>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</si>
  <si>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</si>
  <si>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</si>
  <si>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</si>
  <si>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</si>
  <si>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</si>
  <si>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</si>
  <si>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</si>
  <si>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</si>
  <si>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</si>
  <si>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</si>
  <si>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</si>
  <si>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</si>
  <si>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</si>
  <si>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</si>
  <si>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</si>
  <si>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</si>
  <si>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</si>
  <si>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</si>
  <si>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</si>
  <si>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</si>
  <si>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</si>
  <si>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</si>
  <si>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</si>
  <si>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</si>
  <si>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</si>
  <si>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</si>
  <si>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</si>
  <si>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</si>
  <si>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</si>
  <si>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</si>
  <si>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</si>
  <si>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</si>
  <si>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</si>
  <si>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</si>
  <si>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</si>
  <si>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</si>
  <si>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</si>
  <si>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</si>
  <si>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</si>
  <si>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</si>
  <si>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</si>
  <si>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</si>
  <si>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</si>
  <si>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</si>
  <si>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</si>
  <si>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</si>
  <si>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</si>
  <si>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</si>
  <si>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</si>
  <si>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</si>
  <si>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</si>
  <si>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</si>
  <si>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</si>
  <si>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</si>
  <si>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</si>
  <si>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</si>
  <si>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</si>
  <si>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</si>
  <si>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</si>
  <si>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</si>
  <si>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</si>
  <si>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</si>
  <si>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</si>
  <si>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</si>
  <si>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</si>
  <si>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</si>
  <si>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</si>
  <si>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</si>
  <si>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</si>
  <si>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</si>
  <si>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</si>
  <si>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</si>
  <si>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</si>
  <si>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</si>
  <si>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</si>
  <si>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</si>
  <si>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</si>
  <si>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</si>
  <si>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</si>
  <si>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</si>
  <si>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</si>
  <si>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</si>
  <si>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</si>
  <si>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</si>
  <si>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</si>
  <si>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</si>
  <si>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</si>
  <si>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</si>
  <si>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</si>
  <si>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</si>
  <si>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</si>
  <si>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</si>
  <si>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</si>
  <si>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</si>
  <si>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</si>
  <si>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</si>
  <si>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</si>
  <si>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</si>
  <si>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</si>
  <si>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</si>
  <si>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</si>
  <si>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</si>
  <si>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</si>
  <si>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</si>
  <si>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</si>
  <si>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</si>
  <si>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</si>
  <si>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</si>
  <si>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</si>
  <si>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</si>
  <si>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</si>
  <si>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</si>
  <si>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</si>
  <si>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</si>
  <si>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</si>
  <si>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</si>
  <si>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</si>
  <si>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</si>
  <si>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</si>
  <si>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</si>
  <si>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</si>
  <si>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</si>
  <si>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</si>
  <si>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</si>
  <si>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</si>
  <si>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</si>
  <si>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</si>
  <si>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</si>
  <si>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</si>
  <si>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</si>
  <si>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</si>
  <si>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</si>
  <si>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</si>
  <si>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</si>
  <si>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</si>
  <si>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</si>
  <si>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</si>
  <si>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</si>
  <si>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</si>
  <si>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</si>
  <si>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</si>
  <si>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</si>
  <si>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</si>
  <si>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</si>
  <si>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</si>
  <si>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</si>
  <si>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</si>
  <si>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</si>
  <si>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</si>
  <si>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</si>
  <si>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</si>
  <si>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</si>
  <si>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</si>
  <si>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</si>
  <si>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</si>
  <si>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</si>
  <si>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</si>
  <si>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</si>
  <si>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</si>
  <si>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</si>
  <si>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</si>
  <si>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</si>
  <si>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</si>
  <si>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</si>
  <si>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</si>
  <si>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</si>
  <si>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</si>
  <si>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</si>
  <si>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</si>
  <si>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</si>
  <si>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</si>
  <si>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</si>
  <si>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</si>
  <si>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</si>
  <si>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</si>
  <si>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</si>
  <si>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</si>
  <si>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</si>
  <si>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</si>
  <si>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</si>
  <si>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</si>
  <si>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</si>
  <si>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</si>
  <si>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</si>
  <si>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</si>
  <si>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</si>
  <si>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</si>
  <si>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</si>
  <si>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</si>
  <si>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</si>
  <si>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</si>
  <si>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</si>
  <si>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</si>
  <si>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</si>
  <si>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</si>
  <si>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</si>
  <si>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</si>
  <si>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</si>
  <si>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</si>
  <si>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</si>
  <si>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</si>
  <si>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</si>
  <si>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</si>
  <si>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</si>
  <si>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</si>
  <si>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</si>
  <si>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</si>
  <si>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</si>
  <si>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</si>
  <si>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</si>
  <si>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</si>
  <si>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</si>
  <si>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</si>
  <si>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</si>
  <si>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</si>
  <si>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</si>
  <si>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</si>
  <si>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</si>
  <si>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</si>
  <si>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</si>
  <si>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</si>
  <si>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</si>
  <si>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</si>
  <si>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</si>
  <si>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</si>
  <si>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</si>
  <si>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</si>
  <si>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</si>
  <si>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</si>
  <si>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</si>
  <si>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</si>
  <si>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</si>
  <si>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</si>
  <si>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</si>
  <si>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</si>
  <si>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</si>
  <si>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</si>
  <si>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</si>
  <si>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</si>
  <si>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</si>
  <si>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</si>
  <si>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</si>
  <si>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</si>
  <si>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</si>
  <si>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</si>
  <si>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</si>
  <si>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</si>
  <si>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</si>
  <si>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</si>
  <si>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</si>
  <si>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</si>
  <si>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</si>
  <si>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</si>
  <si>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</si>
  <si>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</si>
  <si>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</si>
  <si>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</si>
  <si>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</si>
  <si>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</si>
  <si>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</si>
  <si>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</si>
  <si>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</si>
  <si>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</si>
  <si>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</si>
  <si>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</si>
  <si>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</si>
  <si>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</si>
  <si>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</si>
  <si>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</si>
  <si>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</si>
  <si>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</si>
  <si>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</si>
  <si>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</si>
  <si>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</si>
  <si>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</si>
  <si>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</si>
  <si>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</si>
  <si>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</si>
  <si>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</si>
  <si>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</si>
  <si>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</si>
  <si>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</si>
  <si>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</si>
  <si>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</si>
  <si>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</si>
  <si>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</si>
  <si>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</si>
  <si>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</si>
  <si>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</si>
  <si>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</si>
  <si>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</si>
  <si>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</si>
  <si>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</si>
  <si>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</si>
  <si>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</si>
  <si>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</si>
  <si>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</si>
  <si>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</si>
  <si>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</si>
  <si>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</si>
  <si>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</si>
  <si>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</si>
  <si>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</si>
  <si>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</si>
  <si>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</si>
  <si>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</si>
  <si>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</si>
  <si>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</si>
  <si>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</si>
  <si>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</si>
  <si>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</si>
  <si>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</si>
  <si>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</si>
  <si>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</si>
  <si>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</si>
  <si>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</si>
  <si>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</si>
  <si>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</si>
  <si>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</si>
  <si>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</si>
  <si>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</si>
  <si>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</si>
  <si>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</si>
  <si>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</si>
  <si>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</si>
  <si>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</si>
  <si>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</si>
  <si>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</si>
  <si>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</si>
  <si>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</si>
  <si>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</si>
  <si>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</si>
  <si>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</si>
  <si>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</si>
  <si>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</si>
  <si>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</si>
  <si>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</si>
  <si>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</si>
  <si>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</si>
  <si>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</si>
  <si>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</si>
  <si>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</si>
  <si>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</si>
  <si>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</si>
  <si>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</si>
  <si>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</si>
  <si>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</si>
  <si>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</si>
  <si>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</si>
  <si>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</si>
  <si>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</si>
  <si>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</si>
  <si>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</si>
  <si>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</si>
  <si>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</si>
  <si>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</si>
  <si>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</si>
  <si>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</si>
  <si>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</si>
  <si>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</si>
  <si>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</si>
  <si>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</si>
  <si>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</si>
  <si>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</si>
  <si>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</si>
  <si>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</si>
  <si>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</si>
  <si>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</si>
  <si>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</si>
  <si>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</si>
  <si>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</si>
  <si>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</si>
  <si>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</si>
  <si>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</si>
  <si>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</si>
  <si>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</si>
  <si>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</si>
  <si>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</si>
  <si>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</si>
  <si>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</si>
  <si>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</si>
  <si>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</si>
  <si>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</si>
  <si>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</si>
  <si>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</si>
  <si>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</si>
  <si>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</si>
  <si>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</si>
  <si>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</si>
  <si>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</si>
  <si>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</si>
  <si>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</si>
  <si>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</si>
  <si>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</si>
  <si>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</si>
  <si>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</si>
  <si>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</si>
  <si>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</si>
  <si>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</si>
  <si>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</si>
  <si>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</si>
  <si>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</si>
  <si>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</si>
  <si>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</si>
  <si>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</si>
  <si>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</si>
  <si>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</si>
  <si>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</si>
  <si>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</si>
  <si>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</si>
  <si>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</si>
  <si>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</si>
  <si>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</si>
  <si>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</si>
  <si>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</si>
  <si>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</si>
  <si>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</si>
  <si>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</si>
  <si>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</si>
  <si>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</si>
  <si>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</si>
  <si>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</si>
  <si>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</si>
  <si>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</si>
  <si>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</si>
  <si>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</si>
  <si>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</si>
  <si>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</si>
  <si>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</si>
  <si>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</si>
  <si>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</si>
  <si>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</si>
  <si>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</si>
  <si>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</si>
  <si>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</si>
  <si>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</si>
  <si>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</si>
  <si>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</si>
  <si>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</si>
  <si>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</si>
  <si>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</si>
  <si>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</si>
  <si>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</si>
  <si>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</si>
  <si>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</si>
  <si>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</si>
  <si>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</si>
  <si>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</si>
  <si>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</si>
  <si>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</si>
  <si>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</si>
  <si>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</si>
  <si>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</si>
  <si>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</si>
  <si>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</si>
  <si>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</si>
  <si>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</si>
  <si>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</si>
  <si>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</si>
  <si>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</si>
  <si>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</si>
  <si>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</si>
  <si>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</si>
  <si>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</si>
  <si>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</si>
  <si>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</si>
  <si>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</si>
  <si>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</si>
  <si>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</si>
  <si>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</si>
  <si>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</si>
  <si>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</si>
  <si>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</si>
  <si>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</si>
  <si>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</si>
  <si>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</si>
  <si>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</si>
  <si>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</si>
  <si>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</si>
  <si>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</si>
  <si>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</si>
  <si>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</si>
  <si>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</si>
  <si>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</si>
  <si>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</si>
  <si>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</si>
  <si>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</si>
  <si>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</si>
  <si>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</si>
  <si>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</si>
  <si>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</si>
  <si>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</si>
  <si>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</si>
  <si>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</si>
  <si>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</si>
  <si>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</si>
  <si>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</si>
  <si>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</si>
  <si>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</si>
  <si>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</si>
  <si>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</si>
  <si>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</si>
  <si>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</si>
  <si>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</si>
  <si>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</si>
  <si>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</si>
  <si>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</si>
  <si>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</si>
  <si>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</si>
  <si>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</si>
  <si>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</si>
  <si>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</si>
  <si>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</si>
  <si>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</si>
  <si>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</si>
  <si>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</si>
  <si>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</si>
  <si>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</si>
  <si>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</si>
  <si>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</si>
  <si>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</si>
  <si>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</si>
  <si>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</si>
  <si>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</si>
  <si>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</si>
  <si>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</si>
  <si>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</si>
  <si>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</si>
  <si>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</si>
  <si>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</si>
  <si>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</si>
  <si>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</si>
  <si>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</si>
  <si>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</si>
  <si>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</si>
  <si>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</si>
  <si>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</si>
  <si>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</si>
  <si>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</si>
  <si>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</si>
  <si>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</si>
  <si>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</si>
  <si>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</si>
  <si>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</si>
  <si>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</si>
  <si>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</si>
  <si>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</si>
  <si>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</si>
  <si>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</si>
  <si>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</si>
  <si>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</si>
  <si>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</si>
  <si>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</si>
  <si>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</si>
  <si>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</si>
  <si>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</si>
  <si>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</si>
  <si>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</si>
  <si>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</si>
  <si>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</si>
  <si>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</si>
  <si>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</si>
  <si>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</si>
  <si>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</si>
  <si>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</si>
  <si>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</si>
  <si>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</si>
  <si>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</si>
  <si>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</si>
  <si>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</si>
  <si>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</si>
  <si>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</si>
  <si>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</si>
  <si>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</si>
  <si>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</si>
  <si>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</si>
  <si>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</si>
  <si>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</si>
  <si>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</si>
  <si>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</si>
  <si>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</si>
  <si>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</si>
  <si>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</si>
  <si>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</si>
  <si>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</si>
  <si>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</si>
  <si>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</si>
  <si>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</si>
  <si>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</si>
  <si>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</si>
  <si>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</si>
  <si>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</si>
  <si>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</si>
  <si>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</si>
  <si>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</si>
  <si>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</si>
  <si>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</si>
  <si>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</si>
  <si>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</si>
  <si>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</si>
  <si>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</si>
  <si>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</si>
  <si>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</si>
  <si>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</si>
  <si>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</si>
  <si>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</si>
  <si>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</si>
  <si>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</si>
  <si>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</si>
  <si>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</si>
  <si>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</si>
  <si>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</si>
  <si>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</si>
  <si>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</si>
  <si>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</si>
  <si>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</si>
  <si>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</si>
  <si>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</si>
  <si>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</si>
  <si>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</si>
  <si>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</si>
  <si>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</si>
  <si>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</si>
  <si>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</si>
  <si>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</si>
  <si>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</si>
  <si>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</si>
  <si>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</si>
  <si>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</si>
  <si>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</si>
  <si>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</si>
  <si>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</si>
  <si>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</si>
  <si>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</si>
  <si>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</si>
  <si>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</si>
  <si>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</si>
  <si>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</si>
  <si>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</si>
  <si>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</si>
  <si>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</si>
  <si>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</si>
  <si>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</si>
  <si>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</si>
  <si>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</si>
  <si>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</si>
  <si>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</si>
  <si>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</si>
  <si>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</si>
  <si>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</si>
  <si>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</si>
  <si>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</si>
  <si>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</si>
  <si>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</si>
  <si>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</si>
  <si>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</si>
  <si>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</si>
  <si>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</si>
  <si>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</si>
  <si>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</si>
  <si>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</si>
  <si>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</si>
  <si>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</si>
  <si>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</si>
  <si>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</si>
  <si>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</si>
  <si>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</si>
  <si>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</si>
  <si>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</si>
  <si>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</si>
  <si>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</si>
  <si>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</si>
  <si>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</si>
  <si>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</si>
  <si>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</si>
  <si>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</si>
  <si>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</si>
  <si>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</si>
  <si>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</si>
  <si>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</si>
  <si>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</si>
  <si>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</si>
  <si>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</si>
  <si>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</si>
  <si>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</si>
  <si>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</si>
  <si>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</si>
  <si>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</si>
  <si>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</si>
  <si>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</si>
  <si>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</si>
  <si>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</si>
  <si>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</si>
  <si>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</si>
  <si>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</si>
  <si>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</si>
  <si>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</si>
  <si>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</si>
  <si>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</si>
  <si>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</si>
  <si>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</si>
  <si>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</si>
  <si>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</si>
  <si>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</si>
  <si>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</si>
  <si>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</si>
  <si>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</si>
  <si>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</si>
  <si>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</si>
  <si>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</si>
  <si>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</si>
  <si>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</si>
  <si>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</si>
  <si>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</si>
  <si>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</si>
  <si>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</si>
  <si>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</si>
  <si>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</si>
  <si>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</si>
  <si>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</si>
  <si>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</si>
  <si>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</si>
  <si>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</si>
  <si>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</si>
  <si>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</si>
  <si>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</si>
  <si>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</si>
  <si>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</si>
  <si>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</si>
  <si>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</si>
  <si>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</si>
  <si>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</si>
  <si>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</si>
  <si>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</si>
  <si>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</si>
  <si>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</si>
  <si>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</si>
  <si>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</si>
  <si>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</si>
  <si>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</si>
  <si>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</si>
  <si>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</si>
  <si>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</si>
  <si>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</si>
  <si>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</si>
  <si>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</si>
  <si>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</si>
  <si>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</si>
  <si>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</si>
  <si>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</si>
  <si>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</si>
  <si>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</si>
  <si>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</si>
  <si>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</si>
  <si>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</si>
  <si>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</si>
  <si>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</si>
  <si>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</si>
  <si>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</si>
  <si>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</si>
  <si>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</si>
  <si>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</si>
  <si>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</si>
  <si>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</si>
  <si>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</si>
  <si>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</si>
  <si>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</si>
  <si>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</si>
  <si>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</si>
  <si>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</si>
  <si>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</si>
  <si>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</si>
  <si>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</si>
  <si>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</si>
  <si>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</si>
  <si>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</si>
  <si>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</si>
  <si>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</si>
  <si>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</si>
  <si>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</si>
  <si>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</si>
  <si>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</si>
  <si>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</si>
  <si>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</si>
  <si>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</si>
  <si>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</si>
  <si>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</si>
  <si>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</si>
  <si>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</si>
  <si>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</si>
  <si>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</si>
  <si>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</si>
  <si>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</si>
  <si>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</si>
  <si>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</si>
  <si>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</si>
  <si>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</si>
  <si>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</si>
  <si>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</si>
  <si>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</si>
  <si>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</si>
  <si>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</si>
  <si>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</si>
  <si>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</si>
  <si>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</si>
  <si>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</si>
  <si>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</si>
  <si>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</si>
  <si>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</si>
  <si>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</si>
  <si>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</si>
  <si>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</si>
  <si>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</si>
  <si>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</si>
  <si>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</si>
  <si>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</si>
  <si>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</si>
  <si>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</si>
  <si>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</si>
  <si>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</si>
  <si>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</si>
  <si>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</si>
  <si>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</si>
  <si>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</si>
  <si>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</si>
  <si>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</si>
  <si>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</si>
  <si>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</si>
  <si>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</si>
  <si>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</si>
  <si>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</si>
  <si>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</si>
  <si>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</si>
  <si>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</si>
  <si>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</si>
  <si>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</si>
  <si>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</si>
  <si>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</si>
  <si>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</si>
  <si>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</si>
  <si>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</si>
  <si>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</si>
  <si>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</si>
  <si>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</si>
  <si>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</si>
  <si>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</si>
  <si>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</si>
  <si>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</si>
  <si>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</si>
  <si>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</si>
  <si>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</si>
  <si>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</si>
  <si>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</si>
  <si>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</si>
  <si>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</si>
  <si>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</si>
  <si>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</si>
  <si>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</si>
  <si>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</si>
  <si>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</si>
  <si>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</si>
  <si>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</si>
  <si>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</si>
  <si>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</si>
  <si>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</si>
  <si>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</si>
  <si>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</si>
  <si>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</si>
  <si>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</si>
  <si>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</si>
  <si>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</si>
  <si>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</si>
  <si>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</si>
  <si>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</si>
  <si>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</si>
  <si>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</si>
  <si>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</si>
  <si>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</si>
  <si>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</si>
  <si>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</si>
  <si>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</si>
  <si>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</si>
  <si>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</si>
  <si>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</si>
  <si>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</si>
  <si>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</si>
  <si>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</si>
  <si>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</si>
  <si>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</si>
  <si>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</si>
  <si>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</si>
  <si>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</si>
  <si>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</si>
  <si>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</si>
  <si>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</si>
  <si>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</si>
  <si>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</si>
  <si>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</si>
  <si>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</si>
  <si>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</si>
  <si>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</si>
  <si>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</si>
  <si>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</si>
  <si>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</si>
  <si>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</si>
  <si>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</si>
  <si>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</si>
  <si>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</si>
  <si>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</si>
  <si>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</si>
  <si>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</si>
  <si>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</si>
  <si>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</si>
  <si>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</si>
  <si>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</si>
  <si>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</si>
  <si>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</si>
  <si>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</si>
  <si>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</si>
  <si>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</si>
  <si>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</si>
  <si>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</si>
  <si>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</si>
  <si>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</si>
  <si>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</si>
  <si>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</si>
  <si>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</si>
  <si>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</si>
  <si>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</si>
  <si>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</si>
  <si>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</si>
  <si>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</si>
  <si>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</si>
  <si>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</si>
  <si>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</si>
  <si>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</si>
  <si>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</si>
  <si>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</si>
  <si>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</si>
  <si>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</si>
  <si>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</si>
  <si>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</si>
  <si>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</si>
  <si>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</si>
  <si>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</si>
  <si>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</si>
  <si>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</si>
  <si>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</si>
  <si>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</si>
  <si>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</si>
  <si>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</si>
  <si>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</si>
  <si>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</si>
  <si>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</si>
  <si>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</si>
  <si>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</si>
  <si>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</si>
  <si>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</si>
  <si>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</si>
  <si>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</si>
  <si>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</si>
  <si>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</si>
  <si>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</si>
  <si>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</si>
  <si>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</si>
  <si>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</si>
  <si>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</si>
  <si>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</si>
  <si>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</si>
  <si>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</si>
  <si>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</si>
  <si>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</si>
  <si>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</si>
  <si>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</si>
  <si>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</si>
  <si>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</si>
  <si>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</si>
  <si>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</si>
  <si>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</si>
  <si>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</si>
  <si>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</si>
  <si>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</si>
  <si>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</si>
  <si>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</si>
  <si>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</si>
  <si>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</si>
  <si>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</si>
  <si>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</si>
  <si>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</si>
  <si>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</si>
  <si>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</si>
  <si>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</si>
  <si>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</si>
  <si>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</si>
  <si>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</si>
  <si>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</si>
  <si>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</si>
  <si>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</si>
  <si>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</si>
  <si>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</si>
  <si>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</si>
  <si>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</si>
  <si>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</si>
  <si>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</si>
  <si>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</si>
  <si>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</si>
  <si>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</si>
  <si>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</si>
  <si>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</si>
  <si>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</si>
  <si>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</si>
  <si>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</si>
  <si>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</si>
  <si>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</si>
  <si>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</si>
  <si>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</si>
  <si>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</si>
  <si>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</si>
  <si>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</si>
  <si>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</si>
  <si>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</si>
  <si>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</si>
  <si>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</si>
  <si>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</si>
  <si>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</si>
  <si>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</si>
  <si>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</si>
  <si>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</si>
  <si>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</si>
  <si>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</si>
  <si>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</si>
  <si>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</si>
  <si>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</si>
  <si>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</si>
  <si>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</si>
  <si>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</si>
  <si>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</si>
  <si>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</si>
  <si>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</si>
  <si>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</si>
  <si>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</si>
  <si>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</si>
  <si>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</si>
  <si>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</si>
  <si>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</si>
  <si>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</si>
  <si>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</si>
  <si>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</si>
  <si>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</si>
  <si>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</si>
  <si>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</si>
  <si>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</si>
  <si>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</si>
  <si>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</si>
  <si>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</si>
  <si>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</si>
  <si>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</si>
  <si>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</si>
  <si>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</si>
  <si>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</si>
  <si>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</si>
  <si>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</si>
  <si>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</si>
  <si>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</si>
  <si>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</si>
  <si>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</si>
  <si>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</si>
  <si>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</si>
  <si>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</si>
  <si>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</si>
  <si>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</si>
  <si>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</si>
  <si>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</si>
  <si>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</si>
  <si>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</si>
  <si>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</si>
  <si>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</si>
  <si>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</si>
  <si>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</si>
  <si>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</si>
  <si>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</si>
  <si>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</si>
  <si>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</si>
  <si>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</si>
  <si>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</si>
  <si>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</si>
  <si>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</si>
  <si>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</si>
  <si>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</si>
  <si>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</si>
  <si>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</si>
  <si>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</si>
  <si>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</si>
  <si>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</si>
  <si>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</si>
  <si>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</si>
  <si>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</si>
  <si>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</si>
  <si>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</si>
  <si>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</si>
  <si>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</si>
  <si>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</si>
  <si>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</si>
  <si>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</si>
  <si>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</si>
  <si>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</si>
  <si>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</si>
  <si>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</si>
  <si>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</si>
  <si>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</si>
  <si>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</si>
  <si>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</si>
  <si>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</si>
  <si>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</si>
  <si>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</si>
  <si>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</si>
  <si>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</si>
  <si>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</si>
  <si>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</si>
  <si>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</si>
  <si>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</si>
  <si>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</si>
  <si>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</si>
  <si>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</si>
  <si>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</si>
  <si>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</si>
  <si>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</si>
  <si>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</si>
  <si>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</si>
  <si>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</si>
  <si>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</si>
  <si>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</si>
  <si>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</si>
  <si>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</si>
  <si>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</si>
  <si>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</si>
  <si>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</si>
  <si>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</si>
  <si>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</si>
  <si>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</si>
  <si>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</si>
  <si>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</si>
  <si>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</si>
  <si>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</si>
  <si>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</si>
  <si>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</si>
  <si>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</si>
  <si>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</si>
  <si>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</si>
  <si>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</si>
  <si>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</si>
  <si>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</si>
  <si>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</si>
  <si>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</si>
  <si>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</si>
  <si>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</si>
  <si>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</si>
  <si>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</si>
  <si>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</si>
  <si>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</si>
  <si>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</si>
  <si>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</si>
  <si>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</si>
  <si>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</si>
  <si>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</si>
  <si>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</si>
  <si>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</si>
  <si>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</si>
  <si>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</si>
  <si>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</si>
  <si>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</si>
  <si>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</si>
  <si>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</si>
  <si>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</si>
  <si>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</si>
  <si>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</si>
  <si>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</si>
  <si>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</si>
  <si>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</si>
  <si>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</si>
  <si>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</si>
  <si>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</si>
  <si>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</si>
  <si>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</si>
  <si>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</si>
  <si>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</si>
  <si>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</si>
  <si>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</si>
  <si>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</si>
  <si>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</si>
  <si>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</si>
  <si>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</si>
  <si>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</si>
  <si>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</si>
  <si>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</si>
  <si>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</si>
  <si>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</si>
  <si>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</si>
  <si>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</si>
  <si>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</si>
  <si>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</si>
  <si>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</si>
  <si>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</si>
  <si>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</si>
  <si>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</si>
  <si>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</si>
  <si>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</si>
  <si>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</si>
  <si>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</si>
  <si>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</si>
  <si>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</si>
  <si>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</si>
  <si>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</si>
  <si>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</si>
  <si>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</si>
  <si>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</si>
  <si>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</si>
  <si>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</si>
  <si>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</si>
  <si>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</si>
  <si>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</si>
  <si>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</si>
  <si>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</si>
  <si>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</si>
  <si>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</si>
  <si>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</si>
  <si>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</si>
  <si>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</si>
  <si>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</si>
  <si>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</si>
  <si>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</si>
  <si>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</si>
  <si>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</si>
  <si>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</si>
  <si>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</si>
  <si>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</si>
  <si>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</si>
  <si>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</si>
  <si>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</si>
  <si>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</si>
  <si>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</si>
  <si>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</si>
  <si>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</si>
  <si>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</si>
  <si>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</si>
  <si>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</si>
  <si>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</si>
  <si>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</si>
  <si>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</si>
  <si>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</si>
  <si>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</si>
  <si>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</si>
  <si>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</si>
  <si>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</si>
  <si>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</si>
  <si>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</si>
  <si>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</si>
  <si>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</si>
  <si>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</si>
  <si>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</si>
  <si>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</si>
  <si>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</si>
  <si>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</si>
  <si>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</si>
  <si>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</si>
  <si>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</si>
  <si>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</si>
  <si>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</si>
  <si>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</si>
  <si>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</si>
  <si>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</si>
  <si>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</si>
  <si>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</si>
  <si>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</si>
  <si>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</si>
  <si>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</si>
  <si>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</si>
  <si>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</si>
  <si>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</si>
  <si>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</si>
  <si>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</si>
  <si>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</si>
  <si>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</si>
  <si>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</si>
  <si>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</si>
  <si>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</si>
  <si>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</si>
  <si>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</si>
  <si>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</si>
  <si>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</si>
  <si>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</si>
  <si>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</si>
  <si>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</si>
  <si>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</si>
  <si>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</si>
  <si>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</si>
  <si>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</si>
  <si>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</si>
  <si>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</si>
  <si>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</si>
  <si>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</si>
  <si>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</si>
  <si>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</si>
  <si>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</si>
  <si>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</si>
  <si>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</si>
  <si>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</si>
  <si>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</si>
  <si>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</si>
  <si>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</si>
  <si>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</si>
  <si>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</si>
  <si>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</si>
  <si>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</si>
  <si>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</si>
  <si>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</si>
  <si>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</si>
  <si>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</si>
  <si>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</si>
  <si>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</si>
  <si>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</si>
  <si>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</si>
  <si>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</si>
  <si>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</si>
  <si>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</si>
  <si>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</si>
  <si>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</si>
  <si>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</si>
  <si>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</si>
  <si>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</si>
  <si>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</si>
  <si>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</si>
  <si>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</si>
  <si>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</si>
  <si>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</si>
  <si>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</si>
  <si>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</si>
  <si>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</si>
  <si>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</si>
  <si>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</si>
  <si>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</si>
  <si>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</si>
  <si>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</si>
  <si>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</si>
  <si>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</si>
  <si>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</si>
  <si>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</si>
  <si>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</si>
  <si>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</si>
  <si>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</si>
  <si>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</si>
  <si>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</si>
  <si>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</si>
  <si>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</si>
  <si>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</si>
  <si>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</si>
  <si>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</si>
  <si>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</si>
  <si>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</si>
  <si>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</si>
  <si>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</si>
  <si>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</si>
  <si>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</si>
  <si>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</si>
  <si>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</si>
  <si>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</si>
  <si>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</si>
  <si>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</si>
  <si>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</si>
  <si>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</si>
  <si>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</si>
  <si>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</si>
  <si>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</si>
  <si>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</si>
  <si>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</si>
  <si>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</si>
  <si>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</si>
  <si>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</si>
  <si>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</si>
  <si>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</si>
  <si>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</si>
  <si>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</si>
  <si>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</si>
  <si>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</si>
  <si>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</si>
  <si>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</si>
  <si>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</si>
  <si>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</si>
  <si>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</si>
  <si>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</si>
  <si>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</si>
  <si>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</si>
  <si>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</si>
  <si>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</si>
  <si>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</si>
  <si>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</si>
  <si>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</si>
  <si>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</si>
  <si>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</si>
  <si>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</si>
  <si>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</si>
  <si>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</si>
  <si>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</si>
  <si>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</si>
  <si>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</si>
  <si>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</si>
  <si>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</si>
  <si>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</si>
  <si>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</si>
  <si>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</si>
  <si>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</si>
  <si>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</si>
  <si>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</si>
  <si>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</si>
  <si>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</si>
  <si>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</si>
  <si>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</si>
  <si>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</si>
  <si>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</si>
  <si>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</si>
  <si>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</si>
  <si>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</si>
  <si>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</si>
  <si>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</si>
  <si>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</si>
  <si>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</si>
  <si>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</si>
  <si>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</si>
  <si>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</si>
  <si>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</si>
  <si>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</si>
  <si>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</si>
  <si>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</si>
  <si>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</si>
  <si>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</si>
  <si>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</si>
  <si>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</si>
  <si>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</si>
  <si>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</si>
  <si>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</si>
  <si>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</si>
  <si>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</si>
  <si>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</si>
  <si>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</si>
  <si>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</si>
  <si>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</si>
  <si>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</si>
  <si>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</si>
  <si>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</si>
  <si>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</si>
  <si>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</si>
  <si>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</si>
  <si>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</si>
  <si>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</si>
  <si>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</si>
  <si>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</si>
  <si>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</si>
  <si>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</si>
  <si>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</si>
  <si>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</si>
  <si>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</si>
  <si>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</si>
  <si>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</si>
  <si>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</si>
  <si>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</si>
  <si>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</si>
  <si>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</si>
  <si>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</si>
  <si>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</si>
  <si>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</si>
  <si>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</si>
  <si>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</si>
  <si>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</si>
  <si>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</si>
  <si>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</si>
  <si>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</si>
  <si>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</si>
  <si>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</si>
  <si>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</si>
  <si>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</si>
  <si>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</si>
  <si>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</si>
  <si>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</si>
  <si>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</si>
  <si>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</si>
  <si>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</si>
  <si>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</si>
  <si>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</si>
  <si>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</si>
  <si>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</si>
  <si>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</si>
  <si>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</si>
  <si>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</si>
  <si>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</si>
  <si>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</si>
  <si>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</si>
  <si>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</si>
  <si>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</si>
  <si>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</si>
  <si>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</si>
  <si>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</si>
  <si>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</si>
  <si>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</si>
  <si>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</si>
  <si>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</si>
  <si>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</si>
  <si>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</si>
  <si>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</si>
  <si>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</si>
  <si>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</si>
  <si>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</si>
  <si>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</si>
  <si>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</si>
  <si>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</si>
  <si>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</si>
  <si>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</si>
  <si>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</si>
  <si>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</si>
  <si>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</si>
  <si>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</si>
  <si>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</si>
  <si>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</si>
  <si>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</si>
  <si>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</si>
  <si>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</si>
  <si>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</si>
  <si>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</si>
  <si>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</si>
  <si>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</si>
  <si>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</si>
  <si>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</si>
  <si>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</si>
  <si>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</si>
  <si>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</si>
  <si>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</si>
  <si>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</si>
  <si>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</si>
  <si>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</si>
  <si>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</si>
  <si>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</si>
  <si>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</si>
  <si>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</si>
  <si>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</si>
  <si>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</si>
  <si>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</si>
  <si>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</si>
  <si>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</si>
  <si>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</si>
  <si>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</si>
  <si>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</si>
  <si>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</si>
  <si>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</si>
  <si>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</si>
  <si>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</si>
  <si>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</si>
  <si>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</si>
  <si>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</si>
  <si>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</si>
  <si>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</si>
  <si>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</si>
  <si>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</si>
  <si>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</si>
  <si>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</si>
  <si>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</si>
  <si>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</si>
  <si>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</si>
  <si>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</si>
  <si>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</si>
  <si>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</si>
  <si>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</si>
  <si>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</si>
  <si>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</si>
  <si>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</si>
  <si>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</si>
  <si>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</si>
  <si>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</si>
  <si>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</si>
  <si>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</si>
  <si>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</si>
  <si>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</si>
  <si>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</si>
  <si>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</si>
  <si>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</si>
  <si>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</si>
  <si>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</si>
  <si>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</si>
  <si>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</si>
  <si>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</si>
  <si>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</si>
  <si>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</si>
  <si>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</si>
  <si>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</si>
  <si>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</si>
  <si>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</si>
  <si>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</si>
  <si>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</si>
  <si>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</si>
  <si>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</si>
  <si>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</si>
  <si>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</si>
  <si>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</si>
  <si>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</si>
  <si>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</si>
  <si>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</si>
  <si>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</si>
  <si>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</si>
  <si>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</si>
  <si>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</si>
  <si>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</si>
  <si>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</si>
  <si>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</si>
  <si>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</si>
  <si>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</si>
  <si>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</si>
  <si>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</si>
  <si>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</si>
  <si>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</si>
  <si>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</si>
  <si>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</si>
  <si>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</si>
  <si>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</si>
  <si>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</si>
  <si>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</si>
  <si>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</si>
  <si>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</si>
  <si>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</si>
  <si>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</si>
  <si>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</si>
  <si>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</si>
  <si>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</si>
  <si>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</si>
  <si>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</si>
  <si>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</si>
  <si>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</si>
  <si>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</si>
  <si>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</si>
  <si>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</si>
  <si>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</si>
  <si>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</si>
  <si>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</si>
  <si>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</si>
  <si>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</si>
  <si>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</si>
  <si>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</si>
  <si>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</si>
  <si>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</si>
  <si>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</si>
  <si>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</si>
  <si>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</si>
  <si>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</si>
  <si>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</si>
  <si>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</si>
  <si>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</si>
  <si>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</si>
  <si>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</si>
  <si>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</si>
  <si>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</si>
  <si>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</si>
  <si>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</si>
  <si>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</si>
  <si>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</si>
  <si>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</si>
  <si>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</si>
  <si>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</si>
  <si>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</si>
  <si>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</si>
  <si>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</si>
  <si>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</si>
  <si>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</si>
  <si>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</si>
  <si>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</si>
  <si>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</si>
  <si>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</si>
  <si>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</si>
  <si>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</si>
  <si>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</si>
  <si>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</si>
  <si>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</si>
  <si>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</si>
  <si>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</si>
  <si>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</si>
  <si>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</si>
  <si>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</si>
  <si>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</si>
  <si>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</si>
  <si>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</si>
  <si>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</si>
  <si>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</si>
  <si>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</si>
  <si>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</si>
  <si>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</si>
  <si>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</si>
  <si>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</si>
  <si>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</si>
  <si>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</si>
  <si>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</si>
  <si>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</si>
  <si>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</si>
  <si>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</si>
  <si>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</si>
  <si>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</si>
  <si>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</si>
  <si>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</si>
  <si>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</si>
  <si>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</si>
  <si>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</si>
  <si>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</si>
  <si>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</si>
  <si>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</si>
  <si>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</si>
  <si>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</si>
  <si>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</si>
  <si>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</si>
  <si>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</si>
  <si>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</si>
  <si>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</si>
  <si>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</si>
  <si>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</si>
  <si>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</si>
  <si>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</si>
  <si>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</si>
  <si>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</si>
  <si>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</si>
  <si>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</si>
  <si>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</si>
  <si>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</si>
  <si>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</si>
  <si>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</si>
  <si>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</si>
  <si>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</si>
  <si>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</si>
  <si>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</si>
  <si>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</si>
  <si>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</si>
  <si>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</si>
  <si>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</si>
  <si>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</si>
  <si>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</si>
  <si>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</si>
  <si>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</si>
  <si>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</si>
  <si>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</si>
  <si>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</si>
  <si>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</si>
  <si>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</si>
  <si>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</si>
  <si>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</si>
  <si>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</si>
  <si>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</si>
  <si>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</si>
  <si>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</si>
  <si>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</si>
  <si>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</si>
  <si>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</si>
  <si>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</si>
  <si>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</si>
  <si>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</si>
  <si>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</si>
  <si>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</si>
  <si>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</si>
  <si>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</si>
  <si>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</si>
  <si>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</si>
  <si>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</si>
  <si>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</si>
  <si>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</si>
  <si>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</si>
  <si>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</si>
  <si>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</si>
  <si>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</si>
  <si>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</si>
  <si>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</si>
  <si>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</si>
  <si>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</si>
  <si>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</si>
  <si>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</si>
  <si>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</si>
  <si>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</si>
  <si>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</si>
  <si>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</si>
  <si>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</si>
  <si>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</si>
  <si>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</si>
  <si>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</si>
  <si>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</si>
  <si>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</si>
  <si>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</si>
  <si>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</si>
  <si>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</si>
  <si>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</si>
  <si>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</si>
  <si>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</si>
  <si>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</si>
  <si>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</si>
  <si>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</si>
  <si>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</si>
  <si>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</si>
  <si>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</si>
  <si>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</si>
  <si>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</si>
  <si>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</si>
  <si>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</si>
  <si>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</si>
  <si>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</si>
  <si>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</si>
  <si>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</si>
  <si>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</si>
  <si>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</si>
  <si>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</si>
  <si>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</si>
  <si>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</si>
  <si>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</si>
  <si>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</si>
  <si>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</si>
  <si>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</si>
  <si>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</si>
  <si>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</si>
  <si>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</si>
  <si>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</si>
  <si>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</si>
  <si>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</si>
  <si>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</si>
  <si>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</si>
  <si>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</si>
  <si>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</si>
  <si>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</si>
  <si>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</si>
  <si>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</si>
  <si>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</si>
  <si>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</si>
  <si>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</si>
  <si>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</si>
  <si>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</si>
  <si>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</si>
  <si>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</si>
  <si>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</si>
  <si>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</si>
  <si>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</si>
  <si>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</si>
  <si>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</si>
  <si>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</si>
  <si>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</si>
  <si>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</si>
  <si>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</si>
  <si>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</si>
  <si>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</si>
  <si>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</si>
  <si>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</si>
  <si>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</si>
  <si>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</si>
  <si>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</si>
  <si>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</si>
  <si>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</si>
  <si>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</si>
  <si>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</si>
  <si>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</si>
  <si>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</si>
  <si>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</si>
  <si>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</si>
  <si>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</si>
  <si>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</si>
  <si>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</si>
  <si>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</si>
  <si>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</si>
  <si>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</si>
  <si>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</si>
  <si>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</si>
  <si>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</si>
  <si>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</si>
  <si>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</si>
  <si>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</si>
  <si>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</si>
  <si>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</si>
  <si>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</si>
  <si>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</si>
  <si>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</si>
  <si>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</si>
  <si>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</si>
  <si>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</si>
  <si>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</si>
  <si>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</si>
  <si>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</si>
  <si>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</si>
  <si>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</si>
  <si>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</si>
  <si>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</si>
  <si>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</si>
  <si>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</si>
  <si>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</si>
  <si>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</si>
  <si>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</si>
  <si>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</si>
  <si>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</si>
  <si>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</si>
  <si>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</si>
  <si>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</si>
  <si>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</si>
  <si>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</si>
  <si>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</si>
  <si>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</si>
  <si>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</si>
  <si>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</si>
  <si>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</si>
  <si>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</si>
  <si>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</si>
  <si>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</si>
  <si>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</si>
  <si>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</si>
  <si>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</si>
  <si>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</si>
  <si>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</si>
  <si>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</si>
  <si>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</si>
  <si>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</si>
  <si>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</si>
  <si>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</si>
  <si>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</si>
  <si>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</si>
  <si>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</si>
  <si>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</si>
  <si>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</si>
  <si>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</si>
  <si>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</si>
  <si>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</si>
  <si>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</si>
  <si>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</si>
  <si>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</si>
  <si>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</si>
  <si>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</si>
  <si>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</si>
  <si>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</si>
  <si>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</si>
  <si>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</si>
  <si>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</si>
  <si>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</si>
  <si>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</si>
  <si>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</si>
  <si>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</si>
  <si>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</si>
  <si>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</si>
  <si>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</si>
  <si>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</si>
  <si>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</si>
  <si>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</si>
  <si>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</si>
  <si>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</si>
  <si>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</si>
  <si>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</si>
  <si>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</si>
  <si>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</si>
  <si>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</si>
  <si>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</si>
  <si>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</si>
  <si>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</si>
  <si>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</si>
  <si>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</si>
  <si>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</si>
  <si>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</si>
  <si>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</si>
  <si>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</si>
  <si>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</si>
  <si>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</si>
  <si>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</si>
  <si>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</si>
  <si>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</si>
  <si>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</si>
  <si>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</si>
  <si>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</si>
  <si>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</si>
  <si>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</si>
  <si>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</si>
  <si>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</si>
  <si>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</si>
  <si>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</si>
  <si>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</si>
  <si>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</si>
  <si>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</si>
  <si>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</si>
  <si>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</si>
  <si>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</si>
  <si>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</si>
  <si>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</si>
  <si>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</si>
  <si>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</si>
  <si>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</si>
  <si>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</si>
  <si>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</si>
  <si>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</si>
  <si>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</si>
  <si>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</si>
  <si>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</si>
  <si>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</si>
  <si>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</si>
  <si>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</si>
  <si>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</si>
  <si>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</si>
  <si>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</si>
  <si>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</si>
  <si>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</si>
  <si>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</si>
  <si>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</si>
  <si>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</si>
  <si>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</si>
  <si>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</si>
  <si>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</si>
  <si>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</si>
  <si>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</si>
  <si>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</si>
  <si>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</si>
  <si>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</si>
  <si>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</si>
  <si>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</si>
  <si>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</si>
  <si>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</si>
  <si>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</si>
  <si>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</si>
  <si>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</si>
  <si>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</si>
  <si>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</si>
  <si>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</si>
  <si>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</si>
  <si>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</si>
  <si>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</si>
  <si>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</si>
  <si>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</si>
  <si>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</si>
  <si>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</si>
  <si>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</si>
  <si>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</si>
  <si>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</si>
  <si>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</si>
  <si>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</si>
  <si>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</si>
  <si>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</si>
  <si>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</si>
  <si>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</si>
  <si>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</si>
  <si>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</si>
  <si>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</si>
  <si>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</si>
  <si>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</si>
  <si>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</si>
  <si>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</si>
  <si>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</si>
  <si>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</si>
  <si>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</si>
  <si>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</si>
  <si>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</si>
  <si>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</si>
  <si>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</si>
  <si>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</si>
  <si>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</si>
  <si>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</si>
  <si>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</si>
  <si>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</si>
  <si>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</si>
  <si>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</si>
  <si>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</si>
  <si>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</si>
  <si>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</si>
  <si>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</si>
  <si>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</si>
  <si>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</si>
  <si>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</si>
  <si>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</si>
  <si>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</si>
  <si>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</si>
  <si>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</si>
  <si>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</si>
  <si>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</si>
  <si>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</si>
  <si>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</si>
  <si>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</si>
  <si>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</si>
  <si>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</si>
  <si>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</si>
  <si>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</si>
  <si>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</si>
  <si>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</si>
  <si>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</si>
  <si>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</si>
  <si>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</si>
  <si>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</si>
  <si>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</si>
  <si>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</si>
  <si>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</si>
  <si>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</si>
  <si>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</si>
  <si>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</si>
  <si>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</si>
  <si>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</si>
  <si>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</si>
  <si>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</si>
  <si>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</si>
  <si>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</si>
  <si>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</si>
  <si>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</si>
  <si>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</si>
  <si>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</si>
  <si>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</si>
  <si>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</si>
  <si>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</si>
  <si>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</si>
  <si>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</si>
  <si>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</si>
  <si>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</si>
  <si>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</si>
  <si>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</si>
  <si>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</si>
  <si>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</si>
  <si>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</si>
  <si>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</si>
  <si>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</si>
  <si>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</si>
  <si>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</si>
  <si>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</si>
  <si>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</si>
  <si>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</si>
  <si>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</si>
  <si>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</si>
  <si>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</si>
  <si>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</si>
  <si>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</si>
  <si>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</si>
  <si>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</si>
  <si>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</si>
  <si>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</si>
  <si>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</si>
  <si>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</si>
  <si>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</si>
  <si>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</si>
  <si>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</si>
  <si>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</si>
  <si>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</si>
  <si>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</si>
  <si>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</si>
  <si>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</si>
  <si>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</si>
  <si>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</si>
  <si>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</si>
  <si>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</si>
  <si>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</si>
  <si>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</si>
  <si>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</si>
  <si>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</si>
  <si>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</si>
  <si>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</si>
  <si>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</si>
  <si>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</si>
  <si>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</si>
  <si>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</si>
  <si>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</si>
  <si>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</si>
  <si>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</si>
  <si>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</si>
  <si>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</si>
  <si>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</si>
  <si>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</si>
  <si>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</si>
  <si>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</si>
  <si>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</si>
  <si>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</si>
  <si>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</si>
  <si>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</si>
  <si>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</si>
  <si>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</si>
  <si>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</si>
  <si>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</si>
  <si>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</si>
  <si>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</si>
  <si>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</si>
  <si>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</si>
  <si>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</si>
  <si>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</si>
  <si>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</si>
  <si>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</si>
  <si>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</si>
  <si>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</si>
  <si>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</si>
  <si>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</si>
  <si>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</si>
  <si>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</si>
  <si>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</si>
  <si>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</si>
  <si>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</si>
  <si>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</si>
  <si>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</si>
  <si>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</si>
  <si>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</si>
  <si>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</si>
  <si>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</si>
  <si>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</si>
  <si>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</si>
  <si>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</si>
  <si>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</si>
  <si>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</si>
  <si>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</si>
  <si>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</si>
  <si>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</si>
  <si>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</si>
  <si>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</si>
  <si>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</si>
  <si>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</si>
  <si>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</si>
  <si>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</si>
  <si>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</si>
  <si>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</si>
  <si>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</si>
  <si>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</si>
  <si>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</si>
  <si>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</si>
  <si>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</si>
  <si>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</si>
  <si>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</si>
  <si>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</si>
  <si>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</si>
  <si>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</si>
  <si>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</si>
  <si>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</si>
  <si>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</si>
  <si>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</si>
  <si>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</si>
  <si>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</si>
  <si>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</si>
  <si>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</si>
  <si>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</si>
  <si>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</si>
  <si>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</si>
  <si>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</si>
  <si>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</si>
  <si>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</si>
  <si>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</si>
  <si>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</si>
  <si>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</si>
  <si>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</si>
  <si>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</si>
  <si>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</si>
  <si>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</si>
  <si>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</si>
  <si>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</si>
  <si>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</si>
  <si>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</si>
  <si>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</si>
  <si>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</si>
  <si>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</si>
  <si>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</si>
  <si>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</si>
  <si>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</si>
  <si>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</si>
  <si>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</si>
  <si>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</si>
  <si>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</si>
  <si>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</si>
  <si>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</si>
  <si>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</si>
  <si>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</si>
  <si>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</si>
  <si>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</si>
  <si>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</si>
  <si>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</si>
  <si>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</si>
  <si>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</si>
  <si>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</si>
  <si>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</si>
  <si>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</si>
  <si>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</si>
  <si>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</si>
  <si>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</si>
  <si>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</si>
  <si>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</si>
  <si>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</si>
  <si>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</si>
  <si>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</si>
  <si>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</si>
  <si>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</si>
  <si>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</si>
  <si>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</si>
  <si>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</si>
  <si>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</si>
  <si>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</si>
  <si>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</si>
  <si>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</si>
  <si>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</si>
  <si>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</si>
  <si>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</si>
  <si>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</si>
  <si>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</si>
  <si>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</si>
  <si>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</si>
  <si>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</si>
  <si>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</si>
  <si>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</si>
  <si>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</si>
  <si>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</si>
  <si>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</si>
  <si>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</si>
  <si>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</si>
  <si>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</si>
  <si>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</si>
  <si>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</si>
  <si>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</si>
  <si>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</si>
  <si>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</si>
  <si>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</si>
  <si>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</si>
  <si>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</si>
  <si>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</si>
  <si>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</si>
  <si>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</si>
  <si>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</si>
  <si>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</si>
  <si>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</si>
  <si>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</si>
  <si>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</si>
  <si>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</si>
  <si>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</si>
  <si>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</si>
  <si>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</si>
  <si>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</si>
  <si>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</si>
  <si>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</si>
  <si>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</si>
  <si>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</si>
  <si>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</si>
  <si>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</si>
  <si>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</si>
  <si>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</si>
  <si>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</si>
  <si>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</si>
  <si>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</si>
  <si>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</si>
  <si>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</si>
  <si>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</si>
  <si>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</si>
  <si>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</si>
  <si>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</si>
  <si>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</si>
  <si>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</si>
  <si>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</si>
  <si>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</si>
  <si>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</si>
  <si>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</si>
  <si>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</si>
  <si>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</si>
  <si>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</si>
  <si>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</si>
  <si>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</si>
  <si>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</si>
  <si>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</si>
  <si>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</si>
  <si>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</si>
  <si>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</si>
  <si>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</si>
  <si>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</si>
  <si>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</si>
  <si>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</si>
  <si>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</si>
  <si>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</si>
  <si>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</si>
  <si>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</si>
  <si>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</si>
  <si>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</si>
  <si>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</si>
  <si>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</si>
  <si>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</si>
  <si>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</si>
  <si>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</si>
  <si>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</si>
  <si>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</si>
  <si>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</si>
  <si>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</si>
  <si>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</si>
  <si>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</si>
  <si>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</si>
  <si>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</si>
  <si>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</si>
  <si>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</si>
  <si>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</si>
  <si>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</si>
  <si>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</si>
  <si>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</si>
  <si>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</si>
  <si>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</si>
  <si>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</si>
  <si>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</si>
  <si>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</si>
  <si>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</si>
  <si>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</si>
  <si>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</si>
  <si>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</si>
  <si>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</si>
  <si>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</si>
  <si>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</si>
  <si>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</si>
  <si>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</si>
  <si>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</si>
  <si>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</si>
  <si>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</si>
  <si>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</si>
  <si>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</si>
  <si>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</si>
  <si>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</si>
  <si>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</si>
  <si>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</si>
  <si>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</si>
  <si>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</si>
  <si>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</si>
  <si>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</si>
  <si>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</si>
  <si>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</si>
  <si>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</si>
  <si>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</si>
  <si>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</si>
  <si>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</si>
  <si>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</si>
  <si>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</si>
  <si>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</si>
  <si>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</si>
  <si>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</si>
  <si>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</si>
  <si>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</si>
  <si>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</si>
  <si>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</si>
  <si>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</si>
  <si>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</si>
  <si>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</si>
  <si>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</si>
  <si>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</si>
  <si>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</si>
  <si>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</si>
  <si>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</si>
  <si>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</si>
  <si>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</si>
  <si>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</si>
  <si>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</si>
  <si>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</si>
  <si>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</si>
  <si>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</si>
  <si>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</si>
  <si>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</si>
  <si>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</si>
  <si>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</si>
  <si>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</si>
  <si>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</si>
  <si>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</si>
  <si>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</si>
  <si>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</si>
  <si>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</si>
  <si>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</si>
  <si>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</si>
  <si>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</si>
  <si>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</si>
  <si>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</si>
  <si>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</si>
  <si>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</si>
  <si>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</si>
  <si>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</si>
  <si>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</si>
  <si>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</si>
  <si>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</si>
  <si>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</si>
  <si>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</si>
  <si>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</si>
  <si>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</si>
  <si>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</si>
  <si>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</si>
  <si>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</si>
  <si>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</si>
  <si>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</si>
  <si>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</si>
  <si>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</si>
  <si>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</si>
  <si>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</si>
  <si>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</si>
  <si>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</si>
  <si>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</si>
  <si>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</si>
  <si>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</si>
  <si>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</si>
  <si>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</si>
  <si>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</si>
  <si>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</si>
  <si>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</si>
  <si>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</si>
  <si>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</si>
  <si>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</si>
  <si>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</si>
  <si>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</si>
  <si>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</si>
  <si>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</si>
  <si>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</si>
  <si>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</si>
  <si>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</si>
  <si>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</si>
  <si>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</si>
  <si>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</si>
  <si>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</si>
  <si>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</si>
  <si>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</si>
  <si>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</si>
  <si>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</si>
  <si>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</si>
  <si>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</si>
  <si>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</si>
  <si>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</si>
  <si>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</si>
  <si>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</si>
  <si>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</si>
  <si>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</si>
  <si>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</si>
  <si>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</si>
  <si>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</si>
  <si>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</si>
  <si>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</si>
  <si>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</si>
  <si>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</si>
  <si>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</si>
  <si>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</si>
  <si>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</si>
  <si>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</si>
  <si>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</si>
  <si>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</si>
  <si>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</si>
  <si>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</si>
  <si>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</si>
  <si>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</si>
  <si>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</si>
  <si>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</si>
  <si>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</si>
  <si>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</si>
  <si>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</si>
  <si>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</si>
  <si>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</si>
  <si>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</si>
  <si>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</si>
  <si>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</si>
  <si>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</si>
  <si>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</si>
  <si>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</si>
  <si>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</si>
  <si>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</si>
  <si>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</si>
  <si>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</si>
  <si>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</si>
  <si>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</si>
  <si>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</si>
  <si>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</si>
  <si>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</si>
  <si>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</si>
  <si>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</si>
  <si>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</si>
  <si>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</si>
  <si>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</si>
  <si>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</si>
  <si>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</si>
  <si>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</si>
  <si>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</si>
  <si>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</si>
  <si>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</si>
  <si>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</si>
  <si>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</si>
  <si>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</si>
  <si>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</si>
  <si>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</si>
  <si>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</si>
  <si>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</si>
  <si>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</si>
  <si>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</si>
  <si>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</si>
  <si>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</si>
  <si>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</si>
  <si>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</si>
  <si>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</si>
  <si>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</si>
  <si>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</si>
  <si>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</si>
  <si>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</si>
  <si>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</si>
  <si>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</si>
  <si>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</si>
  <si>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</si>
  <si>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</si>
  <si>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</si>
  <si>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</si>
  <si>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</si>
  <si>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</si>
  <si>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</si>
  <si>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</si>
  <si>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</si>
  <si>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</si>
  <si>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</si>
  <si>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</si>
  <si>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</si>
  <si>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</si>
  <si>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</si>
  <si>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</si>
  <si>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</si>
  <si>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</si>
  <si>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</si>
  <si>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</si>
  <si>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</si>
  <si>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</si>
  <si>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</si>
  <si>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</si>
  <si>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</si>
  <si>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</si>
  <si>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</si>
  <si>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</si>
  <si>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</si>
  <si>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</si>
  <si>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</si>
  <si>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</si>
  <si>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</si>
  <si>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</si>
  <si>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</si>
  <si>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</si>
  <si>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</si>
  <si>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</si>
  <si>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</si>
  <si>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</si>
  <si>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</si>
  <si>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</si>
  <si>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</si>
  <si>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</si>
  <si>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</si>
  <si>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</si>
  <si>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</si>
  <si>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</si>
  <si>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</si>
  <si>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</si>
  <si>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</si>
  <si>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</si>
  <si>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</si>
  <si>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</si>
  <si>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</si>
  <si>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</si>
  <si>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</si>
  <si>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</si>
  <si>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</si>
  <si>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</si>
  <si>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</si>
  <si>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</si>
  <si>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</si>
  <si>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</si>
  <si>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</si>
  <si>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</si>
  <si>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</si>
  <si>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</si>
  <si>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</si>
  <si>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</si>
  <si>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</si>
  <si>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</si>
  <si>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</si>
  <si>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</si>
  <si>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</si>
  <si>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</si>
  <si>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</si>
  <si>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</si>
  <si>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</si>
  <si>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</si>
  <si>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</si>
  <si>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</si>
  <si>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</si>
  <si>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</si>
  <si>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</si>
  <si>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</si>
  <si>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</si>
  <si>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</si>
  <si>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</si>
  <si>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</si>
  <si>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</si>
  <si>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</si>
  <si>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</si>
  <si>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</si>
  <si>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</si>
  <si>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</si>
  <si>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</si>
  <si>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</si>
  <si>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</si>
  <si>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</si>
  <si>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</si>
  <si>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</si>
  <si>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</si>
  <si>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</si>
  <si>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</si>
  <si>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</si>
  <si>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</si>
  <si>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</si>
  <si>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</si>
  <si>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</si>
  <si>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</si>
  <si>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</si>
  <si>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</si>
  <si>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</si>
  <si>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</si>
  <si>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</si>
  <si>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</si>
  <si>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</si>
  <si>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</si>
  <si>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</si>
  <si>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</si>
  <si>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</si>
  <si>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</si>
  <si>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</si>
  <si>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</si>
  <si>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</si>
  <si>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</si>
  <si>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</si>
  <si>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</si>
  <si>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</si>
  <si>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</si>
  <si>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</si>
  <si>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</si>
  <si>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</si>
  <si>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</si>
  <si>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</si>
  <si>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</si>
  <si>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</si>
  <si>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</si>
  <si>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</si>
  <si>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</si>
  <si>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</si>
  <si>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</si>
  <si>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</si>
  <si>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</si>
  <si>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</si>
  <si>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</si>
  <si>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</si>
  <si>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</si>
  <si>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</si>
  <si>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</si>
  <si>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</si>
  <si>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</si>
  <si>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</si>
  <si>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</si>
  <si>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</si>
  <si>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</si>
  <si>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</si>
  <si>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</si>
  <si>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</si>
  <si>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</si>
  <si>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</si>
  <si>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</si>
  <si>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</si>
  <si>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</si>
  <si>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</si>
  <si>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</si>
  <si>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</si>
  <si>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</si>
  <si>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</si>
  <si>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</si>
  <si>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</si>
  <si>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</si>
  <si>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</si>
  <si>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</si>
  <si>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</si>
  <si>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</si>
  <si>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</si>
  <si>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</si>
  <si>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</si>
  <si>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</si>
  <si>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</si>
  <si>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</si>
  <si>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</si>
  <si>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</si>
  <si>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</si>
  <si>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</si>
  <si>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</si>
  <si>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</si>
  <si>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</si>
  <si>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</si>
  <si>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</si>
  <si>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</si>
  <si>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</si>
  <si>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</si>
  <si>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</si>
  <si>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</si>
  <si>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</si>
  <si>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</si>
  <si>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</si>
  <si>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</si>
  <si>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</si>
  <si>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</si>
  <si>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</si>
  <si>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</si>
  <si>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</si>
  <si>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</si>
  <si>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</si>
  <si>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</si>
  <si>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</si>
  <si>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</si>
  <si>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</si>
  <si>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</si>
  <si>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</si>
  <si>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</si>
  <si>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</si>
  <si>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</si>
  <si>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</si>
  <si>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</si>
  <si>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</si>
  <si>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</si>
  <si>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</si>
  <si>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</si>
  <si>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</si>
  <si>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</si>
  <si>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</si>
  <si>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</si>
  <si>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</si>
  <si>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</si>
  <si>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</si>
  <si>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</si>
  <si>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</si>
  <si>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</si>
  <si>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</si>
  <si>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</si>
  <si>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</si>
  <si>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</si>
  <si>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</si>
  <si>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</si>
  <si>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</si>
  <si>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</si>
  <si>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</si>
  <si>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</si>
  <si>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</si>
  <si>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</si>
  <si>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</si>
  <si>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</si>
  <si>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</si>
  <si>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</si>
  <si>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</si>
  <si>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</si>
  <si>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</si>
  <si>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</si>
  <si>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</si>
  <si>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</si>
  <si>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</si>
  <si>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</si>
  <si>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</si>
  <si>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</si>
  <si>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</si>
  <si>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</si>
  <si>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</si>
  <si>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</si>
  <si>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</si>
  <si>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</si>
  <si>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</si>
  <si>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</si>
  <si>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</si>
  <si>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</si>
  <si>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</si>
  <si>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</si>
  <si>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</si>
  <si>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</si>
  <si>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</si>
  <si>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</si>
  <si>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</si>
  <si>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</si>
  <si>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</si>
  <si>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</si>
  <si>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</si>
  <si>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</si>
  <si>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</si>
  <si>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</si>
  <si>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</si>
  <si>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</si>
  <si>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</si>
  <si>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</si>
  <si>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</si>
  <si>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</si>
  <si>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</si>
  <si>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</si>
  <si>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</si>
  <si>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</si>
  <si>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</si>
  <si>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</si>
  <si>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</si>
  <si>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</si>
  <si>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</si>
  <si>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</si>
  <si>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</si>
  <si>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</si>
  <si>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</si>
  <si>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</si>
  <si>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</si>
  <si>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</si>
  <si>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</si>
  <si>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</si>
  <si>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</si>
  <si>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</si>
  <si>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</si>
  <si>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</si>
  <si>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</si>
  <si>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</si>
  <si>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</si>
  <si>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</si>
  <si>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</si>
  <si>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</si>
  <si>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</si>
  <si>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</si>
  <si>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</si>
  <si>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</si>
  <si>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</si>
  <si>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</si>
  <si>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</si>
  <si>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</si>
  <si>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</si>
  <si>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</si>
  <si>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</si>
  <si>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</si>
  <si>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</si>
  <si>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</si>
  <si>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</si>
  <si>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</si>
  <si>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</si>
  <si>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</si>
  <si>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</si>
  <si>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</si>
  <si>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</si>
  <si>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</si>
  <si>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</si>
  <si>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</si>
  <si>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</si>
  <si>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</si>
  <si>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</si>
  <si>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</si>
  <si>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</si>
  <si>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</si>
  <si>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</si>
  <si>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</si>
  <si>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</si>
  <si>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</si>
  <si>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</si>
  <si>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</si>
  <si>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</si>
  <si>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</si>
  <si>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</si>
  <si>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</si>
  <si>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</si>
  <si>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</si>
  <si>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</si>
  <si>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</si>
  <si>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</si>
  <si>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</si>
  <si>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</si>
  <si>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</si>
  <si>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</si>
  <si>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</si>
  <si>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</si>
  <si>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</si>
  <si>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</si>
  <si>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</si>
  <si>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</si>
  <si>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</si>
  <si>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</si>
  <si>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</si>
  <si>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</si>
  <si>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</si>
  <si>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</si>
  <si>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</si>
  <si>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</si>
  <si>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</si>
  <si>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</si>
  <si>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</si>
  <si>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</si>
  <si>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</si>
  <si>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</si>
  <si>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</si>
  <si>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</si>
  <si>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</si>
  <si>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</si>
  <si>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</si>
  <si>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</si>
  <si>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</si>
  <si>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</si>
  <si>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</si>
  <si>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</si>
  <si>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</si>
  <si>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</si>
  <si>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</si>
  <si>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</si>
  <si>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</si>
  <si>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</si>
  <si>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</si>
  <si>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</si>
  <si>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</si>
  <si>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</si>
  <si>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</si>
  <si>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</si>
  <si>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</si>
  <si>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</si>
  <si>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</si>
  <si>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</si>
  <si>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</si>
  <si>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</si>
  <si>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</si>
  <si>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</si>
  <si>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</si>
  <si>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</si>
  <si>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</si>
  <si>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</si>
  <si>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</si>
  <si>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</si>
  <si>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</si>
  <si>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</si>
  <si>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</si>
  <si>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</si>
  <si>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</si>
  <si>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</si>
  <si>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</si>
  <si>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</si>
  <si>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</si>
  <si>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</si>
  <si>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</si>
  <si>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</si>
  <si>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</si>
  <si>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</si>
  <si>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</si>
  <si>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</si>
  <si>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</si>
  <si>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</si>
  <si>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</si>
  <si>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</si>
  <si>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</si>
  <si>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</si>
  <si>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</si>
  <si>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</si>
  <si>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</si>
  <si>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</si>
  <si>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</si>
  <si>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</si>
  <si>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</si>
  <si>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</si>
  <si>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</si>
  <si>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</si>
  <si>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</si>
  <si>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</si>
  <si>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</si>
  <si>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</si>
  <si>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</si>
  <si>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</si>
  <si>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</si>
  <si>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</si>
  <si>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</si>
  <si>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</si>
  <si>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</si>
  <si>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</si>
  <si>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</si>
  <si>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</si>
  <si>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</si>
  <si>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</si>
  <si>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</si>
  <si>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</si>
  <si>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</si>
  <si>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</si>
  <si>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</si>
  <si>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</si>
  <si>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</si>
  <si>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</si>
  <si>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</si>
  <si>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</si>
  <si>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</si>
  <si>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</si>
  <si>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</si>
  <si>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</si>
  <si>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</si>
  <si>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</si>
  <si>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</si>
  <si>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</si>
  <si>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</si>
  <si>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</si>
  <si>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</si>
  <si>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</si>
  <si>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</si>
  <si>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</si>
  <si>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</si>
  <si>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</si>
  <si>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</si>
  <si>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</si>
  <si>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</si>
  <si>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</si>
  <si>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</si>
  <si>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</si>
  <si>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</si>
  <si>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</si>
  <si>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</si>
  <si>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</si>
  <si>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</si>
  <si>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</si>
  <si>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</si>
  <si>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</si>
  <si>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</si>
  <si>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</si>
  <si>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</si>
  <si>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</si>
  <si>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</si>
  <si>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</si>
  <si>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</si>
  <si>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</si>
  <si>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</si>
  <si>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</si>
  <si>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</si>
  <si>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</si>
  <si>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</si>
  <si>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</si>
  <si>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</si>
  <si>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</si>
  <si>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</si>
  <si>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</si>
  <si>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</si>
  <si>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</si>
  <si>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</si>
  <si>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</si>
  <si>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</si>
  <si>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</si>
  <si>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</si>
  <si>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</si>
  <si>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</si>
  <si>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</si>
  <si>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</si>
  <si>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</si>
  <si>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</si>
  <si>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</si>
  <si>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</si>
  <si>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</si>
  <si>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</si>
  <si>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</si>
  <si>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</si>
  <si>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</si>
  <si>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</si>
  <si>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</si>
  <si>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</si>
  <si>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</si>
  <si>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</si>
  <si>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</si>
  <si>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</si>
  <si>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</si>
  <si>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</si>
  <si>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</si>
  <si>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</si>
  <si>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</si>
  <si>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</si>
  <si>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</si>
  <si>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</si>
  <si>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</si>
  <si>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</si>
  <si>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</si>
  <si>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</si>
  <si>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</si>
  <si>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</si>
  <si>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</si>
  <si>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</si>
  <si>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</si>
  <si>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</si>
  <si>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</si>
  <si>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</si>
  <si>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</si>
  <si>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</si>
  <si>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</si>
  <si>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</si>
  <si>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</si>
  <si>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</si>
  <si>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</si>
  <si>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</si>
  <si>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</si>
  <si>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</si>
  <si>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</si>
  <si>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</si>
  <si>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</si>
  <si>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</si>
  <si>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</si>
  <si>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</si>
  <si>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</si>
  <si>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</si>
  <si>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</si>
  <si>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</si>
  <si>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</si>
  <si>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</si>
  <si>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</si>
  <si>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</si>
  <si>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</si>
  <si>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</si>
  <si>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</si>
  <si>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</si>
  <si>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</si>
  <si>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</si>
  <si>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</si>
  <si>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</si>
  <si>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</si>
  <si>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</si>
  <si>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</si>
  <si>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</si>
  <si>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</si>
  <si>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</si>
  <si>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</si>
  <si>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</si>
  <si>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</si>
  <si>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</si>
  <si>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</si>
  <si>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</si>
  <si>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</si>
  <si>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</si>
  <si>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</si>
  <si>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</si>
  <si>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</si>
  <si>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</si>
  <si>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</si>
  <si>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</si>
  <si>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</si>
  <si>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</si>
  <si>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</si>
  <si>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</si>
  <si>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</si>
  <si>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</si>
  <si>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</si>
  <si>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</si>
  <si>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</si>
  <si>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</si>
  <si>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</si>
  <si>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</si>
  <si>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</si>
  <si>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</si>
  <si>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</si>
  <si>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</si>
  <si>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</si>
  <si>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</si>
  <si>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</si>
  <si>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</si>
  <si>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</si>
  <si>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</si>
  <si>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</si>
  <si>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</si>
  <si>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</si>
  <si>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</si>
  <si>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</si>
  <si>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</si>
  <si>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</si>
  <si>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</si>
  <si>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</si>
  <si>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</si>
  <si>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</si>
  <si>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</si>
  <si>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</si>
  <si>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</si>
  <si>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</si>
  <si>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</si>
  <si>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</si>
  <si>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</si>
  <si>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</si>
  <si>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</si>
  <si>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</si>
  <si>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</si>
  <si>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</si>
  <si>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</si>
  <si>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</si>
  <si>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</si>
  <si>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</si>
  <si>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</si>
  <si>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</si>
  <si>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</si>
  <si>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</si>
  <si>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</si>
  <si>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</si>
  <si>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</si>
  <si>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</si>
  <si>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</si>
  <si>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</si>
  <si>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</si>
  <si>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</si>
  <si>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</si>
  <si>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</si>
  <si>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</si>
  <si>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</si>
  <si>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</si>
  <si>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</si>
  <si>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</si>
  <si>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</si>
  <si>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</si>
  <si>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</si>
  <si>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</si>
  <si>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</si>
  <si>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</si>
  <si>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</si>
  <si>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</si>
  <si>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</si>
  <si>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</si>
  <si>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</si>
  <si>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</si>
  <si>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</si>
  <si>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</si>
  <si>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</si>
  <si>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</si>
  <si>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</si>
  <si>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</si>
  <si>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</si>
  <si>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</si>
  <si>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</si>
  <si>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</si>
  <si>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</si>
  <si>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</si>
  <si>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</si>
  <si>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</si>
  <si>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</si>
  <si>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</si>
  <si>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</si>
  <si>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</si>
  <si>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</si>
  <si>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</si>
  <si>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</si>
  <si>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</si>
  <si>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</si>
  <si>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</si>
  <si>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</si>
  <si>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</si>
  <si>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</si>
  <si>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</si>
  <si>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</si>
  <si>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</si>
  <si>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</si>
  <si>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</si>
  <si>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</si>
  <si>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</si>
  <si>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</si>
  <si>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</si>
  <si>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</si>
  <si>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</si>
  <si>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</si>
  <si>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</si>
  <si>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</si>
  <si>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</si>
  <si>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</si>
  <si>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</si>
  <si>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</si>
  <si>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</si>
  <si>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</si>
  <si>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</si>
  <si>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</si>
  <si>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</si>
  <si>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</si>
  <si>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</si>
  <si>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</si>
  <si>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</si>
  <si>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</si>
  <si>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</si>
  <si>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</si>
  <si>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</si>
  <si>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</si>
  <si>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</si>
  <si>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</si>
  <si>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</si>
  <si>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</si>
  <si>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</si>
  <si>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</si>
  <si>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</si>
  <si>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</si>
  <si>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</si>
  <si>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</si>
  <si>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</si>
  <si>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</si>
  <si>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</si>
  <si>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</si>
  <si>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</si>
  <si>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</si>
  <si>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</si>
  <si>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</si>
  <si>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</si>
  <si>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</si>
  <si>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</si>
  <si>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</si>
  <si>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</si>
  <si>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</si>
  <si>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</si>
  <si>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</si>
  <si>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</si>
  <si>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</si>
  <si>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</si>
  <si>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</si>
  <si>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</si>
  <si>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</si>
  <si>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</si>
  <si>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</si>
  <si>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</si>
  <si>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</si>
  <si>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</si>
  <si>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</si>
  <si>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</si>
  <si>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</si>
  <si>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</si>
  <si>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</si>
  <si>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</si>
  <si>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</si>
  <si>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</si>
  <si>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</si>
  <si>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</si>
  <si>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</si>
  <si>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</si>
  <si>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</si>
  <si>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</si>
  <si>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</si>
  <si>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</si>
  <si>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</si>
  <si>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</si>
  <si>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</si>
  <si>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</si>
  <si>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</si>
  <si>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</si>
  <si>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</si>
  <si>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</si>
  <si>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</si>
  <si>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</si>
  <si>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</si>
  <si>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</si>
  <si>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</si>
  <si>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</si>
  <si>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</si>
  <si>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</si>
  <si>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</si>
  <si>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</si>
  <si>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</si>
  <si>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</si>
  <si>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</si>
  <si>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</si>
  <si>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</si>
  <si>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</si>
  <si>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</si>
  <si>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</si>
  <si>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</si>
  <si>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</si>
  <si>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</si>
  <si>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</si>
  <si>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</si>
  <si>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</si>
  <si>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</si>
  <si>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</si>
  <si>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</si>
  <si>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</si>
  <si>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</si>
  <si>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</si>
  <si>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</si>
  <si>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</si>
  <si>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</si>
  <si>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</si>
  <si>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</si>
  <si>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</si>
  <si>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</si>
  <si>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</si>
  <si>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</si>
  <si>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</si>
  <si>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</si>
  <si>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</si>
  <si>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</si>
  <si>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</si>
  <si>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</si>
  <si>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</si>
  <si>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</si>
  <si>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</si>
  <si>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</si>
  <si>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</si>
  <si>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</si>
  <si>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</si>
  <si>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</si>
  <si>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</si>
  <si>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</si>
  <si>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</si>
  <si>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</si>
  <si>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</si>
  <si>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</si>
  <si>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</si>
  <si>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</si>
  <si>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</si>
  <si>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</si>
  <si>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</si>
  <si>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</si>
  <si>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</si>
  <si>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</si>
  <si>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</si>
  <si>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</si>
  <si>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</si>
  <si>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</si>
  <si>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</si>
  <si>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</si>
  <si>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</si>
  <si>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</si>
  <si>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</si>
  <si>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</si>
  <si>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</si>
  <si>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</si>
  <si>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</si>
  <si>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</si>
  <si>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</si>
  <si>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</si>
  <si>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</si>
  <si>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</si>
  <si>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</si>
  <si>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</si>
  <si>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</si>
  <si>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</si>
  <si>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</si>
  <si>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</si>
  <si>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</si>
  <si>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</si>
  <si>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</si>
  <si>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</si>
  <si>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</si>
  <si>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</si>
  <si>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</si>
  <si>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</si>
  <si>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</si>
  <si>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</si>
  <si>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</si>
  <si>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</si>
  <si>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</si>
  <si>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</si>
  <si>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</si>
  <si>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</si>
  <si>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</si>
  <si>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</si>
  <si>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</si>
  <si>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</si>
  <si>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</si>
  <si>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</si>
  <si>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</si>
  <si>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</si>
  <si>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</si>
  <si>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</si>
  <si>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</si>
  <si>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</si>
  <si>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</si>
  <si>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</si>
  <si>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</si>
  <si>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</si>
  <si>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</si>
  <si>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</si>
  <si>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</si>
  <si>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</si>
  <si>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</si>
  <si>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</si>
  <si>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</si>
  <si>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</si>
  <si>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</si>
  <si>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</si>
  <si>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</si>
  <si>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</si>
  <si>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</si>
  <si>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</si>
  <si>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</si>
  <si>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</si>
  <si>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</si>
  <si>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</si>
  <si>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</si>
  <si>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</si>
  <si>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</si>
  <si>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</si>
  <si>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</si>
  <si>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</si>
  <si>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</si>
  <si>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</si>
  <si>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</si>
  <si>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</si>
  <si>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</si>
  <si>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</si>
  <si>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</si>
  <si>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</si>
  <si>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</si>
  <si>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</si>
  <si>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</si>
  <si>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</si>
  <si>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</si>
  <si>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</si>
  <si>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</si>
  <si>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</si>
  <si>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</si>
  <si>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</si>
  <si>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</si>
  <si>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</si>
  <si>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</si>
  <si>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</si>
  <si>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</si>
  <si>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</si>
  <si>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</si>
  <si>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</si>
  <si>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</si>
  <si>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</si>
  <si>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</si>
  <si>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</si>
  <si>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</si>
  <si>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</si>
  <si>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</si>
  <si>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</si>
  <si>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</si>
  <si>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</si>
  <si>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</si>
  <si>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</si>
  <si>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</si>
  <si>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</si>
  <si>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</si>
  <si>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</si>
  <si>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</si>
  <si>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</si>
  <si>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</si>
  <si>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</si>
  <si>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</si>
  <si>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</si>
  <si>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</si>
  <si>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</si>
  <si>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</si>
  <si>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</si>
  <si>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</si>
  <si>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</si>
  <si>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</si>
  <si>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</si>
  <si>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</si>
  <si>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</si>
  <si>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</si>
  <si>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</si>
  <si>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</si>
  <si>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</si>
  <si>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</si>
  <si>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</si>
  <si>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</si>
  <si>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</si>
  <si>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</si>
  <si>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</si>
  <si>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</si>
  <si>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</si>
  <si>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</si>
  <si>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</si>
  <si>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</si>
  <si>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</si>
  <si>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</si>
  <si>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</si>
  <si>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</si>
  <si>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</si>
  <si>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</si>
  <si>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</si>
  <si>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</si>
  <si>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</si>
  <si>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</si>
  <si>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</si>
  <si>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</si>
  <si>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</si>
  <si>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</si>
  <si>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</si>
  <si>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</si>
  <si>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</si>
  <si>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</si>
  <si>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</si>
  <si>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</si>
  <si>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</si>
  <si>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</si>
  <si>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</si>
  <si>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</si>
  <si>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</si>
  <si>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</si>
  <si>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</si>
  <si>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</si>
  <si>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</si>
  <si>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</si>
  <si>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</si>
  <si>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</si>
  <si>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</si>
  <si>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</si>
  <si>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</si>
  <si>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</si>
  <si>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</si>
  <si>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</si>
  <si>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</si>
  <si>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</si>
  <si>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</si>
  <si>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</si>
  <si>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</si>
  <si>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</si>
  <si>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</si>
  <si>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</si>
  <si>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</si>
  <si>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</si>
  <si>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</si>
  <si>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</si>
  <si>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</si>
  <si>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</si>
  <si>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</si>
  <si>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</si>
  <si>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</si>
  <si>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</si>
  <si>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</si>
  <si>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</si>
  <si>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</si>
  <si>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</si>
  <si>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</si>
  <si>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</si>
  <si>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</si>
  <si>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</si>
  <si>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</si>
  <si>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</si>
  <si>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</si>
  <si>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</si>
  <si>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</si>
  <si>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</si>
  <si>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</si>
  <si>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</si>
  <si>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</si>
  <si>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</si>
  <si>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</si>
  <si>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</si>
  <si>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</si>
  <si>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</si>
  <si>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</si>
  <si>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</si>
  <si>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</si>
  <si>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</si>
  <si>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</si>
  <si>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</si>
  <si>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</si>
  <si>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</si>
  <si>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</si>
  <si>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</si>
  <si>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</si>
  <si>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</si>
  <si>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</si>
  <si>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</si>
  <si>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</si>
  <si>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</si>
  <si>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</si>
  <si>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</si>
  <si>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</si>
  <si>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</si>
  <si>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</si>
  <si>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</si>
  <si>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</si>
  <si>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</si>
  <si>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</si>
  <si>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</si>
  <si>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</si>
  <si>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</si>
  <si>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</si>
  <si>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</si>
  <si>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</si>
  <si>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</si>
  <si>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</si>
  <si>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</si>
  <si>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</si>
  <si>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</si>
  <si>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</si>
  <si>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</si>
  <si>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</si>
  <si>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</si>
  <si>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</si>
  <si>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</si>
  <si>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</si>
  <si>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</si>
  <si>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</si>
  <si>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</si>
  <si>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</si>
  <si>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</si>
  <si>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</si>
  <si>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</si>
  <si>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</si>
  <si>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</si>
  <si>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</si>
  <si>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</si>
  <si>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</si>
  <si>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</si>
  <si>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</si>
  <si>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</si>
  <si>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</si>
  <si>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</si>
  <si>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</si>
  <si>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</si>
  <si>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</si>
  <si>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</si>
  <si>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</si>
  <si>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</si>
  <si>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</si>
  <si>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</si>
  <si>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</si>
  <si>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</si>
  <si>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</si>
  <si>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</si>
  <si>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</si>
  <si>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</si>
  <si>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</si>
  <si>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</si>
  <si>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</si>
  <si>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</si>
  <si>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</si>
  <si>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</si>
  <si>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</si>
  <si>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</si>
  <si>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</si>
  <si>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</si>
  <si>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</si>
  <si>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</si>
  <si>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</si>
  <si>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</si>
  <si>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</si>
  <si>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</si>
  <si>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</si>
  <si>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</si>
  <si>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</si>
  <si>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</si>
  <si>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</si>
  <si>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</si>
  <si>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</si>
  <si>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</si>
  <si>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</si>
  <si>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</si>
  <si>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</si>
  <si>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</si>
  <si>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</si>
  <si>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</si>
  <si>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</si>
  <si>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</si>
  <si>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</si>
  <si>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</si>
  <si>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</si>
  <si>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</si>
  <si>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</si>
  <si>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</si>
  <si>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</si>
  <si>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</si>
  <si>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</si>
  <si>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</si>
  <si>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</si>
  <si>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</si>
  <si>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</si>
  <si>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</si>
  <si>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</si>
  <si>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</si>
  <si>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</si>
  <si>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</si>
  <si>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</si>
  <si>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</si>
  <si>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</si>
  <si>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</si>
  <si>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</si>
  <si>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</si>
  <si>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</si>
  <si>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</si>
  <si>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</si>
  <si>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</si>
  <si>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</si>
  <si>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</si>
  <si>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</si>
  <si>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</si>
  <si>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</si>
  <si>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</si>
  <si>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</si>
  <si>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</si>
  <si>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</si>
  <si>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</si>
  <si>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</si>
  <si>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</si>
  <si>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</si>
  <si>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</si>
  <si>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</si>
  <si>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</si>
  <si>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</si>
  <si>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</si>
  <si>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</si>
  <si>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</si>
  <si>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</si>
  <si>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</si>
  <si>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</si>
  <si>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</si>
  <si>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</si>
  <si>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</si>
  <si>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</si>
  <si>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</si>
  <si>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</si>
  <si>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</si>
  <si>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</si>
  <si>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</si>
  <si>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</si>
  <si>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</si>
  <si>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</si>
  <si>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</si>
  <si>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</si>
  <si>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</si>
  <si>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</si>
  <si>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</si>
  <si>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</si>
  <si>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</si>
  <si>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</si>
  <si>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</si>
  <si>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</si>
  <si>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</si>
  <si>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</si>
  <si>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</si>
  <si>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</si>
  <si>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</si>
  <si>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</si>
  <si>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</si>
  <si>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</si>
  <si>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</si>
  <si>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</si>
  <si>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</si>
  <si>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</si>
  <si>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</si>
  <si>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</si>
  <si>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</si>
  <si>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</si>
  <si>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</si>
  <si>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</si>
  <si>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</si>
  <si>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</si>
  <si>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</si>
  <si>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</si>
  <si>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</si>
  <si>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</si>
  <si>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</si>
  <si>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</si>
  <si>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</si>
  <si>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</si>
  <si>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</si>
  <si>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</si>
  <si>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</si>
  <si>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</si>
  <si>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</si>
  <si>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</si>
  <si>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</si>
  <si>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</si>
  <si>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</si>
  <si>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</si>
  <si>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</si>
  <si>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</si>
  <si>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</si>
  <si>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</si>
  <si>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</si>
  <si>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</si>
  <si>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</si>
  <si>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</si>
  <si>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</si>
  <si>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</si>
  <si>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</si>
  <si>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</si>
  <si>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</si>
  <si>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</si>
  <si>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</si>
  <si>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</si>
  <si>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</si>
  <si>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</si>
  <si>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</si>
  <si>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</si>
  <si>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</si>
  <si>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</si>
  <si>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</si>
  <si>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</si>
  <si>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</si>
  <si>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</si>
  <si>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</si>
  <si>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</si>
  <si>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</si>
  <si>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</si>
  <si>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</si>
  <si>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</si>
  <si>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</si>
  <si>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</si>
  <si>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</si>
  <si>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</si>
  <si>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</si>
  <si>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</si>
  <si>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</si>
  <si>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</si>
  <si>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</si>
  <si>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</si>
  <si>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</si>
  <si>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</si>
  <si>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</si>
  <si>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</si>
  <si>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</si>
  <si>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</si>
  <si>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</si>
  <si>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</si>
  <si>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</si>
  <si>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</si>
  <si>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</si>
  <si>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</si>
  <si>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</si>
  <si>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</si>
  <si>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</si>
  <si>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</si>
  <si>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</si>
  <si>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</si>
  <si>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</si>
  <si>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</si>
  <si>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</si>
  <si>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</si>
  <si>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</si>
  <si>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</si>
  <si>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</si>
  <si>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</si>
  <si>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</si>
  <si>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</si>
  <si>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</si>
  <si>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</si>
  <si>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</si>
  <si>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</si>
  <si>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</si>
  <si>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</si>
  <si>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</si>
  <si>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</si>
  <si>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</si>
  <si>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</si>
  <si>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</si>
  <si>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</si>
  <si>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</si>
  <si>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</si>
  <si>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</si>
  <si>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</si>
  <si>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</si>
  <si>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</si>
  <si>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</si>
  <si>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</si>
  <si>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</si>
  <si>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</si>
  <si>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</si>
  <si>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</si>
  <si>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</si>
  <si>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</si>
  <si>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</si>
  <si>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</si>
  <si>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</si>
  <si>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</si>
  <si>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</si>
  <si>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</si>
  <si>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</si>
  <si>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</si>
  <si>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</si>
  <si>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</si>
  <si>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</si>
  <si>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</si>
  <si>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</si>
  <si>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</si>
  <si>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</si>
  <si>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</si>
  <si>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</si>
  <si>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</si>
  <si>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</si>
  <si>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</si>
  <si>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</si>
  <si>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</si>
  <si>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</si>
  <si>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</si>
  <si>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</si>
  <si>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</si>
  <si>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</si>
  <si>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</si>
  <si>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</si>
  <si>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</si>
  <si>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</si>
  <si>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</si>
  <si>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</si>
  <si>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</si>
  <si>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</si>
  <si>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</si>
  <si>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</si>
  <si>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</si>
  <si>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</si>
  <si>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</si>
  <si>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</si>
  <si>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</si>
  <si>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</si>
  <si>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</si>
  <si>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</si>
  <si>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</si>
  <si>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</si>
  <si>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</si>
  <si>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</si>
  <si>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</si>
  <si>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</si>
  <si>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</si>
  <si>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</si>
  <si>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</si>
  <si>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</si>
  <si>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</si>
  <si>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</si>
  <si>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</si>
  <si>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</si>
  <si>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</si>
  <si>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</si>
  <si>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</si>
  <si>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</si>
  <si>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</si>
  <si>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</si>
  <si>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</si>
  <si>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</si>
  <si>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</si>
  <si>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</si>
  <si>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</si>
  <si>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</si>
  <si>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</si>
  <si>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</si>
  <si>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</si>
  <si>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</si>
  <si>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</si>
  <si>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</si>
  <si>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</si>
  <si>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</si>
  <si>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</si>
  <si>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</si>
  <si>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</si>
  <si>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</si>
  <si>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</si>
  <si>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</si>
  <si>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</si>
  <si>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</si>
  <si>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</si>
  <si>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</si>
  <si>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</si>
  <si>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</si>
  <si>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</si>
  <si>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</si>
  <si>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</si>
  <si>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</si>
  <si>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</si>
  <si>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</si>
  <si>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</si>
  <si>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</si>
  <si>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</si>
  <si>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</si>
  <si>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</si>
  <si>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</si>
  <si>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</si>
  <si>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</si>
  <si>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</si>
  <si>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</si>
  <si>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</si>
  <si>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</si>
  <si>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</si>
  <si>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</si>
  <si>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</si>
  <si>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</si>
  <si>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</si>
  <si>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</si>
  <si>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</si>
  <si>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</si>
  <si>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</si>
  <si>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</si>
  <si>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</si>
  <si>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</si>
  <si>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</si>
  <si>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</si>
  <si>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</si>
  <si>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</si>
  <si>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</si>
  <si>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</si>
  <si>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</si>
  <si>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</si>
  <si>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</si>
  <si>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</si>
  <si>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</si>
  <si>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</si>
  <si>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</si>
  <si>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</si>
  <si>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</si>
  <si>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</si>
  <si>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</si>
  <si>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</si>
  <si>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</si>
  <si>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</si>
  <si>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</si>
  <si>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</si>
  <si>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</si>
  <si>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</si>
  <si>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</si>
  <si>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</si>
  <si>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</si>
  <si>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</si>
  <si>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</si>
  <si>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</si>
  <si>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</si>
  <si>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</si>
  <si>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</si>
  <si>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</si>
  <si>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</si>
  <si>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</si>
  <si>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</si>
  <si>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</si>
  <si>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</si>
  <si>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</si>
  <si>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</si>
  <si>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</si>
  <si>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</si>
  <si>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</si>
  <si>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</si>
  <si>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</si>
  <si>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</si>
  <si>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</si>
  <si>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</si>
  <si>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</si>
  <si>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</si>
  <si>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</si>
  <si>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</si>
  <si>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</si>
  <si>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</si>
  <si>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</si>
  <si>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</si>
  <si>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</si>
  <si>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</si>
  <si>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</si>
  <si>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</si>
  <si>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</si>
  <si>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</si>
  <si>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</si>
  <si>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</si>
  <si>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</si>
  <si>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</si>
  <si>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</si>
  <si>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</si>
  <si>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</si>
  <si>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</si>
  <si>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</si>
  <si>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</si>
  <si>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</si>
  <si>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</si>
  <si>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</si>
  <si>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</si>
  <si>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</si>
  <si>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</si>
  <si>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</si>
  <si>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</si>
  <si>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</si>
  <si>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</si>
  <si>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</si>
  <si>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</si>
  <si>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</si>
  <si>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</si>
  <si>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</si>
  <si>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</si>
  <si>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</si>
  <si>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</si>
  <si>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</si>
  <si>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</si>
  <si>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</si>
  <si>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</si>
  <si>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</si>
  <si>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</si>
  <si>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</si>
  <si>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</si>
  <si>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</si>
  <si>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</si>
  <si>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</si>
  <si>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</si>
  <si>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</si>
  <si>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</si>
  <si>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</si>
  <si>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</si>
  <si>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</si>
  <si>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</si>
  <si>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</si>
  <si>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</si>
  <si>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</si>
  <si>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</si>
  <si>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</si>
  <si>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</si>
  <si>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</si>
  <si>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</si>
  <si>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</si>
  <si>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</si>
  <si>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</si>
  <si>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</si>
  <si>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</si>
  <si>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</si>
  <si>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</si>
  <si>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</si>
  <si>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</si>
  <si>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</si>
  <si>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</si>
  <si>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</si>
  <si>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</si>
  <si>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</si>
  <si>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</si>
  <si>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</si>
  <si>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</si>
  <si>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</si>
  <si>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</si>
  <si>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</si>
  <si>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</si>
  <si>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</si>
  <si>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</si>
  <si>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</si>
  <si>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</si>
  <si>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</si>
  <si>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</si>
  <si>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</si>
  <si>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</si>
  <si>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</si>
  <si>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</si>
  <si>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</si>
  <si>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</si>
  <si>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</si>
  <si>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</si>
  <si>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</si>
  <si>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</si>
  <si>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</si>
  <si>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</si>
  <si>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</si>
  <si>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</si>
  <si>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</si>
  <si>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</si>
  <si>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</si>
  <si>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</si>
  <si>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</si>
  <si>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</si>
  <si>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</si>
  <si>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</si>
  <si>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</si>
  <si>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</si>
  <si>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</si>
  <si>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</si>
  <si>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</si>
  <si>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</si>
  <si>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</si>
  <si>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</si>
  <si>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</si>
  <si>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</si>
  <si>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</si>
  <si>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</si>
  <si>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</si>
  <si>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</si>
  <si>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</si>
  <si>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</si>
  <si>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</si>
  <si>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</si>
  <si>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</si>
  <si>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</si>
  <si>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</si>
  <si>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</si>
  <si>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</si>
  <si>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</si>
  <si>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</si>
  <si>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</si>
  <si>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</si>
  <si>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</si>
  <si>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</si>
  <si>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</si>
  <si>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</si>
  <si>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</si>
  <si>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</si>
  <si>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</si>
  <si>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</si>
  <si>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</si>
  <si>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</si>
  <si>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</si>
  <si>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</si>
  <si>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</si>
  <si>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</si>
  <si>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</si>
  <si>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</si>
  <si>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</si>
  <si>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</si>
  <si>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</si>
  <si>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</si>
  <si>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</si>
  <si>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</si>
  <si>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</si>
  <si>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</si>
  <si>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</si>
  <si>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</si>
  <si>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</si>
  <si>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</si>
  <si>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</si>
  <si>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</si>
  <si>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</si>
  <si>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</si>
  <si>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</si>
  <si>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</si>
  <si>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</si>
  <si>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</si>
  <si>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</si>
  <si>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</si>
  <si>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</si>
  <si>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</si>
  <si>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</si>
  <si>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</si>
  <si>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</si>
  <si>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</si>
  <si>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</si>
  <si>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</si>
  <si>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</si>
  <si>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</si>
  <si>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</si>
  <si>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</si>
  <si>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</si>
  <si>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</si>
  <si>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</si>
  <si>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</si>
  <si>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</si>
  <si>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</si>
  <si>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</si>
  <si>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</si>
  <si>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</si>
  <si>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</si>
  <si>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</si>
  <si>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</si>
  <si>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</si>
  <si>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</si>
  <si>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</si>
  <si>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</si>
  <si>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</si>
  <si>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</si>
  <si>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</si>
  <si>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</si>
  <si>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</si>
  <si>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</si>
  <si>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</si>
  <si>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</si>
  <si>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</si>
  <si>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</si>
  <si>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</si>
  <si>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</si>
  <si>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</si>
  <si>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</si>
  <si>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</si>
  <si>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</si>
  <si>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</si>
  <si>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</si>
  <si>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</si>
  <si>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</si>
  <si>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</si>
  <si>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</si>
  <si>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</si>
  <si>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</si>
  <si>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</si>
  <si>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</si>
  <si>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</si>
  <si>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</si>
  <si>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</si>
  <si>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</si>
  <si>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</si>
  <si>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</si>
  <si>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</si>
  <si>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</si>
  <si>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</si>
  <si>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</si>
  <si>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</si>
  <si>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</si>
  <si>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</si>
  <si>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</si>
  <si>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</si>
  <si>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</si>
  <si>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</si>
  <si>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</si>
  <si>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</si>
  <si>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</si>
  <si>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</si>
  <si>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</si>
  <si>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</si>
  <si>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</si>
  <si>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</si>
  <si>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</si>
  <si>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</si>
  <si>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</si>
  <si>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</si>
  <si>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</si>
  <si>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</si>
  <si>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</si>
  <si>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</si>
  <si>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</si>
  <si>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</si>
  <si>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</si>
  <si>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</si>
  <si>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</si>
  <si>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</si>
  <si>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</si>
  <si>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</si>
  <si>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</si>
  <si>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</si>
  <si>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</si>
  <si>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</si>
  <si>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</si>
  <si>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</si>
  <si>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</si>
  <si>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</si>
  <si>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</si>
  <si>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</si>
  <si>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</si>
  <si>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</si>
  <si>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</si>
  <si>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</si>
  <si>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</si>
  <si>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</si>
  <si>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</si>
  <si>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</si>
  <si>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</si>
  <si>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</si>
  <si>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</si>
  <si>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</si>
  <si>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</si>
  <si>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</si>
  <si>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</si>
  <si>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</si>
  <si>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</si>
  <si>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</si>
  <si>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</si>
  <si>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</si>
  <si>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</si>
  <si>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</si>
  <si>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</si>
  <si>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</si>
  <si>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</si>
  <si>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</si>
  <si>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</si>
  <si>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</si>
  <si>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</si>
  <si>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</si>
  <si>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</si>
  <si>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</si>
  <si>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</si>
  <si>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</si>
  <si>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</si>
  <si>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</si>
  <si>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</si>
  <si>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</si>
  <si>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</si>
  <si>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</si>
  <si>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</si>
  <si>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</si>
  <si>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</si>
  <si>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</si>
  <si>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</si>
  <si>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</si>
  <si>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</si>
  <si>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</si>
  <si>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</si>
  <si>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</si>
  <si>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</si>
  <si>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</si>
  <si>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</si>
  <si>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</si>
  <si>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</si>
  <si>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</si>
  <si>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</si>
  <si>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</si>
  <si>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</si>
  <si>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</si>
  <si>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</si>
  <si>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</si>
  <si>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</si>
  <si>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</si>
  <si>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</si>
  <si>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</si>
  <si>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</si>
  <si>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</si>
  <si>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</si>
  <si>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</si>
  <si>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</si>
  <si>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</si>
  <si>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</si>
  <si>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</si>
  <si>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</si>
  <si>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</si>
  <si>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</si>
  <si>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</si>
  <si>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</si>
  <si>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</si>
  <si>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</si>
  <si>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</si>
  <si>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</si>
  <si>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</si>
  <si>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</si>
  <si>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</si>
  <si>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</si>
  <si>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</si>
  <si>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</si>
  <si>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</si>
  <si>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</si>
  <si>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</si>
  <si>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</si>
  <si>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</si>
  <si>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</si>
  <si>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</si>
  <si>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</si>
  <si>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</si>
  <si>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</si>
  <si>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</si>
  <si>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</si>
  <si>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</si>
  <si>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</si>
  <si>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</si>
  <si>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</si>
  <si>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</si>
  <si>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</si>
  <si>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</si>
  <si>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</si>
  <si>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</si>
  <si>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</si>
  <si>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</si>
  <si>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</si>
  <si>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</si>
  <si>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</si>
  <si>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</si>
  <si>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</si>
  <si>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</si>
  <si>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</si>
  <si>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</si>
  <si>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</si>
  <si>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</si>
  <si>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</si>
  <si>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</si>
  <si>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</si>
  <si>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</si>
  <si>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</si>
  <si>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</si>
  <si>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</si>
  <si>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</si>
  <si>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</si>
  <si>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</si>
  <si>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</si>
  <si>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</si>
  <si>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</si>
  <si>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</si>
  <si>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</si>
  <si>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</si>
  <si>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</si>
  <si>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</si>
  <si>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</si>
  <si>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</si>
  <si>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</si>
  <si>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</si>
  <si>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</si>
  <si>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</si>
  <si>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</si>
  <si>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</si>
  <si>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</si>
  <si>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</si>
  <si>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</si>
  <si>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</si>
  <si>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</si>
  <si>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</si>
  <si>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</si>
  <si>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</si>
  <si>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</si>
  <si>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</si>
  <si>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</si>
  <si>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</si>
  <si>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</si>
  <si>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</si>
  <si>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</si>
  <si>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</si>
  <si>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</si>
  <si>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</si>
  <si>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</si>
  <si>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</si>
  <si>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</si>
  <si>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</si>
  <si>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</si>
  <si>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</si>
  <si>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</si>
  <si>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</si>
  <si>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</si>
  <si>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</si>
  <si>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</si>
  <si>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</si>
  <si>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</si>
  <si>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</si>
  <si>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</si>
  <si>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</si>
  <si>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</si>
  <si>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</si>
  <si>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</si>
  <si>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</si>
  <si>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</si>
  <si>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</si>
  <si>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</si>
  <si>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</si>
  <si>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</si>
  <si>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</si>
  <si>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</si>
  <si>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</si>
  <si>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</si>
  <si>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</si>
  <si>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</si>
  <si>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</si>
  <si>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</si>
  <si>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</si>
  <si>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</si>
  <si>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</si>
  <si>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</si>
  <si>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</si>
  <si>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</si>
  <si>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</si>
  <si>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</si>
  <si>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</si>
  <si>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</si>
  <si>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</si>
  <si>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</si>
  <si>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</si>
  <si>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</si>
  <si>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</si>
  <si>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</si>
  <si>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</si>
  <si>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</si>
  <si>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</si>
  <si>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</si>
  <si>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</si>
  <si>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</si>
  <si>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</si>
  <si>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</si>
  <si>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</si>
  <si>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</si>
  <si>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</si>
  <si>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</si>
  <si>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</si>
  <si>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</si>
  <si>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</si>
  <si>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</si>
  <si>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</si>
  <si>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</si>
  <si>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</si>
  <si>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</si>
  <si>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</si>
  <si>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</si>
  <si>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</si>
  <si>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</si>
  <si>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</si>
  <si>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</si>
  <si>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</si>
  <si>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</si>
  <si>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</si>
  <si>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</si>
  <si>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</si>
  <si>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</si>
  <si>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</si>
  <si>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</si>
  <si>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</si>
  <si>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</si>
  <si>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</si>
  <si>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</si>
  <si>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</si>
  <si>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</si>
  <si>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</si>
  <si>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</si>
  <si>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</si>
  <si>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</si>
  <si>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</si>
  <si>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</si>
  <si>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</si>
  <si>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</si>
  <si>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</si>
  <si>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</si>
  <si>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</si>
  <si>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</si>
  <si>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</si>
  <si>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</si>
  <si>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</si>
  <si>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</si>
  <si>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</si>
  <si>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</si>
  <si>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</si>
  <si>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</si>
  <si>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</si>
  <si>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</si>
  <si>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</si>
  <si>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</si>
  <si>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</si>
  <si>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</si>
  <si>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</si>
  <si>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</si>
  <si>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</si>
  <si>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</si>
  <si>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</si>
  <si>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</si>
  <si>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</si>
  <si>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</si>
  <si>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</si>
  <si>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</si>
  <si>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</si>
  <si>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</si>
  <si>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</si>
  <si>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</si>
  <si>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</si>
  <si>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</si>
  <si>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</si>
  <si>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</si>
  <si>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</si>
  <si>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</si>
  <si>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</si>
  <si>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</si>
  <si>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</si>
  <si>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</si>
  <si>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</si>
  <si>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</si>
  <si>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</si>
  <si>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</si>
  <si>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</si>
  <si>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</si>
  <si>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</si>
  <si>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</si>
  <si>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</si>
  <si>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</si>
  <si>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</si>
  <si>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</si>
  <si>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</si>
  <si>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</si>
  <si>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</si>
  <si>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</si>
  <si>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</si>
  <si>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</si>
  <si>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</si>
  <si>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</si>
  <si>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</si>
  <si>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</si>
  <si>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</si>
  <si>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</si>
  <si>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</si>
  <si>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</si>
  <si>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</si>
  <si>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</si>
  <si>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</si>
  <si>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</si>
  <si>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</si>
  <si>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</si>
  <si>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</si>
  <si>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</si>
  <si>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</si>
  <si>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</si>
  <si>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</si>
  <si>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</si>
  <si>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</si>
  <si>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</si>
  <si>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</si>
  <si>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</si>
  <si>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</si>
  <si>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</si>
  <si>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</si>
  <si>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</si>
  <si>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</si>
  <si>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</si>
  <si>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</si>
  <si>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</si>
  <si>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</si>
  <si>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</si>
  <si>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</si>
  <si>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</si>
  <si>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</si>
  <si>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</si>
  <si>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</si>
  <si>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</si>
  <si>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</si>
  <si>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</si>
  <si>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</si>
  <si>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</si>
  <si>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</si>
  <si>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</si>
  <si>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</si>
  <si>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</si>
  <si>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</si>
  <si>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</si>
  <si>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</si>
  <si>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</si>
  <si>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</si>
  <si>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</si>
  <si>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</si>
  <si>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</si>
  <si>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</si>
  <si>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</si>
  <si>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</si>
  <si>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</si>
  <si>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</si>
  <si>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</si>
  <si>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</si>
  <si>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</si>
  <si>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</si>
  <si>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</si>
  <si>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</si>
  <si>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</si>
  <si>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</si>
  <si>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</si>
  <si>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</si>
  <si>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</si>
  <si>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</si>
  <si>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</si>
  <si>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</si>
  <si>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</si>
  <si>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</si>
  <si>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</si>
  <si>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</si>
  <si>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</si>
  <si>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</si>
  <si>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</si>
  <si>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</si>
  <si>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</si>
  <si>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</si>
  <si>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</si>
  <si>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</si>
  <si>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</si>
  <si>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</si>
  <si>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</si>
  <si>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</si>
  <si>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</si>
  <si>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</si>
  <si>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</si>
  <si>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</si>
  <si>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</si>
  <si>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</si>
  <si>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</si>
  <si>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</si>
  <si>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</si>
  <si>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</si>
  <si>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</si>
  <si>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</si>
  <si>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</si>
  <si>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</si>
  <si>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</si>
  <si>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</si>
  <si>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</si>
  <si>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</si>
  <si>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</si>
  <si>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</si>
  <si>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</si>
  <si>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</si>
  <si>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</si>
  <si>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</si>
  <si>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</si>
  <si>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</si>
  <si>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</si>
  <si>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</si>
  <si>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</si>
  <si>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</si>
  <si>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</si>
  <si>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</si>
  <si>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</si>
  <si>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</si>
  <si>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</si>
  <si>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</si>
  <si>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</si>
  <si>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</si>
  <si>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</si>
  <si>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</si>
  <si>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</si>
  <si>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</si>
  <si>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</si>
  <si>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</si>
  <si>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</si>
  <si>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</si>
  <si>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</si>
  <si>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</si>
  <si>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</si>
  <si>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</si>
  <si>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</si>
  <si>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</si>
  <si>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</si>
  <si>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</si>
  <si>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</si>
  <si>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</si>
  <si>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</si>
  <si>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</si>
  <si>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</si>
  <si>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</si>
  <si>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</si>
  <si>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</si>
  <si>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</si>
  <si>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</si>
  <si>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</si>
  <si>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</si>
  <si>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</si>
  <si>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</si>
  <si>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</si>
  <si>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</si>
  <si>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</si>
  <si>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</si>
  <si>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</si>
  <si>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</si>
  <si>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</si>
  <si>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</si>
  <si>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</si>
  <si>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</si>
  <si>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</si>
  <si>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</si>
  <si>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</si>
  <si>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</si>
  <si>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</si>
  <si>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</si>
  <si>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</si>
  <si>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</si>
  <si>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</si>
  <si>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</si>
  <si>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</si>
  <si>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</si>
  <si>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</si>
  <si>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</si>
  <si>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</si>
  <si>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</si>
  <si>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</si>
  <si>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</si>
  <si>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</si>
  <si>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</si>
  <si>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</si>
  <si>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</si>
  <si>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</si>
  <si>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</si>
  <si>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</si>
  <si>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</si>
  <si>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</si>
  <si>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</si>
  <si>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</si>
  <si>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</si>
  <si>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</si>
  <si>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</si>
  <si>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</si>
  <si>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</si>
  <si>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</si>
  <si>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</si>
  <si>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</si>
  <si>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</si>
  <si>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</si>
  <si>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</si>
  <si>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</si>
  <si>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</si>
  <si>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</si>
  <si>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</si>
  <si>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</si>
  <si>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</si>
  <si>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</si>
  <si>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</si>
  <si>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</si>
  <si>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</si>
  <si>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</si>
  <si>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</si>
  <si>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</si>
  <si>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</si>
  <si>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</si>
  <si>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</si>
  <si>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</si>
  <si>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</si>
  <si>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</si>
  <si>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</si>
  <si>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</si>
  <si>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</si>
  <si>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</si>
  <si>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</si>
  <si>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</si>
  <si>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</si>
  <si>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</si>
  <si>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</si>
  <si>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</si>
  <si>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</si>
  <si>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</si>
  <si>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</si>
  <si>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</si>
  <si>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</si>
  <si>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</si>
  <si>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</si>
  <si>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</si>
  <si>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</si>
  <si>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</si>
  <si>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</si>
  <si>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</si>
  <si>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</si>
  <si>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</si>
  <si>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</si>
  <si>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</si>
  <si>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</si>
  <si>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</si>
  <si>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</si>
  <si>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</si>
  <si>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</si>
  <si>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</si>
  <si>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</si>
  <si>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</si>
  <si>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</si>
  <si>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</si>
  <si>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</si>
  <si>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</si>
  <si>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</si>
  <si>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</si>
  <si>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</si>
  <si>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</si>
  <si>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</si>
  <si>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</si>
  <si>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</si>
  <si>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</si>
  <si>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</si>
  <si>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</si>
  <si>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</si>
  <si>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</si>
  <si>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</si>
  <si>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</si>
  <si>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</si>
  <si>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</si>
  <si>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</si>
  <si>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</si>
  <si>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</si>
  <si>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</si>
  <si>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</si>
  <si>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</si>
  <si>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</si>
  <si>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</si>
  <si>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</si>
  <si>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</si>
  <si>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</si>
  <si>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</si>
  <si>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</si>
  <si>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</si>
  <si>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</si>
  <si>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</si>
  <si>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</si>
  <si>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</si>
  <si>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</si>
  <si>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</si>
  <si>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</si>
  <si>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</si>
  <si>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</si>
  <si>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</si>
  <si>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</si>
  <si>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</si>
  <si>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</si>
  <si>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</si>
  <si>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</si>
  <si>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</si>
  <si>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</si>
  <si>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</si>
  <si>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</si>
  <si>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</si>
  <si>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</si>
  <si>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</si>
  <si>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</si>
  <si>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</si>
  <si>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</si>
  <si>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</si>
  <si>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</si>
  <si>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</si>
  <si>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</si>
  <si>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</si>
  <si>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</si>
  <si>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</si>
  <si>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</si>
  <si>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</si>
  <si>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</si>
  <si>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</si>
  <si>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</si>
  <si>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</si>
  <si>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</si>
  <si>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</si>
  <si>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</si>
  <si>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</si>
  <si>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</si>
  <si>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</si>
  <si>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</si>
  <si>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</si>
  <si>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</si>
  <si>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</si>
  <si>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</si>
  <si>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</si>
  <si>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</si>
  <si>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</si>
  <si>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</si>
  <si>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</si>
  <si>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</si>
  <si>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</si>
  <si>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</si>
  <si>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</si>
  <si>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</si>
  <si>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</si>
  <si>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</si>
  <si>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</si>
  <si>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</si>
  <si>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</si>
  <si>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</si>
  <si>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</si>
  <si>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</si>
  <si>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</si>
  <si>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</si>
  <si>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</si>
  <si>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</si>
  <si>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</si>
  <si>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</si>
  <si>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</si>
  <si>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</si>
  <si>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</si>
  <si>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</si>
  <si>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</si>
  <si>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</si>
  <si>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</si>
  <si>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</si>
  <si>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</si>
  <si>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</si>
  <si>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</si>
  <si>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</si>
  <si>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</si>
  <si>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</si>
  <si>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</si>
  <si>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</si>
  <si>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</si>
  <si>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</si>
  <si>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</si>
  <si>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</si>
  <si>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</si>
  <si>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</si>
  <si>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</si>
  <si>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</si>
  <si>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</si>
  <si>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</si>
  <si>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</si>
  <si>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</si>
  <si>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</si>
  <si>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</si>
  <si>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</si>
  <si>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</si>
  <si>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</si>
  <si>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</si>
  <si>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</si>
  <si>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</si>
  <si>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</si>
  <si>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</si>
  <si>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</si>
  <si>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</si>
  <si>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</si>
  <si>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</si>
  <si>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</si>
  <si>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</si>
  <si>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</si>
  <si>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</si>
  <si>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</si>
  <si>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</si>
  <si>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</si>
  <si>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</si>
  <si>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</si>
  <si>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</si>
  <si>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</si>
  <si>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</si>
  <si>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</si>
  <si>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</si>
  <si>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</si>
  <si>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</si>
  <si>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</si>
  <si>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</si>
  <si>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</si>
  <si>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</si>
  <si>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</si>
  <si>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</si>
  <si>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</si>
  <si>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</si>
  <si>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</si>
  <si>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</si>
  <si>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</si>
  <si>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</si>
  <si>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</si>
  <si>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</si>
  <si>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</si>
  <si>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</si>
  <si>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</si>
  <si>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</si>
  <si>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</si>
  <si>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</si>
  <si>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</si>
  <si>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</si>
  <si>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</si>
  <si>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</si>
  <si>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</si>
  <si>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</si>
  <si>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</si>
  <si>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</si>
  <si>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</si>
  <si>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</si>
  <si>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</si>
  <si>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</si>
  <si>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</si>
  <si>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</si>
  <si>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</si>
  <si>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</si>
  <si>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</si>
  <si>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</si>
  <si>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</si>
  <si>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</si>
  <si>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</si>
  <si>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</si>
  <si>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</si>
  <si>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</si>
  <si>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</si>
  <si>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</si>
  <si>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</si>
  <si>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</si>
  <si>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</si>
  <si>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</si>
  <si>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</si>
  <si>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</si>
  <si>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</si>
  <si>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</si>
  <si>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</si>
  <si>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</si>
  <si>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</si>
  <si>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</si>
  <si>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</si>
  <si>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</si>
  <si>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</si>
  <si>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</si>
  <si>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</si>
  <si>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</si>
  <si>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</si>
  <si>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</si>
  <si>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</si>
  <si>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</si>
  <si>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</si>
  <si>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</si>
  <si>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</si>
  <si>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</si>
  <si>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</si>
  <si>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</si>
  <si>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</si>
  <si>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</si>
  <si>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</si>
  <si>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</si>
  <si>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</si>
  <si>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</si>
  <si>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</si>
  <si>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</si>
  <si>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</si>
  <si>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</si>
  <si>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</si>
  <si>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</si>
  <si>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</si>
  <si>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</si>
  <si>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</si>
  <si>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</si>
  <si>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</si>
  <si>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</si>
  <si>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</si>
  <si>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</si>
  <si>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</si>
  <si>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</si>
  <si>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</si>
  <si>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</si>
  <si>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</si>
  <si>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</si>
  <si>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</si>
  <si>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</si>
  <si>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</si>
  <si>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</si>
  <si>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</si>
  <si>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</si>
  <si>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</si>
  <si>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</si>
  <si>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</si>
  <si>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</si>
  <si>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</si>
  <si>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</si>
  <si>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</si>
  <si>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</si>
  <si>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</si>
  <si>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</si>
  <si>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</si>
  <si>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</si>
  <si>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</si>
  <si>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</si>
  <si>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</si>
  <si>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</si>
  <si>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</si>
  <si>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</si>
  <si>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</si>
  <si>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</si>
  <si>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</si>
  <si>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</si>
  <si>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</si>
  <si>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</si>
  <si>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</si>
  <si>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</si>
  <si>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</si>
  <si>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</si>
  <si>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</si>
  <si>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</si>
  <si>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</si>
  <si>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</si>
  <si>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</si>
  <si>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</si>
  <si>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</si>
  <si>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</si>
  <si>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</si>
  <si>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</si>
  <si>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</si>
  <si>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</si>
  <si>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</si>
  <si>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</si>
  <si>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</si>
  <si>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</si>
  <si>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</si>
  <si>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</si>
  <si>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</si>
  <si>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</si>
  <si>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</si>
  <si>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</si>
  <si>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</si>
  <si>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</si>
  <si>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</si>
  <si>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</si>
  <si>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</si>
  <si>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</si>
  <si>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</si>
  <si>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</si>
  <si>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</si>
  <si>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</si>
  <si>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</si>
  <si>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</si>
  <si>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</si>
  <si>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</si>
  <si>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</si>
  <si>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</si>
  <si>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</si>
  <si>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</si>
  <si>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</si>
  <si>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</si>
  <si>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</si>
  <si>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</si>
  <si>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</si>
  <si>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</si>
  <si>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</si>
  <si>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</si>
  <si>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</si>
  <si>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</si>
  <si>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</si>
  <si>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</si>
  <si>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</si>
  <si>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</si>
  <si>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</si>
  <si>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</si>
  <si>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</si>
  <si>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</si>
  <si>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</si>
  <si>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</si>
  <si>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</si>
  <si>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</si>
  <si>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</si>
  <si>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</si>
  <si>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</si>
  <si>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</si>
  <si>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</si>
  <si>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</si>
  <si>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</si>
  <si>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</si>
  <si>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</si>
  <si>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</si>
  <si>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</si>
  <si>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</si>
  <si>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</si>
  <si>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</si>
  <si>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</si>
  <si>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</si>
  <si>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</si>
  <si>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</si>
  <si>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</si>
  <si>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</si>
  <si>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</si>
  <si>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</si>
  <si>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</si>
  <si>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</si>
  <si>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</si>
  <si>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</si>
  <si>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</si>
  <si>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</si>
  <si>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</si>
  <si>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</si>
  <si>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</si>
  <si>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</si>
  <si>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</si>
  <si>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</si>
  <si>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</si>
  <si>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</si>
  <si>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</si>
  <si>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</si>
  <si>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</si>
  <si>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</si>
  <si>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</si>
  <si>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</si>
  <si>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</si>
  <si>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</si>
  <si>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</si>
  <si>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</si>
  <si>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</si>
  <si>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</si>
  <si>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</si>
  <si>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</si>
  <si>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</si>
  <si>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</si>
  <si>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</si>
  <si>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</si>
  <si>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</si>
  <si>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</si>
  <si>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</si>
  <si>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</si>
  <si>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</si>
  <si>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</si>
  <si>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</si>
  <si>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</si>
  <si>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</si>
  <si>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</si>
  <si>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</si>
  <si>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</si>
  <si>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</si>
  <si>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</si>
  <si>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</si>
  <si>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</si>
  <si>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</si>
  <si>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</si>
  <si>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</si>
  <si>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</si>
  <si>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</si>
  <si>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</si>
  <si>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</si>
  <si>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</si>
  <si>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</si>
  <si>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</si>
  <si>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</si>
  <si>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</si>
  <si>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</si>
  <si>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</si>
  <si>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</si>
  <si>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</si>
  <si>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</si>
  <si>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</si>
  <si>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</si>
  <si>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</si>
  <si>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</si>
  <si>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</si>
  <si>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</si>
  <si>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</si>
  <si>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</si>
  <si>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</si>
  <si>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</si>
  <si>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</si>
  <si>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</si>
  <si>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</si>
  <si>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</si>
  <si>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</si>
  <si>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</si>
  <si>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</si>
  <si>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</si>
  <si>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</si>
  <si>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</si>
  <si>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</si>
  <si>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</si>
  <si>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</si>
  <si>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</si>
  <si>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</si>
  <si>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</si>
  <si>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</si>
  <si>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</si>
  <si>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</si>
  <si>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</si>
  <si>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</si>
  <si>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</si>
  <si>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</si>
  <si>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</si>
  <si>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</si>
  <si>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</si>
  <si>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</si>
  <si>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</si>
  <si>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</si>
  <si>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</si>
  <si>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</si>
  <si>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</si>
  <si>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</si>
  <si>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</si>
  <si>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</si>
  <si>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</si>
  <si>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</si>
  <si>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</si>
  <si>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</si>
  <si>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</si>
  <si>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</si>
  <si>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</si>
  <si>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</si>
  <si>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</si>
  <si>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</si>
  <si>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</si>
  <si>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</si>
  <si>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</si>
  <si>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</si>
  <si>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</si>
  <si>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</si>
  <si>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</si>
  <si>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</si>
  <si>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</si>
  <si>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</si>
  <si>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</si>
  <si>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</si>
  <si>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</si>
  <si>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</si>
  <si>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</si>
  <si>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</si>
  <si>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</si>
  <si>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</si>
  <si>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</si>
  <si>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</si>
  <si>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</si>
  <si>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</si>
  <si>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</si>
  <si>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</si>
  <si>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</si>
  <si>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</si>
  <si>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</si>
  <si>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</si>
  <si>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</si>
  <si>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</si>
  <si>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</si>
  <si>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</si>
  <si>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</si>
  <si>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</si>
  <si>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</si>
  <si>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</si>
  <si>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</si>
  <si>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</si>
  <si>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</si>
  <si>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</si>
  <si>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</si>
  <si>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</si>
  <si>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</si>
  <si>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</si>
  <si>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</si>
  <si>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</si>
  <si>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</si>
  <si>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</si>
  <si>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</si>
  <si>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</si>
  <si>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</si>
  <si>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</si>
  <si>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</si>
  <si>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</si>
  <si>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</si>
  <si>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</si>
  <si>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</si>
  <si>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</si>
  <si>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</si>
  <si>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</si>
  <si>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</si>
  <si>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</si>
  <si>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</si>
  <si>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</si>
  <si>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</si>
  <si>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</si>
  <si>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</si>
  <si>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</si>
  <si>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</si>
  <si>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</si>
  <si>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</si>
  <si>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</si>
  <si>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</si>
  <si>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</si>
  <si>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</si>
  <si>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</si>
  <si>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</si>
  <si>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</si>
  <si>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</si>
  <si>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</si>
  <si>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</si>
  <si>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</si>
  <si>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</si>
  <si>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</si>
  <si>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</si>
  <si>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</si>
  <si>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</si>
  <si>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</si>
  <si>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</si>
  <si>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</si>
  <si>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</si>
  <si>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</si>
  <si>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</si>
  <si>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</si>
  <si>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</si>
  <si>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</si>
  <si>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</si>
  <si>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</si>
  <si>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</si>
  <si>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</si>
  <si>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</si>
  <si>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</si>
  <si>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</si>
  <si>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</si>
  <si>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</si>
  <si>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</si>
  <si>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</si>
  <si>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</si>
  <si>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</si>
  <si>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</si>
  <si>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</si>
  <si>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</si>
  <si>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</si>
  <si>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</si>
  <si>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</si>
  <si>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</si>
  <si>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</si>
  <si>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</si>
  <si>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</si>
  <si>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</si>
  <si>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</si>
  <si>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</si>
  <si>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</si>
  <si>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</si>
  <si>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</si>
  <si>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</si>
  <si>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</si>
  <si>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</si>
  <si>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</si>
  <si>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</si>
  <si>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</si>
  <si>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</si>
  <si>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</si>
  <si>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</si>
  <si>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</si>
  <si>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</si>
  <si>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</si>
  <si>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</si>
  <si>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</si>
  <si>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</si>
  <si>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</si>
  <si>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</si>
  <si>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</si>
  <si>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</si>
  <si>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</si>
  <si>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</si>
  <si>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</si>
  <si>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</si>
  <si>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</si>
  <si>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</si>
  <si>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</si>
  <si>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</si>
  <si>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</si>
  <si>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</si>
  <si>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</si>
  <si>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</si>
  <si>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</si>
  <si>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</si>
  <si>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</si>
  <si>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</si>
  <si>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</si>
  <si>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</si>
  <si>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</si>
  <si>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</si>
  <si>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</si>
  <si>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</si>
  <si>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</si>
  <si>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</si>
  <si>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</si>
  <si>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</si>
  <si>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</si>
  <si>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</si>
  <si>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</si>
  <si>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</si>
  <si>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</si>
  <si>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</si>
  <si>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</si>
  <si>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</si>
  <si>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</si>
  <si>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</si>
  <si>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</si>
  <si>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</si>
  <si>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</si>
  <si>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</si>
  <si>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</si>
  <si>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</si>
  <si>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</si>
  <si>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</si>
  <si>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</si>
  <si>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</si>
  <si>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</si>
  <si>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</si>
  <si>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</si>
  <si>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</si>
  <si>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</si>
  <si>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</si>
  <si>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</si>
  <si>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</si>
  <si>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</si>
  <si>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</si>
  <si>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</si>
  <si>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</si>
  <si>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</si>
  <si>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</si>
  <si>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</si>
  <si>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</si>
  <si>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</si>
  <si>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</si>
  <si>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</si>
  <si>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</si>
  <si>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</si>
  <si>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</si>
  <si>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</si>
  <si>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</si>
  <si>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</si>
  <si>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</si>
  <si>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</si>
  <si>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</si>
  <si>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</si>
  <si>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</si>
  <si>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</si>
  <si>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</si>
  <si>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</si>
  <si>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</si>
  <si>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</si>
  <si>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</si>
  <si>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</si>
  <si>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</si>
  <si>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</si>
  <si>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</si>
  <si>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</si>
  <si>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</si>
  <si>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</si>
  <si>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</si>
  <si>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</si>
  <si>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</si>
  <si>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</si>
  <si>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</si>
  <si>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</si>
  <si>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</si>
  <si>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</si>
  <si>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</si>
  <si>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</si>
  <si>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</si>
  <si>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</si>
  <si>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</si>
  <si>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</si>
  <si>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</si>
  <si>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</si>
  <si>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</si>
  <si>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</si>
  <si>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</si>
  <si>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</si>
  <si>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</si>
  <si>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</si>
  <si>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</si>
  <si>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</si>
  <si>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</si>
  <si>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</si>
  <si>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</si>
  <si>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</si>
  <si>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</si>
  <si>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</si>
  <si>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</si>
  <si>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</si>
  <si>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</si>
  <si>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</si>
  <si>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</si>
  <si>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</si>
  <si>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</si>
  <si>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</si>
  <si>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</si>
  <si>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</si>
  <si>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</si>
  <si>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</si>
  <si>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</si>
  <si>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</si>
  <si>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</si>
  <si>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</si>
  <si>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</si>
  <si>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</si>
  <si>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</si>
  <si>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</si>
  <si>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</si>
  <si>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</si>
  <si>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</si>
  <si>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</si>
  <si>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</si>
  <si>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</si>
  <si>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</si>
  <si>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</si>
  <si>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</si>
  <si>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</si>
  <si>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</si>
  <si>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</si>
  <si>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</si>
  <si>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</si>
  <si>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</si>
  <si>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</si>
  <si>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</si>
  <si>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</si>
  <si>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</si>
  <si>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</si>
  <si>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</si>
  <si>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</si>
  <si>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</si>
  <si>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</si>
  <si>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</si>
  <si>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</si>
  <si>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</si>
  <si>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</si>
  <si>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</si>
  <si>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</si>
  <si>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</si>
  <si>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</si>
  <si>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</si>
  <si>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</si>
  <si>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</si>
  <si>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</si>
  <si>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</si>
  <si>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</si>
  <si>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</si>
  <si>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</si>
  <si>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</si>
  <si>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</si>
  <si>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</si>
  <si>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</si>
  <si>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</si>
  <si>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</si>
  <si>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</si>
  <si>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</si>
  <si>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</si>
  <si>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</si>
  <si>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</si>
  <si>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</si>
  <si>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</si>
  <si>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</si>
  <si>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</si>
  <si>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</si>
  <si>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</si>
  <si>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</si>
  <si>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</si>
  <si>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</si>
  <si>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</si>
  <si>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</si>
  <si>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</si>
  <si>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</si>
  <si>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</si>
  <si>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</si>
  <si>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</si>
  <si>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</si>
  <si>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</si>
  <si>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</si>
  <si>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</si>
  <si>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</si>
  <si>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</si>
  <si>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</si>
  <si>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</si>
  <si>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</si>
  <si>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</si>
  <si>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</si>
  <si>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</si>
  <si>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</si>
  <si>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</si>
  <si>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</si>
  <si>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</si>
  <si>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</si>
  <si>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</si>
  <si>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</si>
  <si>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</si>
  <si>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</si>
  <si>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</si>
  <si>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</si>
  <si>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</si>
  <si>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</si>
  <si>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</si>
  <si>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</si>
  <si>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</si>
  <si>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</si>
  <si>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</si>
  <si>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</si>
  <si>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</si>
  <si>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</si>
  <si>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</si>
  <si>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</si>
  <si>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</si>
  <si>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</si>
  <si>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</si>
  <si>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</si>
  <si>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</si>
  <si>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</si>
  <si>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</si>
  <si>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</si>
  <si>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</si>
  <si>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</si>
  <si>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</si>
  <si>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</si>
  <si>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</si>
  <si>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</si>
  <si>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</si>
  <si>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</si>
  <si>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</si>
  <si>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</si>
  <si>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</si>
  <si>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</si>
  <si>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</si>
  <si>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</si>
  <si>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</si>
  <si>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</si>
  <si>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</si>
  <si>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</si>
  <si>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</si>
  <si>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</si>
  <si>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</si>
  <si>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</si>
  <si>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</si>
  <si>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</si>
  <si>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</si>
  <si>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</si>
  <si>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</si>
  <si>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</si>
  <si>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</si>
  <si>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</si>
  <si>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</si>
  <si>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</si>
  <si>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</si>
  <si>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</si>
  <si>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</si>
  <si>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</si>
  <si>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</si>
  <si>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</si>
  <si>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</si>
  <si>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</si>
  <si>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</si>
  <si>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</si>
  <si>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</si>
  <si>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</si>
  <si>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</si>
  <si>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</si>
  <si>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</si>
  <si>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</si>
  <si>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</si>
  <si>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</si>
  <si>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</si>
  <si>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</si>
  <si>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</si>
  <si>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</si>
  <si>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</si>
  <si>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</si>
  <si>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</si>
  <si>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</si>
  <si>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</si>
  <si>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</si>
  <si>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</si>
  <si>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</si>
  <si>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</si>
  <si>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</si>
  <si>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</si>
  <si>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</si>
  <si>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</si>
  <si>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</si>
  <si>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</si>
  <si>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</si>
  <si>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</si>
  <si>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</si>
  <si>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</si>
  <si>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</si>
  <si>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</si>
  <si>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</si>
  <si>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</si>
  <si>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</si>
  <si>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</si>
  <si>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</si>
  <si>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</si>
  <si>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</si>
  <si>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</si>
  <si>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</si>
  <si>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</si>
  <si>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</si>
  <si>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</si>
  <si>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</si>
  <si>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</si>
  <si>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</si>
  <si>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</si>
  <si>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</si>
  <si>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</si>
  <si>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</si>
  <si>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</si>
  <si>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</si>
  <si>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</si>
  <si>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</si>
  <si>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</si>
  <si>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</si>
  <si>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</si>
  <si>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</si>
  <si>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</si>
  <si>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</si>
  <si>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</si>
  <si>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</si>
  <si>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</si>
  <si>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</si>
  <si>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</si>
  <si>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</si>
  <si>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</si>
  <si>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</si>
  <si>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</si>
  <si>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</si>
  <si>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</si>
  <si>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</si>
  <si>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</si>
  <si>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</si>
  <si>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</si>
  <si>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</si>
  <si>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</si>
  <si>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</si>
  <si>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</si>
  <si>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</si>
  <si>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</si>
  <si>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</si>
  <si>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</si>
  <si>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</si>
  <si>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</si>
  <si>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</si>
  <si>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</si>
  <si>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</si>
  <si>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</si>
  <si>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</si>
  <si>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</si>
  <si>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</si>
  <si>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</si>
  <si>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</si>
  <si>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</si>
  <si>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</si>
  <si>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</si>
  <si>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</si>
  <si>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</si>
  <si>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</si>
  <si>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</si>
  <si>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</si>
  <si>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</si>
  <si>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</si>
  <si>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</si>
  <si>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</si>
  <si>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</si>
  <si>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</si>
  <si>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</si>
  <si>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</si>
  <si>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</si>
  <si>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</si>
  <si>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</si>
  <si>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</si>
  <si>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</si>
  <si>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</si>
  <si>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</si>
  <si>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</si>
  <si>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</si>
  <si>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</si>
  <si>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</si>
  <si>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</si>
  <si>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</si>
  <si>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</si>
  <si>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</si>
  <si>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</si>
  <si>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</si>
  <si>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</si>
  <si>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</si>
  <si>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</si>
  <si>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</si>
  <si>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</si>
  <si>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</si>
  <si>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</si>
  <si>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</si>
  <si>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</si>
  <si>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</si>
  <si>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</si>
  <si>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</si>
  <si>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</si>
  <si>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</si>
  <si>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</si>
  <si>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</si>
  <si>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</si>
  <si>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</si>
  <si>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</si>
  <si>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</si>
  <si>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</si>
  <si>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</si>
  <si>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</si>
  <si>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</si>
  <si>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</si>
  <si>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</si>
  <si>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</si>
  <si>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</si>
  <si>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</si>
  <si>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</si>
  <si>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</si>
  <si>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</si>
  <si>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</si>
  <si>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</si>
  <si>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</si>
  <si>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</si>
  <si>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</si>
  <si>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</si>
  <si>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</si>
  <si>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</si>
  <si>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</si>
  <si>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</si>
  <si>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</si>
  <si>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</si>
  <si>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</si>
  <si>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</si>
  <si>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</si>
  <si>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</si>
  <si>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</si>
  <si>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</si>
  <si>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</si>
  <si>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</si>
  <si>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</si>
  <si>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</si>
  <si>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</si>
  <si>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</si>
  <si>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</si>
  <si>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</si>
  <si>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</si>
  <si>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</si>
  <si>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</si>
  <si>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</si>
  <si>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</si>
  <si>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</si>
  <si>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</si>
  <si>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</si>
  <si>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</si>
  <si>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</si>
  <si>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</si>
  <si>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</si>
  <si>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</si>
  <si>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</si>
  <si>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</si>
  <si>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</si>
  <si>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</si>
  <si>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</si>
  <si>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</si>
  <si>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</si>
  <si>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</si>
  <si>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</si>
  <si>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</si>
  <si>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</si>
  <si>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</si>
  <si>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</si>
  <si>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</si>
  <si>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</si>
  <si>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</si>
  <si>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</si>
  <si>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</si>
  <si>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</si>
  <si>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</si>
  <si>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</si>
  <si>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</si>
  <si>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</si>
  <si>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</si>
  <si>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</si>
  <si>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</si>
  <si>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</si>
  <si>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</si>
  <si>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</si>
  <si>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</si>
  <si>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</si>
  <si>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</si>
  <si>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</si>
  <si>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</si>
  <si>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</si>
  <si>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</si>
  <si>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</si>
  <si>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</si>
  <si>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</si>
  <si>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</si>
  <si>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</si>
  <si>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</si>
  <si>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</si>
  <si>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</si>
  <si>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</si>
  <si>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</si>
  <si>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</si>
  <si>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</si>
  <si>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</si>
  <si>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</si>
  <si>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</si>
  <si>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</si>
  <si>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</si>
  <si>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</si>
  <si>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</si>
  <si>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</si>
  <si>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</si>
  <si>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</si>
  <si>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</si>
  <si>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</si>
  <si>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</si>
  <si>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</si>
  <si>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</si>
  <si>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</si>
  <si>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</si>
  <si>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</si>
  <si>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</si>
  <si>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</si>
  <si>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</si>
  <si>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</si>
  <si>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</si>
  <si>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</si>
  <si>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</si>
  <si>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</si>
  <si>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</si>
  <si>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</si>
  <si>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</si>
  <si>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</si>
  <si>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</si>
  <si>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</si>
  <si>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</si>
  <si>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</si>
  <si>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</si>
  <si>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</si>
  <si>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</si>
  <si>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</si>
  <si>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</si>
  <si>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</si>
  <si>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</si>
  <si>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</si>
  <si>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</si>
  <si>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</si>
  <si>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</si>
  <si>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</si>
  <si>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</si>
  <si>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</si>
  <si>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</si>
  <si>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</si>
  <si>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</si>
  <si>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</si>
  <si>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</si>
  <si>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</si>
  <si>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</si>
  <si>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</si>
  <si>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</si>
  <si>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</si>
  <si>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</si>
  <si>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</si>
  <si>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</si>
  <si>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</si>
  <si>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</si>
  <si>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</si>
  <si>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</si>
  <si>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</si>
  <si>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</si>
  <si>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</si>
  <si>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</si>
  <si>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</si>
  <si>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</si>
  <si>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</si>
  <si>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</si>
  <si>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</si>
  <si>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</si>
  <si>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</si>
  <si>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</si>
  <si>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</si>
  <si>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</si>
  <si>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</si>
  <si>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</si>
  <si>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</si>
  <si>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</si>
  <si>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</si>
  <si>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</si>
  <si>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</si>
  <si>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</si>
  <si>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</si>
  <si>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</si>
  <si>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</si>
  <si>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</si>
  <si>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</si>
  <si>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</si>
  <si>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</si>
  <si>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</si>
  <si>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</si>
  <si>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</si>
  <si>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</si>
  <si>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</si>
  <si>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</si>
  <si>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</si>
  <si>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</si>
  <si>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</si>
  <si>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</si>
  <si>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</si>
  <si>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</si>
  <si>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</si>
  <si>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</si>
  <si>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</si>
  <si>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</si>
  <si>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</si>
  <si>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</si>
  <si>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</si>
  <si>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</si>
  <si>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</si>
  <si>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</si>
  <si>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</si>
  <si>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</si>
  <si>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</si>
  <si>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</si>
  <si>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</si>
  <si>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</si>
  <si>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</si>
  <si>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</si>
  <si>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</si>
  <si>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</si>
  <si>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</si>
  <si>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</si>
  <si>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</si>
  <si>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</si>
  <si>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</si>
  <si>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</si>
  <si>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</si>
  <si>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</si>
  <si>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</si>
  <si>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</si>
  <si>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</si>
  <si>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</si>
  <si>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</si>
  <si>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</si>
  <si>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</si>
  <si>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</si>
  <si>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</si>
  <si>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</si>
  <si>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</si>
  <si>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</si>
  <si>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</si>
  <si>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</si>
  <si>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</si>
  <si>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</si>
  <si>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</si>
  <si>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</si>
  <si>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</si>
  <si>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</si>
  <si>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</si>
  <si>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</si>
  <si>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</si>
  <si>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</si>
  <si>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</si>
  <si>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</si>
  <si>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</si>
  <si>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</si>
  <si>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</si>
  <si>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</si>
  <si>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</si>
  <si>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</si>
  <si>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</si>
  <si>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</si>
  <si>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</si>
  <si>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</si>
  <si>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</si>
  <si>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</si>
  <si>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</si>
  <si>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</si>
  <si>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</si>
  <si>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</si>
  <si>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</si>
  <si>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</si>
  <si>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</si>
  <si>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</si>
  <si>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</si>
  <si>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</si>
  <si>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</si>
  <si>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</si>
  <si>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</si>
  <si>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</si>
  <si>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</si>
  <si>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</si>
  <si>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</si>
  <si>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</si>
  <si>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</si>
  <si>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</si>
  <si>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</si>
  <si>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</si>
  <si>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</si>
  <si>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</si>
  <si>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</si>
  <si>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</si>
  <si>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</si>
  <si>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</si>
  <si>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</si>
  <si>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</si>
  <si>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</si>
  <si>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</si>
  <si>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</si>
  <si>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</si>
  <si>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</si>
  <si>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</si>
  <si>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</si>
  <si>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</si>
  <si>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</si>
  <si>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</si>
  <si>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</si>
  <si>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</si>
  <si>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</si>
  <si>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</si>
  <si>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</si>
  <si>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</si>
  <si>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</si>
  <si>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</si>
  <si>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</si>
  <si>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</si>
  <si>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</si>
  <si>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</si>
  <si>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</si>
  <si>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</si>
  <si>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</si>
  <si>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</si>
  <si>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</si>
  <si>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</si>
  <si>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</si>
  <si>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</si>
  <si>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</si>
  <si>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</si>
  <si>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</si>
  <si>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</si>
  <si>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</si>
  <si>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</si>
  <si>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</si>
  <si>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</si>
  <si>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</si>
  <si>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</si>
  <si>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</si>
  <si>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</si>
  <si>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</si>
  <si>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</si>
  <si>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</si>
  <si>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</si>
  <si>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</si>
  <si>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</si>
  <si>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</si>
  <si>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</si>
  <si>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</si>
  <si>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</si>
  <si>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</si>
  <si>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</si>
  <si>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</si>
  <si>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</si>
  <si>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</si>
  <si>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</si>
  <si>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</si>
  <si>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</si>
  <si>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</si>
  <si>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</si>
  <si>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</si>
  <si>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</si>
  <si>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</si>
  <si>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</si>
  <si>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</si>
  <si>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</si>
  <si>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</si>
  <si>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</si>
  <si>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</si>
  <si>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</si>
  <si>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</si>
  <si>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</si>
  <si>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</si>
  <si>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</si>
  <si>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</si>
  <si>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</si>
  <si>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</si>
  <si>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</si>
  <si>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</si>
  <si>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</si>
  <si>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</si>
  <si>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</si>
  <si>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</si>
  <si>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</si>
  <si>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</si>
  <si>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</si>
  <si>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</si>
  <si>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</si>
  <si>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</si>
  <si>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</si>
  <si>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</si>
  <si>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</si>
  <si>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</si>
  <si>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</si>
  <si>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</si>
  <si>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</si>
  <si>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</si>
  <si>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</si>
  <si>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</si>
  <si>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</si>
  <si>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</si>
  <si>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</si>
  <si>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</si>
  <si>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</si>
  <si>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</si>
  <si>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</si>
  <si>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</si>
  <si>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</si>
  <si>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</si>
  <si>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</si>
  <si>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</si>
  <si>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</si>
  <si>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</si>
  <si>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</si>
  <si>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</si>
  <si>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</si>
  <si>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</si>
  <si>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</si>
  <si>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</si>
  <si>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</si>
  <si>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</si>
  <si>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</si>
  <si>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</si>
  <si>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</si>
  <si>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</si>
  <si>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</si>
  <si>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</si>
  <si>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</si>
  <si>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</si>
  <si>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</si>
  <si>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</si>
  <si>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</si>
  <si>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</si>
  <si>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</si>
  <si>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</si>
  <si>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</si>
  <si>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</si>
  <si>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</si>
  <si>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</si>
  <si>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</si>
  <si>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</si>
  <si>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</si>
  <si>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</si>
  <si>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</si>
  <si>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</si>
  <si>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</si>
  <si>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</si>
  <si>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</si>
  <si>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</si>
  <si>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</si>
  <si>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</si>
  <si>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</si>
  <si>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</si>
  <si>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</si>
  <si>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</si>
  <si>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</si>
  <si>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</si>
  <si>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</si>
  <si>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</si>
  <si>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</si>
  <si>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</si>
  <si>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</si>
  <si>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</si>
  <si>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</si>
  <si>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</si>
  <si>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</si>
  <si>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</si>
  <si>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</si>
  <si>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</si>
  <si>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</si>
  <si>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</si>
  <si>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</si>
  <si>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</si>
  <si>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</si>
  <si>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</si>
  <si>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</si>
  <si>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</si>
  <si>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</si>
  <si>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</si>
  <si>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</si>
  <si>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</si>
  <si>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</si>
  <si>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</si>
  <si>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</si>
  <si>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</si>
  <si>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</si>
  <si>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</si>
  <si>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</si>
  <si>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</si>
  <si>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</si>
  <si>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</si>
  <si>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</si>
  <si>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</si>
  <si>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</si>
  <si>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</si>
  <si>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</si>
  <si>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</si>
  <si>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</si>
  <si>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</si>
  <si>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</si>
  <si>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</si>
  <si>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</si>
  <si>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</si>
  <si>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</si>
  <si>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</si>
  <si>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</si>
  <si>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</si>
  <si>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</si>
  <si>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</si>
  <si>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</si>
  <si>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</si>
  <si>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</si>
  <si>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</si>
  <si>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</si>
  <si>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</si>
  <si>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</si>
  <si>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</si>
  <si>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</si>
  <si>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</si>
  <si>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</si>
  <si>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</si>
  <si>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</si>
  <si>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</si>
  <si>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</si>
  <si>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</si>
  <si>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</si>
  <si>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</si>
  <si>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</si>
  <si>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</si>
  <si>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</si>
  <si>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</si>
  <si>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</si>
  <si>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</si>
  <si>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</si>
  <si>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</si>
  <si>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</si>
  <si>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</si>
  <si>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</si>
  <si>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</si>
  <si>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</si>
  <si>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</si>
  <si>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</si>
  <si>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</si>
  <si>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</si>
  <si>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</si>
  <si>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</si>
  <si>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</si>
  <si>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</si>
  <si>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</si>
  <si>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</si>
  <si>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</si>
  <si>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</si>
  <si>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</si>
  <si>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</si>
  <si>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</si>
  <si>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</si>
  <si>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</si>
  <si>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</si>
  <si>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</si>
  <si>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</si>
  <si>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</si>
  <si>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</si>
  <si>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</si>
  <si>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</si>
  <si>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</si>
  <si>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</si>
  <si>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</si>
  <si>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</si>
  <si>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</si>
  <si>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</si>
  <si>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</si>
  <si>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</si>
  <si>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</si>
  <si>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</si>
  <si>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</si>
  <si>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</si>
  <si>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</si>
  <si>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</si>
  <si>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</si>
  <si>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</si>
  <si>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</si>
  <si>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</si>
  <si>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</si>
  <si>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</si>
  <si>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</si>
  <si>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</si>
  <si>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</si>
  <si>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</si>
  <si>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</si>
  <si>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</si>
  <si>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</si>
  <si>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</si>
  <si>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</si>
  <si>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</si>
  <si>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</si>
  <si>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</si>
  <si>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</si>
  <si>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</si>
  <si>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</si>
  <si>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</si>
  <si>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</si>
  <si>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</si>
  <si>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</si>
  <si>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</si>
  <si>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</si>
  <si>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</si>
  <si>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</si>
  <si>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</si>
  <si>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</si>
  <si>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</si>
  <si>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</si>
  <si>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</si>
  <si>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</si>
  <si>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</si>
  <si>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</si>
  <si>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</si>
  <si>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</si>
  <si>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</si>
  <si>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</si>
  <si>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</si>
  <si>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</si>
  <si>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</si>
  <si>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</si>
  <si>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</si>
  <si>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</si>
  <si>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</si>
  <si>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</si>
  <si>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</si>
  <si>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</si>
  <si>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</si>
  <si>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</si>
  <si>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</si>
  <si>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</si>
  <si>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</si>
  <si>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</si>
  <si>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</si>
  <si>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</si>
  <si>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</si>
  <si>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</si>
  <si>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</si>
  <si>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</si>
  <si>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</si>
  <si>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</si>
  <si>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</si>
  <si>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</si>
  <si>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</si>
  <si>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</si>
  <si>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</si>
  <si>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</si>
  <si>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</si>
  <si>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</si>
  <si>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</si>
  <si>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</si>
  <si>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</si>
  <si>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</si>
  <si>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</si>
  <si>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</si>
  <si>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</si>
  <si>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</si>
  <si>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</si>
  <si>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</si>
  <si>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</si>
  <si>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</si>
  <si>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</si>
  <si>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</si>
  <si>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</si>
  <si>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</si>
  <si>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</si>
  <si>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</si>
  <si>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</si>
  <si>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</si>
  <si>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</si>
  <si>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</si>
  <si>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</si>
  <si>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</si>
  <si>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</si>
  <si>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</si>
  <si>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</si>
  <si>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</si>
  <si>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</si>
  <si>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</si>
  <si>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</si>
  <si>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</si>
  <si>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</si>
  <si>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</si>
  <si>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</si>
  <si>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</si>
  <si>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</si>
  <si>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</si>
  <si>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</si>
  <si>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</si>
  <si>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</si>
  <si>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</si>
  <si>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</si>
  <si>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</si>
  <si>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</si>
  <si>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</si>
  <si>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</si>
  <si>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</si>
  <si>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</si>
  <si>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</si>
  <si>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</si>
  <si>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</si>
  <si>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</si>
  <si>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</si>
  <si>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</si>
  <si>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</si>
  <si>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</si>
  <si>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</si>
  <si>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</si>
  <si>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</si>
  <si>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</si>
  <si>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</si>
  <si>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</si>
  <si>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</si>
  <si>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</si>
  <si>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</si>
  <si>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</si>
  <si>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</si>
  <si>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</si>
  <si>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</si>
  <si>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</si>
  <si>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</si>
  <si>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</si>
  <si>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</si>
  <si>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</si>
  <si>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</si>
  <si>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</si>
  <si>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</si>
  <si>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</si>
  <si>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</si>
  <si>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</si>
  <si>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</si>
  <si>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</si>
  <si>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</si>
  <si>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</si>
  <si>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</si>
  <si>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</si>
  <si>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</si>
  <si>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</si>
  <si>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</si>
  <si>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</si>
  <si>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</si>
  <si>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</si>
  <si>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</si>
  <si>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</si>
  <si>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</si>
  <si>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</si>
  <si>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</si>
  <si>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</si>
  <si>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</si>
  <si>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</si>
  <si>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</si>
  <si>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</si>
  <si>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</si>
  <si>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</si>
  <si>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</si>
  <si>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</si>
  <si>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</si>
  <si>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</si>
  <si>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</si>
  <si>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</si>
  <si>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</si>
  <si>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</si>
  <si>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</si>
  <si>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</si>
  <si>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</si>
  <si>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</si>
  <si>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</si>
  <si>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</si>
  <si>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</si>
  <si>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</si>
  <si>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</si>
  <si>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</si>
  <si>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</si>
  <si>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</si>
  <si>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</si>
  <si>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</si>
  <si>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</si>
  <si>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</si>
  <si>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</si>
  <si>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</si>
  <si>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</si>
  <si>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</si>
  <si>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</si>
  <si>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</si>
  <si>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</si>
  <si>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</si>
  <si>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</si>
  <si>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</si>
  <si>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</si>
  <si>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</si>
  <si>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</si>
  <si>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</si>
  <si>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</si>
  <si>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</si>
  <si>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</si>
  <si>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</si>
  <si>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</si>
  <si>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</si>
  <si>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</si>
  <si>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</si>
  <si>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</si>
  <si>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</si>
  <si>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</si>
  <si>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</si>
  <si>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</si>
  <si>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</si>
  <si>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</si>
  <si>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</si>
  <si>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</si>
  <si>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</si>
  <si>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</si>
  <si>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</si>
  <si>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</si>
  <si>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</si>
  <si>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</si>
  <si>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</si>
  <si>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</si>
  <si>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</si>
  <si>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</si>
  <si>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</si>
  <si>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</si>
  <si>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</si>
  <si>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</si>
  <si>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</si>
  <si>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</si>
  <si>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</si>
  <si>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</si>
  <si>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</si>
  <si>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</si>
  <si>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</si>
  <si>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</si>
  <si>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</si>
  <si>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</si>
  <si>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</si>
  <si>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</si>
  <si>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</si>
  <si>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</si>
  <si>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</si>
  <si>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</si>
  <si>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</si>
  <si>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</si>
  <si>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</si>
  <si>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</si>
  <si>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</si>
  <si>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</si>
  <si>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</si>
  <si>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</si>
  <si>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</si>
  <si>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</si>
  <si>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</si>
  <si>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</si>
  <si>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</si>
  <si>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</si>
  <si>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</si>
  <si>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</si>
  <si>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</si>
  <si>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</si>
  <si>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</si>
  <si>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</si>
  <si>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</si>
  <si>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</si>
  <si>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</si>
  <si>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</si>
  <si>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</si>
  <si>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</si>
  <si>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</si>
  <si>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</si>
  <si>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</si>
  <si>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</si>
  <si>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</si>
  <si>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</si>
  <si>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</si>
  <si>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</si>
  <si>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</si>
  <si>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</si>
  <si>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</si>
  <si>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</si>
  <si>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</si>
  <si>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</si>
  <si>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</si>
  <si>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</si>
  <si>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</si>
  <si>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</si>
  <si>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</si>
  <si>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</si>
  <si>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</si>
  <si>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</si>
  <si>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</si>
  <si>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</si>
  <si>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</si>
  <si>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</si>
  <si>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</si>
  <si>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</si>
  <si>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</si>
  <si>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</si>
  <si>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</si>
  <si>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</si>
  <si>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</si>
  <si>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</si>
  <si>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</si>
  <si>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</si>
  <si>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</si>
  <si>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</si>
  <si>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</si>
  <si>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</si>
  <si>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</si>
  <si>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</si>
  <si>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</si>
  <si>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</si>
  <si>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</si>
  <si>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</si>
  <si>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</si>
  <si>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</si>
  <si>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</si>
  <si>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</si>
  <si>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</si>
  <si>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</si>
  <si>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</si>
  <si>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</si>
  <si>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</si>
  <si>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</si>
  <si>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</si>
  <si>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</si>
  <si>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</si>
  <si>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</si>
  <si>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</si>
  <si>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</si>
  <si>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</si>
  <si>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</si>
  <si>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</si>
  <si>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</si>
  <si>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</si>
  <si>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</si>
  <si>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</si>
  <si>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</si>
  <si>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</si>
  <si>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</si>
  <si>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</si>
  <si>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</si>
  <si>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</si>
  <si>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</si>
  <si>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</si>
  <si>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</si>
  <si>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</si>
  <si>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</si>
  <si>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</si>
  <si>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</si>
  <si>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</si>
  <si>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</si>
  <si>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</si>
  <si>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</si>
  <si>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</si>
  <si>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</si>
  <si>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</si>
  <si>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</si>
  <si>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</si>
  <si>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</si>
  <si>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</si>
  <si>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</si>
  <si>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</si>
  <si>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</si>
  <si>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</si>
  <si>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</si>
  <si>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</si>
  <si>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</si>
  <si>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</si>
  <si>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</si>
  <si>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</si>
  <si>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</si>
  <si>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</si>
  <si>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</si>
  <si>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</si>
  <si>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</si>
  <si>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</si>
  <si>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</si>
  <si>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</si>
  <si>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</si>
  <si>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</si>
  <si>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</si>
  <si>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</si>
  <si>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</si>
  <si>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</si>
  <si>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</si>
  <si>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</si>
  <si>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</si>
  <si>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</si>
  <si>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</si>
  <si>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</si>
  <si>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</si>
  <si>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</si>
  <si>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</si>
  <si>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</si>
  <si>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</si>
  <si>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</si>
  <si>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</si>
  <si>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</si>
  <si>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</si>
  <si>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</si>
  <si>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</si>
  <si>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</si>
  <si>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</si>
  <si>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</si>
  <si>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</si>
  <si>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</si>
  <si>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</si>
  <si>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</si>
  <si>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</si>
  <si>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</si>
  <si>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</si>
  <si>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</si>
  <si>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</si>
  <si>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</si>
  <si>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</si>
  <si>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</si>
  <si>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</si>
  <si>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</si>
  <si>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</si>
  <si>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</si>
  <si>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</si>
  <si>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</si>
  <si>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</si>
  <si>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</si>
  <si>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</si>
  <si>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</si>
  <si>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</si>
  <si>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</si>
  <si>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</si>
  <si>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</si>
  <si>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</si>
  <si>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</si>
  <si>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</si>
  <si>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</si>
  <si>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</si>
  <si>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</si>
  <si>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</si>
  <si>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</si>
  <si>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</si>
  <si>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</si>
  <si>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</si>
  <si>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</si>
  <si>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</si>
  <si>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</si>
  <si>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</si>
  <si>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</si>
  <si>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</si>
  <si>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</si>
  <si>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</si>
  <si>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</si>
  <si>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</si>
  <si>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</si>
  <si>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</si>
  <si>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</si>
  <si>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</si>
  <si>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</si>
  <si>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</si>
  <si>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</si>
  <si>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</si>
  <si>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</si>
  <si>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</si>
  <si>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</si>
  <si>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</si>
  <si>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</si>
  <si>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</si>
  <si>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</si>
  <si>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</si>
  <si>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</si>
  <si>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</si>
  <si>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</si>
  <si>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</si>
  <si>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</si>
  <si>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</si>
  <si>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</si>
  <si>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</si>
  <si>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</si>
  <si>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</si>
  <si>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</si>
  <si>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</si>
  <si>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</si>
  <si>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</si>
  <si>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</si>
  <si>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</si>
  <si>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</si>
  <si>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</si>
  <si>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</si>
  <si>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</si>
  <si>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</si>
  <si>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</si>
  <si>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</si>
  <si>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</si>
  <si>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</si>
  <si>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</si>
  <si>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</si>
  <si>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</si>
  <si>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</si>
  <si>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</si>
  <si>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</si>
  <si>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</si>
  <si>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</si>
  <si>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</si>
  <si>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</si>
  <si>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</si>
  <si>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</si>
  <si>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</si>
  <si>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</si>
  <si>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</si>
  <si>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</si>
  <si>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</si>
  <si>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</si>
  <si>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</si>
  <si>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</si>
  <si>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</si>
  <si>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</si>
  <si>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</si>
  <si>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</si>
  <si>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</si>
  <si>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</si>
  <si>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</si>
  <si>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</si>
  <si>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</si>
  <si>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</si>
  <si>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</si>
  <si>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</si>
  <si>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</si>
  <si>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</si>
  <si>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</si>
  <si>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</si>
  <si>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</si>
  <si>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</si>
  <si>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</si>
  <si>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</si>
  <si>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</si>
  <si>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</si>
  <si>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</si>
  <si>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</si>
  <si>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</si>
  <si>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</si>
  <si>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</si>
  <si>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</si>
  <si>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</si>
  <si>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</si>
  <si>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</si>
  <si>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</si>
  <si>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</si>
  <si>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</si>
  <si>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</si>
  <si>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</si>
  <si>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</si>
  <si>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</si>
  <si>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</si>
  <si>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</si>
  <si>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</si>
  <si>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</si>
  <si>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</si>
  <si>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</si>
  <si>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</si>
  <si>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</si>
  <si>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</si>
  <si>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</si>
  <si>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</si>
  <si>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</si>
  <si>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</si>
  <si>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</si>
  <si>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</si>
  <si>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</si>
  <si>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</si>
  <si>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</si>
  <si>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</si>
  <si>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</si>
  <si>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</si>
  <si>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</si>
  <si>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</si>
  <si>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</si>
  <si>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</si>
  <si>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</si>
  <si>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</si>
  <si>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</si>
  <si>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</si>
  <si>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</si>
  <si>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</si>
  <si>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</si>
  <si>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</si>
  <si>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</si>
  <si>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</si>
  <si>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</si>
  <si>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</si>
  <si>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</si>
  <si>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</si>
  <si>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</si>
  <si>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</si>
  <si>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</si>
  <si>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</si>
  <si>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</si>
  <si>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</si>
  <si>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</si>
  <si>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</si>
  <si>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</si>
  <si>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</si>
  <si>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</si>
  <si>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</si>
  <si>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</si>
  <si>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</si>
  <si>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</si>
  <si>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</si>
  <si>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</si>
  <si>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</si>
  <si>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</si>
  <si>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</si>
  <si>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</si>
  <si>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</si>
  <si>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</si>
  <si>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</si>
  <si>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</si>
  <si>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</si>
  <si>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</si>
  <si>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</si>
  <si>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</si>
  <si>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</si>
  <si>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</si>
  <si>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</si>
  <si>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</si>
  <si>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</si>
  <si>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</si>
  <si>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</si>
  <si>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</si>
  <si>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</si>
  <si>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</si>
  <si>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</si>
  <si>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</si>
  <si>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</si>
  <si>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</si>
  <si>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</si>
  <si>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</si>
  <si>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</si>
  <si>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</si>
  <si>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</si>
  <si>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</si>
  <si>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</si>
  <si>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</si>
  <si>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</si>
  <si>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</si>
  <si>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</si>
  <si>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</si>
  <si>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</si>
  <si>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</si>
  <si>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</si>
  <si>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</si>
  <si>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</si>
  <si>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</si>
  <si>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</si>
  <si>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</si>
  <si>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</si>
  <si>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</si>
  <si>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</si>
  <si>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</si>
  <si>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</si>
  <si>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</si>
  <si>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</si>
  <si>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</si>
  <si>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</si>
  <si>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</si>
  <si>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</si>
  <si>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</si>
  <si>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</si>
  <si>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</si>
  <si>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</si>
  <si>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</si>
  <si>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</si>
  <si>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</si>
  <si>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</si>
  <si>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</si>
  <si>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</si>
  <si>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</si>
  <si>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</si>
  <si>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</si>
  <si>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</si>
  <si>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</si>
  <si>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</si>
  <si>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</si>
  <si>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</si>
  <si>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</si>
  <si>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</si>
  <si>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</si>
  <si>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</si>
  <si>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</si>
  <si>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</si>
  <si>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</si>
  <si>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</si>
  <si>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</si>
  <si>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</si>
  <si>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</si>
  <si>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</si>
  <si>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</si>
  <si>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</si>
  <si>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</si>
  <si>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</si>
  <si>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</si>
  <si>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</si>
  <si>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</si>
  <si>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</si>
  <si>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</si>
  <si>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</si>
  <si>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</si>
  <si>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</si>
  <si>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</si>
  <si>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</si>
  <si>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</si>
  <si>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</si>
  <si>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</si>
  <si>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</si>
  <si>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</si>
  <si>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</si>
  <si>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</si>
  <si>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</si>
  <si>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</si>
  <si>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</si>
  <si>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</si>
  <si>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</si>
  <si>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</si>
  <si>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</si>
  <si>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</si>
  <si>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</si>
  <si>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</si>
  <si>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</si>
  <si>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</si>
  <si>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</si>
  <si>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</si>
  <si>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</si>
  <si>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</si>
  <si>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</si>
  <si>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</si>
  <si>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</si>
  <si>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</si>
  <si>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</si>
  <si>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</si>
  <si>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</si>
  <si>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</si>
  <si>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</si>
  <si>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</si>
  <si>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</si>
  <si>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</si>
  <si>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</si>
  <si>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</si>
  <si>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</si>
  <si>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</si>
  <si>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</si>
  <si>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</si>
  <si>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</si>
  <si>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</si>
  <si>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</si>
  <si>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</si>
  <si>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</si>
  <si>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</si>
  <si>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</si>
  <si>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</si>
  <si>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</si>
  <si>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</si>
  <si>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</si>
  <si>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</si>
  <si>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</si>
  <si>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</si>
  <si>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</si>
  <si>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</si>
  <si>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</si>
  <si>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</si>
  <si>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</si>
  <si>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</si>
  <si>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</si>
  <si>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</si>
  <si>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</si>
  <si>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</si>
  <si>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</si>
  <si>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</si>
  <si>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</si>
  <si>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</si>
  <si>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</si>
  <si>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</si>
  <si>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</si>
  <si>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</si>
  <si>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</si>
  <si>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</si>
  <si>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</si>
  <si>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</si>
  <si>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</si>
  <si>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</si>
  <si>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</si>
  <si>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</si>
  <si>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</si>
  <si>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</si>
  <si>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</si>
  <si>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</si>
  <si>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</si>
  <si>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</si>
  <si>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</si>
  <si>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</si>
  <si>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</si>
  <si>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</si>
  <si>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</si>
  <si>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</si>
  <si>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</si>
  <si>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</si>
  <si>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</si>
  <si>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</si>
  <si>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</si>
  <si>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</si>
  <si>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</si>
  <si>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</si>
  <si>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</si>
  <si>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</si>
  <si>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</si>
  <si>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</si>
  <si>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</si>
  <si>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</si>
  <si>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</si>
  <si>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</si>
  <si>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</si>
  <si>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</si>
  <si>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</si>
  <si>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</si>
  <si>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</si>
  <si>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</si>
  <si>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</si>
  <si>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</si>
  <si>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</si>
  <si>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</si>
  <si>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</si>
  <si>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</si>
  <si>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</si>
  <si>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</si>
  <si>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</si>
  <si>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</si>
  <si>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</si>
  <si>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</si>
  <si>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</si>
  <si>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</si>
  <si>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</si>
  <si>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</si>
  <si>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</si>
  <si>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</si>
  <si>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</si>
  <si>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</si>
  <si>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</si>
  <si>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</si>
  <si>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</si>
  <si>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</si>
  <si>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</si>
  <si>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</si>
  <si>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</si>
  <si>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</si>
  <si>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</si>
  <si>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</si>
  <si>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</si>
  <si>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</si>
  <si>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</si>
  <si>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</si>
  <si>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</si>
  <si>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</si>
  <si>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</si>
  <si>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</si>
  <si>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</si>
  <si>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</si>
  <si>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</si>
  <si>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</si>
  <si>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</si>
  <si>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</si>
  <si>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</si>
  <si>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</si>
  <si>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</si>
  <si>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</si>
  <si>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</si>
  <si>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</si>
  <si>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</si>
  <si>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</si>
  <si>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</si>
  <si>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</si>
  <si>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</si>
  <si>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</si>
  <si>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</si>
  <si>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</si>
  <si>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</si>
  <si>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</si>
  <si>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</si>
  <si>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</si>
  <si>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</si>
  <si>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</si>
  <si>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</si>
  <si>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</si>
  <si>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</si>
  <si>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</si>
  <si>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</si>
  <si>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</si>
  <si>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</si>
  <si>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</si>
  <si>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</si>
  <si>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</si>
  <si>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</si>
  <si>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</si>
  <si>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</si>
  <si>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</si>
  <si>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</si>
  <si>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</si>
  <si>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</si>
  <si>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</si>
  <si>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</si>
  <si>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</si>
  <si>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</si>
  <si>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</si>
  <si>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</si>
  <si>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</si>
  <si>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</si>
  <si>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</si>
  <si>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</si>
  <si>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</si>
  <si>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</si>
  <si>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</si>
  <si>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</si>
  <si>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</si>
  <si>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</si>
  <si>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</si>
  <si>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</si>
  <si>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</si>
  <si>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</si>
  <si>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</si>
  <si>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</si>
  <si>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</si>
  <si>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</si>
  <si>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</si>
  <si>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</si>
  <si>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</si>
  <si>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</si>
  <si>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</si>
  <si>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</si>
  <si>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</si>
  <si>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</si>
  <si>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</si>
  <si>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</si>
  <si>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</si>
  <si>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</si>
  <si>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</si>
  <si>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</si>
  <si>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</si>
  <si>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</si>
  <si>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</si>
  <si>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</si>
  <si>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</si>
  <si>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</si>
  <si>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</si>
  <si>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</si>
  <si>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</si>
  <si>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</si>
  <si>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</si>
  <si>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</si>
  <si>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</si>
  <si>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</si>
  <si>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</si>
  <si>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</si>
  <si>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</si>
  <si>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</si>
  <si>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</si>
  <si>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</si>
  <si>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</si>
  <si>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</si>
  <si>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</si>
  <si>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</si>
  <si>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</si>
  <si>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</si>
  <si>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</si>
  <si>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</si>
  <si>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</si>
  <si>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</si>
  <si>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</si>
  <si>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</si>
  <si>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</si>
  <si>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</si>
  <si>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</si>
  <si>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</si>
  <si>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</si>
  <si>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</si>
  <si>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</si>
  <si>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</si>
  <si>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</si>
  <si>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</si>
  <si>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</si>
  <si>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</si>
  <si>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</si>
  <si>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</si>
  <si>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</si>
  <si>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</si>
  <si>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</si>
  <si>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</si>
  <si>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</si>
  <si>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</si>
  <si>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</si>
  <si>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</si>
  <si>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</si>
  <si>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</si>
  <si>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</si>
  <si>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</si>
  <si>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</si>
  <si>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</si>
  <si>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</si>
  <si>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</si>
  <si>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</si>
  <si>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</si>
  <si>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</si>
  <si>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</si>
  <si>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</si>
  <si>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</si>
  <si>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</si>
  <si>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</si>
  <si>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</si>
  <si>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</si>
  <si>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</si>
  <si>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</si>
  <si>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</si>
  <si>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</si>
  <si>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</si>
  <si>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</si>
  <si>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</si>
  <si>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</si>
  <si>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</si>
  <si>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</si>
  <si>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</si>
  <si>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</si>
  <si>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</si>
  <si>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</si>
  <si>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</si>
  <si>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</si>
  <si>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</si>
  <si>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</si>
  <si>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</si>
  <si>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</si>
  <si>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</si>
  <si>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</si>
  <si>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</si>
  <si>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</si>
  <si>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</si>
  <si>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</si>
  <si>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</si>
  <si>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</si>
  <si>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</si>
  <si>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</si>
  <si>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</si>
  <si>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</si>
  <si>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</si>
  <si>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</si>
  <si>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</si>
  <si>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</si>
  <si>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</si>
  <si>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</si>
  <si>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</si>
  <si>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</si>
  <si>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</si>
  <si>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</si>
  <si>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</si>
  <si>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</si>
  <si>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</si>
  <si>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</si>
  <si>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</si>
  <si>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</si>
  <si>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</si>
  <si>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</si>
  <si>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</si>
  <si>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</si>
  <si>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</si>
  <si>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</si>
  <si>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</si>
  <si>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</si>
  <si>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</si>
  <si>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</si>
  <si>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</si>
  <si>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</si>
  <si>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</si>
  <si>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</si>
  <si>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</si>
  <si>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</si>
  <si>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</si>
  <si>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</si>
  <si>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</si>
  <si>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</si>
  <si>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</si>
  <si>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</si>
  <si>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</si>
  <si>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</si>
  <si>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</si>
  <si>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</si>
  <si>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</si>
  <si>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</si>
  <si>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</si>
  <si>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</si>
  <si>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</si>
  <si>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</si>
  <si>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</si>
  <si>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</si>
  <si>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</si>
  <si>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</si>
  <si>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</si>
  <si>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</si>
  <si>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</si>
  <si>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</si>
  <si>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</si>
  <si>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</si>
  <si>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</si>
  <si>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</si>
  <si>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</si>
  <si>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</si>
  <si>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</si>
  <si>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</si>
  <si>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</si>
  <si>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</si>
  <si>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</si>
  <si>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</si>
  <si>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</si>
  <si>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</si>
  <si>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</si>
  <si>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</si>
  <si>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</si>
  <si>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</si>
  <si>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</si>
  <si>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</si>
  <si>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</si>
  <si>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</si>
  <si>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</si>
  <si>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</si>
  <si>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</si>
  <si>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</si>
  <si>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</si>
  <si>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</si>
  <si>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</si>
  <si>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</si>
  <si>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</si>
  <si>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</si>
  <si>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</si>
  <si>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</si>
  <si>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</si>
  <si>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</si>
  <si>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</si>
  <si>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</si>
  <si>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</si>
  <si>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</si>
  <si>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</si>
  <si>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</si>
  <si>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</si>
  <si>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</si>
  <si>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</si>
  <si>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</si>
  <si>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</si>
  <si>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</si>
  <si>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</si>
  <si>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</si>
  <si>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</si>
  <si>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</si>
  <si>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</si>
  <si>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</si>
  <si>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</si>
  <si>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</si>
  <si>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</si>
  <si>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</si>
  <si>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</si>
  <si>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</si>
  <si>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</si>
  <si>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</si>
  <si>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</si>
  <si>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</si>
  <si>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</si>
  <si>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</si>
  <si>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</si>
  <si>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</si>
  <si>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</si>
  <si>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</si>
  <si>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</si>
  <si>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</si>
  <si>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</si>
  <si>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</si>
  <si>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</si>
  <si>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</si>
  <si>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</si>
  <si>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</si>
  <si>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</si>
  <si>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</si>
  <si>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</si>
  <si>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</si>
  <si>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</si>
  <si>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</si>
  <si>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</si>
  <si>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</si>
  <si>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</si>
  <si>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</si>
  <si>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</si>
  <si>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</si>
  <si>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</si>
  <si>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</si>
  <si>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</si>
  <si>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</si>
  <si>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</si>
  <si>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</si>
  <si>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</si>
  <si>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</si>
  <si>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</si>
  <si>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</si>
  <si>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</si>
  <si>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</si>
  <si>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</si>
  <si>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</si>
  <si>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</si>
  <si>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</si>
  <si>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</si>
  <si>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</si>
  <si>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</si>
  <si>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</si>
  <si>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</si>
  <si>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</si>
  <si>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</si>
  <si>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</si>
  <si>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</si>
  <si>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</si>
  <si>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</si>
  <si>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</si>
  <si>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</si>
  <si>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</si>
  <si>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</si>
  <si>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</si>
  <si>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</si>
  <si>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</si>
  <si>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</si>
  <si>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</si>
  <si>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</si>
  <si>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</si>
  <si>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</si>
  <si>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</si>
  <si>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</si>
  <si>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</si>
  <si>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</si>
  <si>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</si>
  <si>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</si>
  <si>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</si>
  <si>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</si>
  <si>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</si>
  <si>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</si>
  <si>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</si>
  <si>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</si>
  <si>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</si>
  <si>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</si>
  <si>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</si>
  <si>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</si>
  <si>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</si>
  <si>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</si>
  <si>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</si>
  <si>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</si>
  <si>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</si>
  <si>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</si>
  <si>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</si>
  <si>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</si>
  <si>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</si>
  <si>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</si>
  <si>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</si>
  <si>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</si>
  <si>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</si>
  <si>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</si>
  <si>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</si>
  <si>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</si>
  <si>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</si>
  <si>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</si>
  <si>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</si>
  <si>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</si>
  <si>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</si>
  <si>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</si>
  <si>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</si>
  <si>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</si>
  <si>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</si>
  <si>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</si>
  <si>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</si>
  <si>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</si>
  <si>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</si>
  <si>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</si>
  <si>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</si>
  <si>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</si>
  <si>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</si>
  <si>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</si>
  <si>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</si>
  <si>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</si>
  <si>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</si>
  <si>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</si>
  <si>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</si>
  <si>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</si>
  <si>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</si>
  <si>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</si>
  <si>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</si>
  <si>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</si>
  <si>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</si>
  <si>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</si>
  <si>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</si>
  <si>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</si>
  <si>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</si>
  <si>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</si>
  <si>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</si>
  <si>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</si>
  <si>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</si>
  <si>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</si>
  <si>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</si>
  <si>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</si>
  <si>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</si>
  <si>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</si>
  <si>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</si>
  <si>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</si>
  <si>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</si>
  <si>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</si>
  <si>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</si>
  <si>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</si>
  <si>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</si>
  <si>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</si>
  <si>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</si>
  <si>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</si>
  <si>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</si>
  <si>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</si>
  <si>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</si>
  <si>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</si>
  <si>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</si>
  <si>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</si>
  <si>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</si>
  <si>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</si>
  <si>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</si>
  <si>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</si>
  <si>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</si>
  <si>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</si>
  <si>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</si>
  <si>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</si>
  <si>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</si>
  <si>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</si>
  <si>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</si>
  <si>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</si>
  <si>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</si>
  <si>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</si>
  <si>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</si>
  <si>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</si>
  <si>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</si>
  <si>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</si>
  <si>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</si>
  <si>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</si>
  <si>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</si>
  <si>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</si>
  <si>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</si>
  <si>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</si>
  <si>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</si>
  <si>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</si>
  <si>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</si>
  <si>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</si>
  <si>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</si>
  <si>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</si>
  <si>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</si>
  <si>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</si>
  <si>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</si>
  <si>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</si>
  <si>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</si>
  <si>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</si>
  <si>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</si>
  <si>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</si>
  <si>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</si>
  <si>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</si>
  <si>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</si>
  <si>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</si>
  <si>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</si>
  <si>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</si>
  <si>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</si>
  <si>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</si>
  <si>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</si>
  <si>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</si>
  <si>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</si>
  <si>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</si>
  <si>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</si>
  <si>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</si>
  <si>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</si>
  <si>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</si>
  <si>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</si>
  <si>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</si>
  <si>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</si>
  <si>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</si>
  <si>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</si>
  <si>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</si>
  <si>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</si>
  <si>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</si>
  <si>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</si>
  <si>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</si>
  <si>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</si>
  <si>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</si>
  <si>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</si>
  <si>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</si>
  <si>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</si>
  <si>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</si>
  <si>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</si>
  <si>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</si>
  <si>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</si>
  <si>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</si>
  <si>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</si>
  <si>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</si>
  <si>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</si>
  <si>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</si>
  <si>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</si>
  <si>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</si>
  <si>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</si>
  <si>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</si>
  <si>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</si>
  <si>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</si>
  <si>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</si>
  <si>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</si>
  <si>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</si>
  <si>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</si>
  <si>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</si>
  <si>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</si>
  <si>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</si>
  <si>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</si>
  <si>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</si>
  <si>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</si>
  <si>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</si>
  <si>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</si>
  <si>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</si>
  <si>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</si>
  <si>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</si>
  <si>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</si>
  <si>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</si>
  <si>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</si>
  <si>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</si>
  <si>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</si>
  <si>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</si>
  <si>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</si>
  <si>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</si>
  <si>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</si>
  <si>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</si>
  <si>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</si>
  <si>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</si>
  <si>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</si>
  <si>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</si>
  <si>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</si>
  <si>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</si>
  <si>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</si>
  <si>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</si>
  <si>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</si>
  <si>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</si>
  <si>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</si>
  <si>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</si>
  <si>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</si>
  <si>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</si>
  <si>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</si>
  <si>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</si>
  <si>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</si>
  <si>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</si>
  <si>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</si>
  <si>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</si>
  <si>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</si>
  <si>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</si>
  <si>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</si>
  <si>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</si>
  <si>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</si>
  <si>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</si>
  <si>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</si>
  <si>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</si>
  <si>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</si>
  <si>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</si>
  <si>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</si>
  <si>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</si>
  <si>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</si>
  <si>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</si>
  <si>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</si>
  <si>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</si>
  <si>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</si>
  <si>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</si>
  <si>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</si>
  <si>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</si>
  <si>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</si>
  <si>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</si>
  <si>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</si>
  <si>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</si>
  <si>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</si>
  <si>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</si>
  <si>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</si>
  <si>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</si>
  <si>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</si>
  <si>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</si>
  <si>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</si>
  <si>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</si>
  <si>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</si>
  <si>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</si>
  <si>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</si>
  <si>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</si>
  <si>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</si>
  <si>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</si>
  <si>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</si>
  <si>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</si>
  <si>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</si>
  <si>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</si>
  <si>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</si>
  <si>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</si>
  <si>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</si>
  <si>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</si>
  <si>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</si>
  <si>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</si>
  <si>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</si>
  <si>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</si>
  <si>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</si>
  <si>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</si>
  <si>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</si>
  <si>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</si>
  <si>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</si>
  <si>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</si>
  <si>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</si>
  <si>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</si>
  <si>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</si>
  <si>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</si>
  <si>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</si>
  <si>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</si>
  <si>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</si>
  <si>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</si>
  <si>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</si>
  <si>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</si>
  <si>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</si>
  <si>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</si>
  <si>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</si>
  <si>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</si>
  <si>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</si>
  <si>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</si>
  <si>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</si>
  <si>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</si>
  <si>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</si>
  <si>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</si>
  <si>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</si>
  <si>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</si>
  <si>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</si>
  <si>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</si>
  <si>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</si>
  <si>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</si>
  <si>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</si>
  <si>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</si>
  <si>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</si>
  <si>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</si>
  <si>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</si>
  <si>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</si>
  <si>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</si>
  <si>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</si>
  <si>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</si>
  <si>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</si>
  <si>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</si>
  <si>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</si>
  <si>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</si>
  <si>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</si>
  <si>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</si>
  <si>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</si>
  <si>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</si>
  <si>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</si>
  <si>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</si>
  <si>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</si>
  <si>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</si>
  <si>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</si>
  <si>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</si>
  <si>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</si>
  <si>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</si>
  <si>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</si>
  <si>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</si>
  <si>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</si>
  <si>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</si>
  <si>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</si>
  <si>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</si>
  <si>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</si>
  <si>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</si>
  <si>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</si>
  <si>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</si>
  <si>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</si>
  <si>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</si>
  <si>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</si>
  <si>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</si>
  <si>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</si>
  <si>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</si>
  <si>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</si>
  <si>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</si>
  <si>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</si>
  <si>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</si>
  <si>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</si>
  <si>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</si>
  <si>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</si>
  <si>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</si>
  <si>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</si>
  <si>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</si>
  <si>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</si>
  <si>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</si>
  <si>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</si>
  <si>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</si>
  <si>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</si>
  <si>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</si>
  <si>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</si>
  <si>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</si>
  <si>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</si>
  <si>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</si>
  <si>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</si>
  <si>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</si>
  <si>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</si>
  <si>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</si>
  <si>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</si>
  <si>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</si>
  <si>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</si>
  <si>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</si>
  <si>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</si>
  <si>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</si>
  <si>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</si>
  <si>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</si>
  <si>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</si>
  <si>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</si>
  <si>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</si>
  <si>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</si>
  <si>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</si>
  <si>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</si>
  <si>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</si>
  <si>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</si>
  <si>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</si>
  <si>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</si>
  <si>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</si>
  <si>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</si>
  <si>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</si>
  <si>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</si>
  <si>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</si>
  <si>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</si>
  <si>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</si>
  <si>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</si>
  <si>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</si>
  <si>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</si>
  <si>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</si>
  <si>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</si>
  <si>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</si>
  <si>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</si>
  <si>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</si>
  <si>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</si>
  <si>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</si>
  <si>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</si>
  <si>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</si>
  <si>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</si>
  <si>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</si>
  <si>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</si>
  <si>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</si>
  <si>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</si>
  <si>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</si>
  <si>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</si>
  <si>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</si>
  <si>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</si>
  <si>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</si>
  <si>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</si>
  <si>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</si>
  <si>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</si>
  <si>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</si>
  <si>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</si>
  <si>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</si>
  <si>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</si>
  <si>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</si>
  <si>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</si>
  <si>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</si>
  <si>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</si>
  <si>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</si>
  <si>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</si>
  <si>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</si>
  <si>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</si>
  <si>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</si>
  <si>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</si>
  <si>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</si>
  <si>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</si>
  <si>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</si>
  <si>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</si>
  <si>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</si>
  <si>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</si>
  <si>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</si>
  <si>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</si>
  <si>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</si>
  <si>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</si>
  <si>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</si>
  <si>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</si>
  <si>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</si>
  <si>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</si>
  <si>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</si>
  <si>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</si>
  <si>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</si>
  <si>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</si>
  <si>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</si>
  <si>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</si>
  <si>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</si>
  <si>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</si>
  <si>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</si>
  <si>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</si>
  <si>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</si>
  <si>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</si>
  <si>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</si>
  <si>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</si>
  <si>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</si>
  <si>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</si>
  <si>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</si>
  <si>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</si>
  <si>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</si>
  <si>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</si>
  <si>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</si>
  <si>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</si>
  <si>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</si>
  <si>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</si>
  <si>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</si>
  <si>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</si>
  <si>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</si>
  <si>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</si>
  <si>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</si>
  <si>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</si>
  <si>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</si>
  <si>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</si>
  <si>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</si>
  <si>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</si>
  <si>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</si>
  <si>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</si>
  <si>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</si>
  <si>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</si>
  <si>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</si>
  <si>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</si>
  <si>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</si>
  <si>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</si>
  <si>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</si>
  <si>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</si>
  <si>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</si>
  <si>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</si>
  <si>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</si>
  <si>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</si>
  <si>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</si>
  <si>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</si>
  <si>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</si>
  <si>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</si>
  <si>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</si>
  <si>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</si>
  <si>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</si>
  <si>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</si>
  <si>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</si>
  <si>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</si>
  <si>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</si>
  <si>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</si>
  <si>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</si>
  <si>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</si>
  <si>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</si>
  <si>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</si>
  <si>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</si>
  <si>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</si>
  <si>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</si>
  <si>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</si>
  <si>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</si>
  <si>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</si>
  <si>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</si>
  <si>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</si>
  <si>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</si>
  <si>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</si>
  <si>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</si>
  <si>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</si>
  <si>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</si>
  <si>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</si>
  <si>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</si>
  <si>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</si>
  <si>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</si>
  <si>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</si>
  <si>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</si>
  <si>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</si>
  <si>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</si>
  <si>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</si>
  <si>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</si>
  <si>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</si>
  <si>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</si>
  <si>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</si>
  <si>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</si>
  <si>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</si>
  <si>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</si>
  <si>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</si>
  <si>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</si>
  <si>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</si>
  <si>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</si>
  <si>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</si>
  <si>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</si>
  <si>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</si>
  <si>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</si>
  <si>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</si>
  <si>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</si>
  <si>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</si>
  <si>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</si>
  <si>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</si>
  <si>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</si>
  <si>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</si>
  <si>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</si>
  <si>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</si>
  <si>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</si>
  <si>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</si>
  <si>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</si>
  <si>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</si>
  <si>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</si>
  <si>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</si>
  <si>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</si>
  <si>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</si>
  <si>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</si>
  <si>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</si>
  <si>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</si>
  <si>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</si>
  <si>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</si>
  <si>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</si>
  <si>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</si>
  <si>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</si>
  <si>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</si>
  <si>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</si>
  <si>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</si>
  <si>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</si>
  <si>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</si>
  <si>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</si>
  <si>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</si>
  <si>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</si>
  <si>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</si>
  <si>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</si>
  <si>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</si>
  <si>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</si>
  <si>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</si>
  <si>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</si>
  <si>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</si>
  <si>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</si>
  <si>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</si>
  <si>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</si>
  <si>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</si>
  <si>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</si>
  <si>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</si>
  <si>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</si>
  <si>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</si>
  <si>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</si>
  <si>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</si>
  <si>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</si>
  <si>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</si>
  <si>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</si>
  <si>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</si>
  <si>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</si>
  <si>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</si>
  <si>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</si>
  <si>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</si>
  <si>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</si>
  <si>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</si>
  <si>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</si>
  <si>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</si>
  <si>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</si>
  <si>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</si>
  <si>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</si>
  <si>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</si>
  <si>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</si>
  <si>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</si>
  <si>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</si>
  <si>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</si>
  <si>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</si>
  <si>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</si>
  <si>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</si>
  <si>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</si>
  <si>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</si>
  <si>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</si>
  <si>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</si>
  <si>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</si>
  <si>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</si>
  <si>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</si>
  <si>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</si>
  <si>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</si>
  <si>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</si>
  <si>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</si>
  <si>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</si>
  <si>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</si>
  <si>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</si>
  <si>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</si>
  <si>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</si>
  <si>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</si>
  <si>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</si>
  <si>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</si>
  <si>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</si>
  <si>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</si>
  <si>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</si>
  <si>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</si>
  <si>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</si>
  <si>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</si>
  <si>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</si>
  <si>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</si>
  <si>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</si>
  <si>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</si>
  <si>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</si>
  <si>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</si>
  <si>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</si>
  <si>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</si>
  <si>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</si>
  <si>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</si>
  <si>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</si>
  <si>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</si>
  <si>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</si>
  <si>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</si>
  <si>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</si>
  <si>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</si>
  <si>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</si>
  <si>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</si>
  <si>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</si>
  <si>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</si>
  <si>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</si>
  <si>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</si>
  <si>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</si>
  <si>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</si>
  <si>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</si>
  <si>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</si>
  <si>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</si>
  <si>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</si>
  <si>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</si>
  <si>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</si>
  <si>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</si>
  <si>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</si>
  <si>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</si>
  <si>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</si>
  <si>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</si>
  <si>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</si>
  <si>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</si>
  <si>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</si>
  <si>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</si>
  <si>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</si>
  <si>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</si>
  <si>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</si>
  <si>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</si>
  <si>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</si>
  <si>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</si>
  <si>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</si>
  <si>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</si>
  <si>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</si>
  <si>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</si>
  <si>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</si>
  <si>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</si>
  <si>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</si>
  <si>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</si>
  <si>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</si>
  <si>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</si>
  <si>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</si>
  <si>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</si>
  <si>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</si>
  <si>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</si>
  <si>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</si>
  <si>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</si>
  <si>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</si>
  <si>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</si>
  <si>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</si>
  <si>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</si>
  <si>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</si>
  <si>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</si>
  <si>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</si>
  <si>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</si>
  <si>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</si>
  <si>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</si>
  <si>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</si>
  <si>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</si>
  <si>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</si>
  <si>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</si>
  <si>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</si>
  <si>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</si>
  <si>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</si>
  <si>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</si>
  <si>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</si>
  <si>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</si>
  <si>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</si>
  <si>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</si>
  <si>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</si>
  <si>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</si>
  <si>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</si>
  <si>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</si>
  <si>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</si>
  <si>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</si>
  <si>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</si>
  <si>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</si>
  <si>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</si>
  <si>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</si>
  <si>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</si>
  <si>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</si>
  <si>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</si>
  <si>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</si>
  <si>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</si>
  <si>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</si>
  <si>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</si>
  <si>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</si>
  <si>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</si>
  <si>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</si>
  <si>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</si>
  <si>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</si>
  <si>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</si>
  <si>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</si>
  <si>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</si>
  <si>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</si>
  <si>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</si>
  <si>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</si>
  <si>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</si>
  <si>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</si>
  <si>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</si>
  <si>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</si>
  <si>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</si>
  <si>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</si>
  <si>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</si>
  <si>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</si>
  <si>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</si>
  <si>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</si>
  <si>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</si>
  <si>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</si>
  <si>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</si>
  <si>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</si>
  <si>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</si>
  <si>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</si>
  <si>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</si>
  <si>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</si>
  <si>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</si>
  <si>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</si>
  <si>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</si>
  <si>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</si>
  <si>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</si>
  <si>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</si>
  <si>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</si>
  <si>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</si>
  <si>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</si>
  <si>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</si>
  <si>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</si>
  <si>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</si>
  <si>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</si>
  <si>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</si>
  <si>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</si>
  <si>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</si>
  <si>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</si>
  <si>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</si>
  <si>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</si>
  <si>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</si>
  <si>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</si>
  <si>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</si>
  <si>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</si>
  <si>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</si>
  <si>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</si>
  <si>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</si>
  <si>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</si>
  <si>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</si>
  <si>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</si>
  <si>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</si>
  <si>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</si>
  <si>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</si>
  <si>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</si>
  <si>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</si>
  <si>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</si>
  <si>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</si>
  <si>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</si>
  <si>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</si>
  <si>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</si>
  <si>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</si>
  <si>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</si>
  <si>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</si>
  <si>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</si>
  <si>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</si>
  <si>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</si>
  <si>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</si>
  <si>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</si>
  <si>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</si>
  <si>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</si>
  <si>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</si>
  <si>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</si>
  <si>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</si>
  <si>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</si>
  <si>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</si>
  <si>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</si>
  <si>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</si>
  <si>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</si>
  <si>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</si>
  <si>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</si>
  <si>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</si>
  <si>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</si>
  <si>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</si>
  <si>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</si>
  <si>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</si>
  <si>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</si>
  <si>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</si>
  <si>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</si>
  <si>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</si>
  <si>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</si>
  <si>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</si>
  <si>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</si>
  <si>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</si>
  <si>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</si>
  <si>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</si>
  <si>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</si>
  <si>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</si>
  <si>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</si>
  <si>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</si>
  <si>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</si>
  <si>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</si>
  <si>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</si>
  <si>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</si>
  <si>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</si>
  <si>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</si>
  <si>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</si>
  <si>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</si>
  <si>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</si>
  <si>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</si>
  <si>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</si>
  <si>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</si>
  <si>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</si>
  <si>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</si>
  <si>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</si>
  <si>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</si>
  <si>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</si>
  <si>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</si>
  <si>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</si>
  <si>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</si>
  <si>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</si>
  <si>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</si>
  <si>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</si>
  <si>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</si>
  <si>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</si>
  <si>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</si>
  <si>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</si>
  <si>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</si>
  <si>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</si>
  <si>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</si>
  <si>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</si>
  <si>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</si>
  <si>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</si>
  <si>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</si>
  <si>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</si>
  <si>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</si>
  <si>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</si>
  <si>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</si>
  <si>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</si>
  <si>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</si>
  <si>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</si>
  <si>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</si>
  <si>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</si>
  <si>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</si>
  <si>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</si>
  <si>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</si>
  <si>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</si>
  <si>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</si>
  <si>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</si>
  <si>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</si>
  <si>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</si>
  <si>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</si>
  <si>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</si>
  <si>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</si>
  <si>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</si>
  <si>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</si>
  <si>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</si>
  <si>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</si>
  <si>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</si>
  <si>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</si>
  <si>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</si>
  <si>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</si>
  <si>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</si>
  <si>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</si>
  <si>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</si>
  <si>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</si>
  <si>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</si>
  <si>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</si>
  <si>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</si>
  <si>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</si>
  <si>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</si>
  <si>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</si>
  <si>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</si>
  <si>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</si>
  <si>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</si>
  <si>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</si>
  <si>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</si>
  <si>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</si>
  <si>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</si>
  <si>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</si>
  <si>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</si>
  <si>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</si>
  <si>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</si>
  <si>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</si>
  <si>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</si>
  <si>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</si>
  <si>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</si>
  <si>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</si>
  <si>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</si>
  <si>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</si>
  <si>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</si>
  <si>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</si>
  <si>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</si>
  <si>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</si>
  <si>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</si>
  <si>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</si>
  <si>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</si>
  <si>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</si>
  <si>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</si>
  <si>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</si>
  <si>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</si>
  <si>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</si>
  <si>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</si>
  <si>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</si>
  <si>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</si>
  <si>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</si>
  <si>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</si>
  <si>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</si>
  <si>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</si>
  <si>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</si>
  <si>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</si>
  <si>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</si>
  <si>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</si>
  <si>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</si>
  <si>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</si>
  <si>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</si>
  <si>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</si>
  <si>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</si>
  <si>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</si>
  <si>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</si>
  <si>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</si>
  <si>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</si>
  <si>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</si>
  <si>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</si>
  <si>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</si>
  <si>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</si>
  <si>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</si>
  <si>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</si>
  <si>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</si>
  <si>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</si>
  <si>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</si>
  <si>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</si>
  <si>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</si>
  <si>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</si>
  <si>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</si>
  <si>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</si>
  <si>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</si>
  <si>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</si>
  <si>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</si>
  <si>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</si>
  <si>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</si>
  <si>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</si>
  <si>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</si>
  <si>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</si>
  <si>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</si>
  <si>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</si>
  <si>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</si>
  <si>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</si>
  <si>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</si>
  <si>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</si>
  <si>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</si>
  <si>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</si>
  <si>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</si>
  <si>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</si>
  <si>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</si>
  <si>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</si>
  <si>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</si>
  <si>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</si>
  <si>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</si>
  <si>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</si>
  <si>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</si>
  <si>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</si>
  <si>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</si>
  <si>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</si>
  <si>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</si>
  <si>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</si>
  <si>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</si>
  <si>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</si>
  <si>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</si>
  <si>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</si>
  <si>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</si>
  <si>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</si>
  <si>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</si>
  <si>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</si>
  <si>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</si>
  <si>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</si>
  <si>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</si>
  <si>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</si>
  <si>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</si>
  <si>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</si>
  <si>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</si>
  <si>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</si>
  <si>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</si>
  <si>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</si>
  <si>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</si>
  <si>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</si>
  <si>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</si>
  <si>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</si>
  <si>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</si>
  <si>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</si>
  <si>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</si>
  <si>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</si>
  <si>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</si>
  <si>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</si>
  <si>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</si>
  <si>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</si>
  <si>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</si>
  <si>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</si>
  <si>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</si>
  <si>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</si>
  <si>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</si>
  <si>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</si>
  <si>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</si>
  <si>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</si>
  <si>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</si>
  <si>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</si>
  <si>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</si>
  <si>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</si>
  <si>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</si>
  <si>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</si>
  <si>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</si>
  <si>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</si>
  <si>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</si>
  <si>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</si>
  <si>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</si>
  <si>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</si>
  <si>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</si>
  <si>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</si>
  <si>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</si>
  <si>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</si>
  <si>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</si>
  <si>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</si>
  <si>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</si>
  <si>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</si>
  <si>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</si>
  <si>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</si>
  <si>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</si>
  <si>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</si>
  <si>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</si>
  <si>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</si>
  <si>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</si>
  <si>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</si>
  <si>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</si>
  <si>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</si>
  <si>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</si>
  <si>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</si>
  <si>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</si>
  <si>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</si>
  <si>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</si>
  <si>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</si>
  <si>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</si>
  <si>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</si>
  <si>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</si>
  <si>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</si>
  <si>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</si>
  <si>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</si>
  <si>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</si>
  <si>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</si>
  <si>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</si>
  <si>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</si>
  <si>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</si>
  <si>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</si>
  <si>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</si>
  <si>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</si>
  <si>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</si>
  <si>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</si>
  <si>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</si>
  <si>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</si>
  <si>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</si>
  <si>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</si>
  <si>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</si>
  <si>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</si>
  <si>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</si>
  <si>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</si>
  <si>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</si>
  <si>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</si>
  <si>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</si>
  <si>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</si>
  <si>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</si>
  <si>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</si>
  <si>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</si>
  <si>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</si>
  <si>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</si>
  <si>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</si>
  <si>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</si>
  <si>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</si>
  <si>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</si>
  <si>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</si>
  <si>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</si>
  <si>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</si>
  <si>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</si>
  <si>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</si>
  <si>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</si>
  <si>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</si>
  <si>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</si>
  <si>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</si>
  <si>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</si>
  <si>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</si>
  <si>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</si>
  <si>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</si>
  <si>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</si>
  <si>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</si>
  <si>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</si>
  <si>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</si>
  <si>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</si>
  <si>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</si>
  <si>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</si>
  <si>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</si>
  <si>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</si>
  <si>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</si>
  <si>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</si>
  <si>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</si>
  <si>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</si>
  <si>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</si>
  <si>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</si>
  <si>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</si>
  <si>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</si>
  <si>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</si>
  <si>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</si>
  <si>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</si>
  <si>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</si>
  <si>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</si>
  <si>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</si>
  <si>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</si>
  <si>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</si>
  <si>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</si>
  <si>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</si>
  <si>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</si>
  <si>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</si>
  <si>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</si>
  <si>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</si>
  <si>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</si>
  <si>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</si>
  <si>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</si>
  <si>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</si>
  <si>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</si>
  <si>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</si>
  <si>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</si>
  <si>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</si>
  <si>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</si>
  <si>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</si>
  <si>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</si>
  <si>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</si>
  <si>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</si>
  <si>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</si>
  <si>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</si>
  <si>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</si>
  <si>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</si>
  <si>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</si>
  <si>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</si>
  <si>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</si>
  <si>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</si>
  <si>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</si>
  <si>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</si>
  <si>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</si>
  <si>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</si>
  <si>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</si>
  <si>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</si>
  <si>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</si>
  <si>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</si>
  <si>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</si>
  <si>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</si>
  <si>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</si>
  <si>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</si>
  <si>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</si>
  <si>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</si>
  <si>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</si>
  <si>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</si>
  <si>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</si>
  <si>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</si>
  <si>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</si>
  <si>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</si>
  <si>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</si>
  <si>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</si>
  <si>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</si>
  <si>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</si>
  <si>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</si>
  <si>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</si>
  <si>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</si>
  <si>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</si>
  <si>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</si>
  <si>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</si>
  <si>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</si>
  <si>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</si>
  <si>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</si>
  <si>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</si>
  <si>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</si>
  <si>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</si>
  <si>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</si>
  <si>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</si>
  <si>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</si>
  <si>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</si>
  <si>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</si>
  <si>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</si>
  <si>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</si>
  <si>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</si>
  <si>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</si>
  <si>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</si>
  <si>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</si>
  <si>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</si>
  <si>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</si>
  <si>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</si>
  <si>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</si>
  <si>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</si>
  <si>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</si>
  <si>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</si>
  <si>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</si>
  <si>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</si>
  <si>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</si>
  <si>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</si>
  <si>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</si>
  <si>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</si>
  <si>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</si>
  <si>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</si>
  <si>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</si>
  <si>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</si>
  <si>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</si>
  <si>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</si>
  <si>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</si>
  <si>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</si>
  <si>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</si>
  <si>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</si>
  <si>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</si>
  <si>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</si>
  <si>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</si>
  <si>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</si>
  <si>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</si>
  <si>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</si>
  <si>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</si>
  <si>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</si>
  <si>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</si>
  <si>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</si>
  <si>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</si>
  <si>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</si>
  <si>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</si>
  <si>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</si>
  <si>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</si>
  <si>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</si>
  <si>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</si>
  <si>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</si>
  <si>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</si>
  <si>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</si>
  <si>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</si>
  <si>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</si>
  <si>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</si>
  <si>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</si>
  <si>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</si>
  <si>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</si>
  <si>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</si>
  <si>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</si>
  <si>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</si>
  <si>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</si>
  <si>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</si>
  <si>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</si>
  <si>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</si>
  <si>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</si>
  <si>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</si>
  <si>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</si>
  <si>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</si>
  <si>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</si>
  <si>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</si>
  <si>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</si>
  <si>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</si>
  <si>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</si>
  <si>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</si>
  <si>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</si>
  <si>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</si>
  <si>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</si>
  <si>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</si>
  <si>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</si>
  <si>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</si>
  <si>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</si>
  <si>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</si>
  <si>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</si>
  <si>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</si>
  <si>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</si>
  <si>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</si>
  <si>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</si>
  <si>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</si>
  <si>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</si>
  <si>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</si>
  <si>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</si>
  <si>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</si>
  <si>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</si>
  <si>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</si>
  <si>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</si>
  <si>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</si>
  <si>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</si>
  <si>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</si>
  <si>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</si>
  <si>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</si>
  <si>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</si>
  <si>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</si>
  <si>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</si>
  <si>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</si>
  <si>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</si>
  <si>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</si>
  <si>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</si>
  <si>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</si>
  <si>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</si>
  <si>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</si>
  <si>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</si>
  <si>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</si>
  <si>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</si>
  <si>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</si>
  <si>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</si>
  <si>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</si>
  <si>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</si>
  <si>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</si>
  <si>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</si>
  <si>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</si>
  <si>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</si>
  <si>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</si>
  <si>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</si>
  <si>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</si>
  <si>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</si>
  <si>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</si>
  <si>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</si>
  <si>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</si>
  <si>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</si>
  <si>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</si>
  <si>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</si>
  <si>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</si>
  <si>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</si>
  <si>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</si>
  <si>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</si>
  <si>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</si>
  <si>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</si>
  <si>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</si>
  <si>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</si>
  <si>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</si>
  <si>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</si>
  <si>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</si>
  <si>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</si>
  <si>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</si>
  <si>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</si>
  <si>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</si>
  <si>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</si>
  <si>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</si>
  <si>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</si>
  <si>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</si>
  <si>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</si>
  <si>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</si>
  <si>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</si>
  <si>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</si>
  <si>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</si>
  <si>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</si>
  <si>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</si>
  <si>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</si>
  <si>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</si>
  <si>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</si>
  <si>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</si>
  <si>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</si>
  <si>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</si>
  <si>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</si>
  <si>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</si>
  <si>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</si>
  <si>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</si>
  <si>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</si>
  <si>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</si>
  <si>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</si>
  <si>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</si>
  <si>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</si>
  <si>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</si>
  <si>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</si>
  <si>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</si>
  <si>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</si>
  <si>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</si>
  <si>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</si>
  <si>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</si>
  <si>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</si>
  <si>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</si>
  <si>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</si>
  <si>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</si>
  <si>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</si>
  <si>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</si>
  <si>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</si>
  <si>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</si>
  <si>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</si>
  <si>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</si>
  <si>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</si>
  <si>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</si>
  <si>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</si>
  <si>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</si>
  <si>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</si>
  <si>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</si>
  <si>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</si>
  <si>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</si>
  <si>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</si>
  <si>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</si>
  <si>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</si>
  <si>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</si>
  <si>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</si>
  <si>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</si>
  <si>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</si>
  <si>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</si>
  <si>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</si>
  <si>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</si>
  <si>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</si>
  <si>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</si>
  <si>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</si>
  <si>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</si>
  <si>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</si>
  <si>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</si>
  <si>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</si>
  <si>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</si>
  <si>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</si>
  <si>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</si>
  <si>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</si>
  <si>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</si>
  <si>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</si>
  <si>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</si>
  <si>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</si>
  <si>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</si>
  <si>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</si>
  <si>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</si>
  <si>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</si>
  <si>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</si>
  <si>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</si>
  <si>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</si>
  <si>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</si>
  <si>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</si>
  <si>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</si>
  <si>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</si>
  <si>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</si>
  <si>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</si>
  <si>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</si>
  <si>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</si>
  <si>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</si>
  <si>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</si>
  <si>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</si>
  <si>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</si>
  <si>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</si>
  <si>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</si>
  <si>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</si>
  <si>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</si>
  <si>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</si>
  <si>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</si>
  <si>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</si>
  <si>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</si>
  <si>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</si>
  <si>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</si>
  <si>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</si>
  <si>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</si>
  <si>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</si>
  <si>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</si>
  <si>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</si>
  <si>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</si>
  <si>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</si>
  <si>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</si>
  <si>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</si>
  <si>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</si>
  <si>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</si>
  <si>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</si>
  <si>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</si>
  <si>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</si>
  <si>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</si>
  <si>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</si>
  <si>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</si>
  <si>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</si>
  <si>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</si>
  <si>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</si>
  <si>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</si>
  <si>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</si>
  <si>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</si>
  <si>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</si>
  <si>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</si>
  <si>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</si>
  <si>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</si>
  <si>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</si>
  <si>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</si>
  <si>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</si>
  <si>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</si>
  <si>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</si>
  <si>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</si>
  <si>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</si>
  <si>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</si>
  <si>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</si>
  <si>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</si>
  <si>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</si>
  <si>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</si>
  <si>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</si>
  <si>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</si>
  <si>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</si>
  <si>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</si>
  <si>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</si>
  <si>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</si>
  <si>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</si>
  <si>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</si>
  <si>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</si>
  <si>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</si>
  <si>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</si>
  <si>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</si>
  <si>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</si>
  <si>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</si>
  <si>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</si>
  <si>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</si>
  <si>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</si>
  <si>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</si>
  <si>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</si>
  <si>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</si>
  <si>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</si>
  <si>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</si>
  <si>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</si>
  <si>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</si>
  <si>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</si>
  <si>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</si>
  <si>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</si>
  <si>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</si>
  <si>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</si>
  <si>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</si>
  <si>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</si>
  <si>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</si>
  <si>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</si>
  <si>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</si>
  <si>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</si>
  <si>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</si>
  <si>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</si>
  <si>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</si>
  <si>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</si>
  <si>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</si>
  <si>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</si>
  <si>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</si>
  <si>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</si>
  <si>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</si>
  <si>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</si>
  <si>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</si>
  <si>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</si>
  <si>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</si>
  <si>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</si>
  <si>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</si>
  <si>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</si>
  <si>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</si>
  <si>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</si>
  <si>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</si>
  <si>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</si>
  <si>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</si>
  <si>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</si>
  <si>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</si>
  <si>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</si>
  <si>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</si>
  <si>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</si>
  <si>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</si>
  <si>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</si>
  <si>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</si>
  <si>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</si>
  <si>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</si>
  <si>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</si>
  <si>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</si>
  <si>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</si>
  <si>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</si>
  <si>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</si>
  <si>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</si>
  <si>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</si>
  <si>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</si>
  <si>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</si>
  <si>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</si>
  <si>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</si>
  <si>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</si>
  <si>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</si>
  <si>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</si>
  <si>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</si>
  <si>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</si>
  <si>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</si>
  <si>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</si>
  <si>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</si>
  <si>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</si>
  <si>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</si>
  <si>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</si>
  <si>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</si>
  <si>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</si>
  <si>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</si>
  <si>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</si>
  <si>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</si>
  <si>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</si>
  <si>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</si>
  <si>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</si>
  <si>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</si>
  <si>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</si>
  <si>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</si>
  <si>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</si>
  <si>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</si>
  <si>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</si>
  <si>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</si>
  <si>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</si>
  <si>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</si>
  <si>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</si>
  <si>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</si>
  <si>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</si>
  <si>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</si>
  <si>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</si>
  <si>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</si>
  <si>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</si>
  <si>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</si>
  <si>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</si>
  <si>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</si>
  <si>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</si>
  <si>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</si>
  <si>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</si>
  <si>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</si>
  <si>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</si>
  <si>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</si>
  <si>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</si>
  <si>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</si>
  <si>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</si>
  <si>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</si>
  <si>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</si>
  <si>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</si>
  <si>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</si>
  <si>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</si>
  <si>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</si>
  <si>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</si>
  <si>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</si>
  <si>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</si>
  <si>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</si>
  <si>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</si>
  <si>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</si>
  <si>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</si>
  <si>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</si>
  <si>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</si>
  <si>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</si>
  <si>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</si>
  <si>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</si>
  <si>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</si>
  <si>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</si>
  <si>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</si>
  <si>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</si>
  <si>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</si>
  <si>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</si>
  <si>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</si>
  <si>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</si>
  <si>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</si>
  <si>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</si>
  <si>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</si>
  <si>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</si>
  <si>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</si>
  <si>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</si>
  <si>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</si>
  <si>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</si>
  <si>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</si>
  <si>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</si>
  <si>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</si>
  <si>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</si>
  <si>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</si>
  <si>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</si>
  <si>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</si>
  <si>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</si>
  <si>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</si>
  <si>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</si>
  <si>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</si>
  <si>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</si>
  <si>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</si>
  <si>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</si>
  <si>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</si>
  <si>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</si>
  <si>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</si>
  <si>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</si>
  <si>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</si>
  <si>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</si>
  <si>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</si>
  <si>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</si>
  <si>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</si>
  <si>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</si>
  <si>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</si>
  <si>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</si>
  <si>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</si>
  <si>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</si>
  <si>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</si>
  <si>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</si>
  <si>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</si>
  <si>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</si>
  <si>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</si>
  <si>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</si>
  <si>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</si>
  <si>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</si>
  <si>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</si>
  <si>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</si>
  <si>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</si>
  <si>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</si>
  <si>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</si>
  <si>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</si>
  <si>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</si>
  <si>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</si>
  <si>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</si>
  <si>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</si>
  <si>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</si>
  <si>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</si>
  <si>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</si>
  <si>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</si>
  <si>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</si>
  <si>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</si>
  <si>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</si>
  <si>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</si>
  <si>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</si>
  <si>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</si>
  <si>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</si>
  <si>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</si>
  <si>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</si>
  <si>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</si>
  <si>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</si>
  <si>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</si>
  <si>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</si>
  <si>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</si>
  <si>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</si>
  <si>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</si>
  <si>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</si>
  <si>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</si>
  <si>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</si>
  <si>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</si>
  <si>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</si>
  <si>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</si>
  <si>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</si>
  <si>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</si>
  <si>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</si>
  <si>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</si>
  <si>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</si>
  <si>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</si>
  <si>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</si>
  <si>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</si>
  <si>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</si>
  <si>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</si>
  <si>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</si>
  <si>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</si>
  <si>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</si>
  <si>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</si>
  <si>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</si>
  <si>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</si>
  <si>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</si>
  <si>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</si>
  <si>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</si>
  <si>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</si>
  <si>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</si>
  <si>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</si>
  <si>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</si>
  <si>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</si>
  <si>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</si>
  <si>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</si>
  <si>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</si>
  <si>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</si>
  <si>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</si>
  <si>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</si>
  <si>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</si>
  <si>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</si>
  <si>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</si>
  <si>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</si>
  <si>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</si>
  <si>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</si>
  <si>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</si>
  <si>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</si>
  <si>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</si>
  <si>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</si>
  <si>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</si>
  <si>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</si>
  <si>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</si>
  <si>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</si>
  <si>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</si>
  <si>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</si>
  <si>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</si>
  <si>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</si>
  <si>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</si>
  <si>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</si>
  <si>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</si>
  <si>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</si>
  <si>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</si>
  <si>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</si>
  <si>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</si>
  <si>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</si>
  <si>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</si>
  <si>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</si>
  <si>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</si>
  <si>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</si>
  <si>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</si>
  <si>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</si>
  <si>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</si>
  <si>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</si>
  <si>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</si>
  <si>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</si>
  <si>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</si>
  <si>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</si>
  <si>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</si>
  <si>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</si>
  <si>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</si>
  <si>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</si>
  <si>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</si>
  <si>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</si>
  <si>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</si>
  <si>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</si>
  <si>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</si>
  <si>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</si>
  <si>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</si>
  <si>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</si>
  <si>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</si>
  <si>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</si>
  <si>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</si>
  <si>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</si>
  <si>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</si>
  <si>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</si>
  <si>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</si>
  <si>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</si>
  <si>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</si>
  <si>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</si>
  <si>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</si>
  <si>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</si>
  <si>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</si>
  <si>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</si>
  <si>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</si>
  <si>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</si>
  <si>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</si>
  <si>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</si>
  <si>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</si>
  <si>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</si>
  <si>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</si>
  <si>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</si>
  <si>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</si>
  <si>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</si>
  <si>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</si>
  <si>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</si>
  <si>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</si>
  <si>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</si>
  <si>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</si>
  <si>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</si>
  <si>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</si>
  <si>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</si>
  <si>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</si>
  <si>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</si>
  <si>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</si>
  <si>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</si>
  <si>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</si>
  <si>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</si>
  <si>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</si>
  <si>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</si>
  <si>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</si>
  <si>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</si>
  <si>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</si>
  <si>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</si>
  <si>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</si>
  <si>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</si>
  <si>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</si>
  <si>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</si>
  <si>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</si>
  <si>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</si>
  <si>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</si>
  <si>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</si>
  <si>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</si>
  <si>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</si>
  <si>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</si>
  <si>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</si>
  <si>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</si>
  <si>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</si>
  <si>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</si>
  <si>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</si>
  <si>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</si>
  <si>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</si>
  <si>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</si>
  <si>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</si>
  <si>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</si>
  <si>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</si>
  <si>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</si>
  <si>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</si>
  <si>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</si>
  <si>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</si>
  <si>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</si>
  <si>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</si>
  <si>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</si>
  <si>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</si>
  <si>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</si>
  <si>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</si>
  <si>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</si>
  <si>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</si>
  <si>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</si>
  <si>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</si>
  <si>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</si>
  <si>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</si>
  <si>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</si>
  <si>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</si>
  <si>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</si>
  <si>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</si>
  <si>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</si>
  <si>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</si>
  <si>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</si>
  <si>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</si>
  <si>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</si>
  <si>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</si>
  <si>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</si>
  <si>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</si>
  <si>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</si>
  <si>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</si>
  <si>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</si>
  <si>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</si>
  <si>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</si>
  <si>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</si>
  <si>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</si>
  <si>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</si>
  <si>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</si>
  <si>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</si>
  <si>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</si>
  <si>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</si>
  <si>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</si>
  <si>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</si>
  <si>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</si>
  <si>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</si>
  <si>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</si>
  <si>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</si>
  <si>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</si>
  <si>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</si>
  <si>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</si>
  <si>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</si>
  <si>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</si>
  <si>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</si>
  <si>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</si>
  <si>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</si>
  <si>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</si>
  <si>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</si>
  <si>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</si>
  <si>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</si>
  <si>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</si>
  <si>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</si>
  <si>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</si>
  <si>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</si>
  <si>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</si>
  <si>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</si>
  <si>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</si>
  <si>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</si>
  <si>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</si>
  <si>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</si>
  <si>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</si>
  <si>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</si>
  <si>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</si>
  <si>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</si>
  <si>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</si>
  <si>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</si>
  <si>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</si>
  <si>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</si>
  <si>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</si>
  <si>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</si>
  <si>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</si>
  <si>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</si>
  <si>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</si>
  <si>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</si>
  <si>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</si>
  <si>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</si>
  <si>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</si>
  <si>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</si>
  <si>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</si>
  <si>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</si>
  <si>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</si>
  <si>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</si>
  <si>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</si>
  <si>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</si>
  <si>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</si>
  <si>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</si>
  <si>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</si>
  <si>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</si>
  <si>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</si>
  <si>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</si>
  <si>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</si>
  <si>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</si>
  <si>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</si>
  <si>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</si>
  <si>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</si>
  <si>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</si>
  <si>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</si>
  <si>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</si>
  <si>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</si>
  <si>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</si>
  <si>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</si>
  <si>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</si>
  <si>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</si>
  <si>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</si>
  <si>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</si>
  <si>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</si>
  <si>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</si>
  <si>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</si>
  <si>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</si>
  <si>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</si>
  <si>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</si>
  <si>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</si>
  <si>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</si>
  <si>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</si>
  <si>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</si>
  <si>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</si>
  <si>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</si>
  <si>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</si>
  <si>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</si>
  <si>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</si>
  <si>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</si>
  <si>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</si>
  <si>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</si>
  <si>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</si>
  <si>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</si>
  <si>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</si>
  <si>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</si>
  <si>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</si>
  <si>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</si>
  <si>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</si>
  <si>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</si>
  <si>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</si>
  <si>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</si>
  <si>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</si>
  <si>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</si>
  <si>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</si>
  <si>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</si>
  <si>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</si>
  <si>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</si>
  <si>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</si>
  <si>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</si>
  <si>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</si>
  <si>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</si>
  <si>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</si>
  <si>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</si>
  <si>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</si>
  <si>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</si>
  <si>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</si>
  <si>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</si>
  <si>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</si>
  <si>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</si>
  <si>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</si>
  <si>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</si>
  <si>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</si>
  <si>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</si>
  <si>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</si>
  <si>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</si>
  <si>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</si>
  <si>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</si>
  <si>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</si>
  <si>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</si>
  <si>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</si>
  <si>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</si>
  <si>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</si>
  <si>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</si>
  <si>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</si>
  <si>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</si>
  <si>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</si>
  <si>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</si>
  <si>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</si>
  <si>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</si>
  <si>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</si>
  <si>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</si>
  <si>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</si>
  <si>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</si>
  <si>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</si>
  <si>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</si>
  <si>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</si>
  <si>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</si>
  <si>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</si>
  <si>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</si>
  <si>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</si>
  <si>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</si>
  <si>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</si>
  <si>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</si>
  <si>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</si>
  <si>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</si>
  <si>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</si>
  <si>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</si>
  <si>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</si>
  <si>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</si>
  <si>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</si>
  <si>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</si>
  <si>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</si>
  <si>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</si>
  <si>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</si>
  <si>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</si>
  <si>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</si>
  <si>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</si>
  <si>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</si>
  <si>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</si>
  <si>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</si>
  <si>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</si>
  <si>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</si>
  <si>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</si>
  <si>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</si>
  <si>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</si>
  <si>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</si>
  <si>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</si>
  <si>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</si>
  <si>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</si>
  <si>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</si>
  <si>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</si>
  <si>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</si>
  <si>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</si>
  <si>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</si>
  <si>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</si>
  <si>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</si>
  <si>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</si>
  <si>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</si>
  <si>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</si>
  <si>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</si>
  <si>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</si>
  <si>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</si>
  <si>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</si>
  <si>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</si>
  <si>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</si>
  <si>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</si>
  <si>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</si>
  <si>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</si>
  <si>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</si>
  <si>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</si>
  <si>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</si>
  <si>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</si>
  <si>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</si>
  <si>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</si>
  <si>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</si>
  <si>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</si>
  <si>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</si>
  <si>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</si>
  <si>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</si>
  <si>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</si>
  <si>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</si>
  <si>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</si>
  <si>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</si>
  <si>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</si>
  <si>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</si>
  <si>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</si>
  <si>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</si>
  <si>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</si>
  <si>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</si>
  <si>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</si>
  <si>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</si>
  <si>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</si>
  <si>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</si>
  <si>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</si>
  <si>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</si>
  <si>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</si>
  <si>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</si>
  <si>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</si>
  <si>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</si>
  <si>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</si>
  <si>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</si>
  <si>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</si>
  <si>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</si>
  <si>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</si>
  <si>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</si>
  <si>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</si>
  <si>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</si>
  <si>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</si>
  <si>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</si>
  <si>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</si>
  <si>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</si>
  <si>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</si>
  <si>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</si>
  <si>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</si>
  <si>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</si>
  <si>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</si>
  <si>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</si>
  <si>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</si>
  <si>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</si>
  <si>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</si>
  <si>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</si>
  <si>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</si>
  <si>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</si>
  <si>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</si>
  <si>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</si>
  <si>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</si>
  <si>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</si>
  <si>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</si>
  <si>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</si>
  <si>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</si>
  <si>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</si>
  <si>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</si>
  <si>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</si>
  <si>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</si>
  <si>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</si>
  <si>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</si>
  <si>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</si>
  <si>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</si>
  <si>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</si>
  <si>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</si>
  <si>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</si>
  <si>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</si>
  <si>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</si>
  <si>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</si>
  <si>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</si>
  <si>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</si>
  <si>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</si>
  <si>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</si>
  <si>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</si>
  <si>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</si>
  <si>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</si>
  <si>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</si>
  <si>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</si>
  <si>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</si>
  <si>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</si>
  <si>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</si>
  <si>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</si>
  <si>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</si>
  <si>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</si>
  <si>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</si>
  <si>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</si>
  <si>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</si>
  <si>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</si>
  <si>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</si>
  <si>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</si>
  <si>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</si>
  <si>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</si>
  <si>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</si>
  <si>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</si>
  <si>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</si>
  <si>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</si>
  <si>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</si>
  <si>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</si>
  <si>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</si>
  <si>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</si>
  <si>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</si>
  <si>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</si>
  <si>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</si>
  <si>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</si>
  <si>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</si>
  <si>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</si>
  <si>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</si>
  <si>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</si>
  <si>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</si>
  <si>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</si>
  <si>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</si>
  <si>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</si>
  <si>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</si>
  <si>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</si>
  <si>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</si>
  <si>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</si>
  <si>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</si>
  <si>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</si>
  <si>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</si>
  <si>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</si>
  <si>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</si>
  <si>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</si>
  <si>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</si>
  <si>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</si>
  <si>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</si>
  <si>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</si>
  <si>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</si>
  <si>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</si>
  <si>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</si>
  <si>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</si>
  <si>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</si>
  <si>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</si>
  <si>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</si>
  <si>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</si>
  <si>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</si>
  <si>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</si>
  <si>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</si>
  <si>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</si>
  <si>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</si>
  <si>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</si>
  <si>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</si>
  <si>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</si>
  <si>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</si>
  <si>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</si>
  <si>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</si>
  <si>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</si>
  <si>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</si>
  <si>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</si>
  <si>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</si>
  <si>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</si>
  <si>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</si>
  <si>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</si>
  <si>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</si>
  <si>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</si>
  <si>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</si>
  <si>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</si>
  <si>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</si>
  <si>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</si>
  <si>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</si>
  <si>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</si>
  <si>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</si>
  <si>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</si>
  <si>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</si>
  <si>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</si>
  <si>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</si>
  <si>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</si>
  <si>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</si>
  <si>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</si>
  <si>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</si>
  <si>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</si>
  <si>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</si>
  <si>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</si>
  <si>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</si>
  <si>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</si>
  <si>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</si>
  <si>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</si>
  <si>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</si>
  <si>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</si>
  <si>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</si>
  <si>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</si>
  <si>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</si>
  <si>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</si>
  <si>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</si>
  <si>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</si>
  <si>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</si>
  <si>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</si>
  <si>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</si>
  <si>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</si>
  <si>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</si>
  <si>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</si>
  <si>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</si>
  <si>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</si>
  <si>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</si>
  <si>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</si>
  <si>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</si>
  <si>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</si>
  <si>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</si>
  <si>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</si>
  <si>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</si>
  <si>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</si>
  <si>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</si>
  <si>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</si>
  <si>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</si>
  <si>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</si>
  <si>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</si>
  <si>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</si>
  <si>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</si>
  <si>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</si>
  <si>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</si>
  <si>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</si>
  <si>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</si>
  <si>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</si>
  <si>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</si>
  <si>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</si>
  <si>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</si>
  <si>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</si>
  <si>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</si>
  <si>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</si>
  <si>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</si>
  <si>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</si>
  <si>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</si>
  <si>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</si>
  <si>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</si>
  <si>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</si>
  <si>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</si>
  <si>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</si>
  <si>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</si>
  <si>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</si>
  <si>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</si>
  <si>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</si>
  <si>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</si>
  <si>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</si>
  <si>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</si>
  <si>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</si>
  <si>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</si>
  <si>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</si>
  <si>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</si>
  <si>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</si>
  <si>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</si>
  <si>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</si>
  <si>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</si>
  <si>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</si>
  <si>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</si>
  <si>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</si>
  <si>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</si>
  <si>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</si>
  <si>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</si>
  <si>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</si>
  <si>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</si>
  <si>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</si>
  <si>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</si>
  <si>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</si>
  <si>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</si>
  <si>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</si>
  <si>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</si>
  <si>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</si>
  <si>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</si>
  <si>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</si>
  <si>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</si>
  <si>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</si>
  <si>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</si>
  <si>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</si>
  <si>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</si>
  <si>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</si>
  <si>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</si>
  <si>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</si>
  <si>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</si>
  <si>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</si>
  <si>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</si>
  <si>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</si>
  <si>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</si>
  <si>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</si>
  <si>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</si>
  <si>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</si>
  <si>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</si>
  <si>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</si>
  <si>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</si>
  <si>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</si>
  <si>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</si>
  <si>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</si>
  <si>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</si>
  <si>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</si>
  <si>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</si>
  <si>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</si>
  <si>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</si>
  <si>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</si>
  <si>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</si>
  <si>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</si>
  <si>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</si>
  <si>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</si>
  <si>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</si>
  <si>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</si>
  <si>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</si>
  <si>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</si>
  <si>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</si>
  <si>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</si>
  <si>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</si>
  <si>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</si>
  <si>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</si>
  <si>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</si>
  <si>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</si>
  <si>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</si>
  <si>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</si>
  <si>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</si>
  <si>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</si>
  <si>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</si>
  <si>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</si>
  <si>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</si>
  <si>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</si>
  <si>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</si>
  <si>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</si>
  <si>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</si>
  <si>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</si>
  <si>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</si>
  <si>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</si>
  <si>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</si>
  <si>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</si>
  <si>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</si>
  <si>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</si>
  <si>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</si>
  <si>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</si>
  <si>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</si>
  <si>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</si>
  <si>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</si>
  <si>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</si>
  <si>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</si>
  <si>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</si>
  <si>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</si>
  <si>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</si>
  <si>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</si>
  <si>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</si>
  <si>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</si>
  <si>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</si>
  <si>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</si>
  <si>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</si>
  <si>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</si>
  <si>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</si>
  <si>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</si>
  <si>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</si>
  <si>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</si>
  <si>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</si>
  <si>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</si>
  <si>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</si>
  <si>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</si>
  <si>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</si>
  <si>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</si>
  <si>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</si>
  <si>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</si>
  <si>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</si>
  <si>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</si>
  <si>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</si>
  <si>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</si>
  <si>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</si>
  <si>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</si>
  <si>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</si>
  <si>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</si>
  <si>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</si>
  <si>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</si>
  <si>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</si>
  <si>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</si>
  <si>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</si>
  <si>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</si>
  <si>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</si>
  <si>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</si>
  <si>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</si>
  <si>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</si>
  <si>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</si>
  <si>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</si>
  <si>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</si>
  <si>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</si>
  <si>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</si>
  <si>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</si>
  <si>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</si>
  <si>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</si>
  <si>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</si>
  <si>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</si>
  <si>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</si>
  <si>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</si>
  <si>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</si>
  <si>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</si>
  <si>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</si>
  <si>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</si>
  <si>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</si>
  <si>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</si>
  <si>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</si>
  <si>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</si>
  <si>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</si>
  <si>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</si>
  <si>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</si>
  <si>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</si>
  <si>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</si>
  <si>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</si>
  <si>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</si>
  <si>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</si>
  <si>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</si>
  <si>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</si>
  <si>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</si>
  <si>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</si>
  <si>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</si>
  <si>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</si>
  <si>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</si>
  <si>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</si>
  <si>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</si>
  <si>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</si>
  <si>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</si>
  <si>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</si>
  <si>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</si>
  <si>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</si>
  <si>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</si>
  <si>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</si>
  <si>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</si>
  <si>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</si>
  <si>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</si>
  <si>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</si>
  <si>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</si>
  <si>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</si>
  <si>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</si>
  <si>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</si>
  <si>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</si>
  <si>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</si>
  <si>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</si>
  <si>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</si>
  <si>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</si>
  <si>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</si>
  <si>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</si>
  <si>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</si>
  <si>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</si>
  <si>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</si>
  <si>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</si>
  <si>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</si>
  <si>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</si>
  <si>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</si>
  <si>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</si>
  <si>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</si>
  <si>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</si>
  <si>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</si>
  <si>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</si>
  <si>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</si>
  <si>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</si>
  <si>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</si>
  <si>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</si>
  <si>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</si>
  <si>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</si>
  <si>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</si>
  <si>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</si>
  <si>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</si>
  <si>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</si>
  <si>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</si>
  <si>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</si>
  <si>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</si>
  <si>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</si>
  <si>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</si>
  <si>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</si>
  <si>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</si>
  <si>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</si>
  <si>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</si>
  <si>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</si>
  <si>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</si>
  <si>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</si>
  <si>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</si>
  <si>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</si>
  <si>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</si>
  <si>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</si>
  <si>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</si>
  <si>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</si>
  <si>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</si>
  <si>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</si>
  <si>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</si>
  <si>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</si>
  <si>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</si>
  <si>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</si>
  <si>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</si>
  <si>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</si>
  <si>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</si>
  <si>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</si>
  <si>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</si>
  <si>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</si>
  <si>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</si>
  <si>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</si>
  <si>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</si>
  <si>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</si>
  <si>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</si>
  <si>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</si>
  <si>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</si>
  <si>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</si>
  <si>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</si>
  <si>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</si>
  <si>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</si>
  <si>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</si>
  <si>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</si>
  <si>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</si>
  <si>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</si>
  <si>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</si>
  <si>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</si>
  <si>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</si>
  <si>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</si>
  <si>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</si>
  <si>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</si>
  <si>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</si>
  <si>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</si>
  <si>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</si>
  <si>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</si>
  <si>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</si>
  <si>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</si>
  <si>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</si>
  <si>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</si>
  <si>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</si>
  <si>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</si>
  <si>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</si>
  <si>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</si>
  <si>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</si>
  <si>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</si>
  <si>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</si>
  <si>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</si>
  <si>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</si>
  <si>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</si>
  <si>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</si>
  <si>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</si>
  <si>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</si>
  <si>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</si>
  <si>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</si>
  <si>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</si>
  <si>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</si>
  <si>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</si>
  <si>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</si>
  <si>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</si>
  <si>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</si>
  <si>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</si>
  <si>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</si>
  <si>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</si>
  <si>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</si>
  <si>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</si>
  <si>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</si>
  <si>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</si>
  <si>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</si>
  <si>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</si>
  <si>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</si>
  <si>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</si>
  <si>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</si>
  <si>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</si>
  <si>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</si>
  <si>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</si>
  <si>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</si>
  <si>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</si>
  <si>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</si>
  <si>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</si>
  <si>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</si>
  <si>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</si>
  <si>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</si>
  <si>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</si>
  <si>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</si>
  <si>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</si>
  <si>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</si>
  <si>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</si>
  <si>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</si>
  <si>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</si>
  <si>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</si>
  <si>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</si>
  <si>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</si>
  <si>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</si>
  <si>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</si>
  <si>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</si>
  <si>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</si>
  <si>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</si>
  <si>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</si>
  <si>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</si>
  <si>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</si>
  <si>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</si>
  <si>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</si>
  <si>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</si>
  <si>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</si>
  <si>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</si>
  <si>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</si>
  <si>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</si>
  <si>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</si>
  <si>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</si>
  <si>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</si>
  <si>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</si>
  <si>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</si>
  <si>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</si>
  <si>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</si>
  <si>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</si>
  <si>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</si>
  <si>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</si>
  <si>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</si>
  <si>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</si>
  <si>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</si>
  <si>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</si>
  <si>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</si>
  <si>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</si>
  <si>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</si>
  <si>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</si>
  <si>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</si>
  <si>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</si>
  <si>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</si>
  <si>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</si>
  <si>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</si>
  <si>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</si>
  <si>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</si>
  <si>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</si>
  <si>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</si>
  <si>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</si>
  <si>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</si>
  <si>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</si>
  <si>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</si>
  <si>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</si>
  <si>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</si>
  <si>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</si>
  <si>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</si>
  <si>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</si>
  <si>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</si>
  <si>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</si>
  <si>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</si>
  <si>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</si>
  <si>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</si>
  <si>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</si>
  <si>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</si>
  <si>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</si>
  <si>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</si>
  <si>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</si>
  <si>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</si>
  <si>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</si>
  <si>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</si>
  <si>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</si>
  <si>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</si>
  <si>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</si>
  <si>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</si>
  <si>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</si>
  <si>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</si>
  <si>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</si>
  <si>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</si>
  <si>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</si>
  <si>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</si>
  <si>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</si>
  <si>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</si>
  <si>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</si>
  <si>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</si>
  <si>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</si>
  <si>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</si>
  <si>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</si>
  <si>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</si>
  <si>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</si>
  <si>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</si>
  <si>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</si>
  <si>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</si>
  <si>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</si>
  <si>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</si>
  <si>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</si>
  <si>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</si>
  <si>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</si>
  <si>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</si>
  <si>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</si>
  <si>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</si>
  <si>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</si>
  <si>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</si>
  <si>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</si>
  <si>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</si>
  <si>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</si>
  <si>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</si>
  <si>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</si>
  <si>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</si>
  <si>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</si>
  <si>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</si>
  <si>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</si>
  <si>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</si>
  <si>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</si>
  <si>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</si>
  <si>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</si>
  <si>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</si>
  <si>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</si>
  <si>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</si>
  <si>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</si>
  <si>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</si>
  <si>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</si>
  <si>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</si>
  <si>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</si>
  <si>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</si>
  <si>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</si>
  <si>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</si>
  <si>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</si>
  <si>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</si>
  <si>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</si>
  <si>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</si>
  <si>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</si>
  <si>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</si>
  <si>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</si>
  <si>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</si>
  <si>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</si>
  <si>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</si>
  <si>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</si>
  <si>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</si>
  <si>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</si>
  <si>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</si>
  <si>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</si>
  <si>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</si>
  <si>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</si>
  <si>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</si>
  <si>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</si>
  <si>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</si>
  <si>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</si>
  <si>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</si>
  <si>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</si>
  <si>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</si>
  <si>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</si>
  <si>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</si>
  <si>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</si>
  <si>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</si>
  <si>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</si>
  <si>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</si>
  <si>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</si>
  <si>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</si>
  <si>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</si>
  <si>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</si>
  <si>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</si>
  <si>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</si>
  <si>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</si>
  <si>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</si>
  <si>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</si>
  <si>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</si>
  <si>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</si>
  <si>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</si>
  <si>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</si>
  <si>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</si>
  <si>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</si>
  <si>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</si>
  <si>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</si>
  <si>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</si>
  <si>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</si>
  <si>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</si>
  <si>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</si>
  <si>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</si>
  <si>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</si>
  <si>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</si>
  <si>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</si>
  <si>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</si>
  <si>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</si>
  <si>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</si>
  <si>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</si>
  <si>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</si>
  <si>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</si>
  <si>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</si>
  <si>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</si>
  <si>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</si>
  <si>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</si>
  <si>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</si>
  <si>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</si>
  <si>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</si>
  <si>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</si>
  <si>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</si>
  <si>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</si>
  <si>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</si>
  <si>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</si>
  <si>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</si>
  <si>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</si>
  <si>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</si>
  <si>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</si>
  <si>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</si>
  <si>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</si>
  <si>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</si>
  <si>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</si>
  <si>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</si>
  <si>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</si>
  <si>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</si>
  <si>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</si>
  <si>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</si>
  <si>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</si>
  <si>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</si>
  <si>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</si>
  <si>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</si>
  <si>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</si>
  <si>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</si>
  <si>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</si>
  <si>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</si>
  <si>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</si>
  <si>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</si>
  <si>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</si>
  <si>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</si>
  <si>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</si>
  <si>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</si>
  <si>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</si>
  <si>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</si>
  <si>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</si>
  <si>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</si>
  <si>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</si>
  <si>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</si>
  <si>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</si>
  <si>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</si>
  <si>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</si>
  <si>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</si>
  <si>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</si>
  <si>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</si>
  <si>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</si>
  <si>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</si>
  <si>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</si>
  <si>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</si>
  <si>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</si>
  <si>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</si>
  <si>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</si>
  <si>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</si>
  <si>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</si>
  <si>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</si>
  <si>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</si>
  <si>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</si>
  <si>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</si>
  <si>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</si>
  <si>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</si>
  <si>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</si>
  <si>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</si>
  <si>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</si>
  <si>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</si>
  <si>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</si>
  <si>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</si>
  <si>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</si>
  <si>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</si>
  <si>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</si>
  <si>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</si>
  <si>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</si>
  <si>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</si>
  <si>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</si>
  <si>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</si>
  <si>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</si>
  <si>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</si>
  <si>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</si>
  <si>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</si>
  <si>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</si>
  <si>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</si>
  <si>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</si>
  <si>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</si>
  <si>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</si>
  <si>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</si>
  <si>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</si>
  <si>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</si>
  <si>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</si>
  <si>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</si>
  <si>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</si>
  <si>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</si>
  <si>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</si>
  <si>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</si>
  <si>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</si>
  <si>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</si>
  <si>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</si>
  <si>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</si>
  <si>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</si>
  <si>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</si>
  <si>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</si>
  <si>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</si>
  <si>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</si>
  <si>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</si>
  <si>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</si>
  <si>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</si>
  <si>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</si>
  <si>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</si>
  <si>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</si>
  <si>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</si>
  <si>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</si>
  <si>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</si>
  <si>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</si>
  <si>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</si>
  <si>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</si>
  <si>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</si>
  <si>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</si>
  <si>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</si>
  <si>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</si>
  <si>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</si>
  <si>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</si>
  <si>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</si>
  <si>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</si>
  <si>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</si>
  <si>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</si>
  <si>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</si>
  <si>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</si>
  <si>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</si>
  <si>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</si>
  <si>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</si>
  <si>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</si>
  <si>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</si>
  <si>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</si>
  <si>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</si>
  <si>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</si>
  <si>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</si>
  <si>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</si>
  <si>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</si>
  <si>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</si>
  <si>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</si>
  <si>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</si>
  <si>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</si>
  <si>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</si>
  <si>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</si>
  <si>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</si>
  <si>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</si>
  <si>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</si>
  <si>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</si>
  <si>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</si>
  <si>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</si>
  <si>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</si>
  <si>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</si>
  <si>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</si>
  <si>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</si>
  <si>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</si>
  <si>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</si>
  <si>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</si>
  <si>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</si>
  <si>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</si>
  <si>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</si>
  <si>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</si>
  <si>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</si>
  <si>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</si>
  <si>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</si>
  <si>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</si>
  <si>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</si>
  <si>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</si>
  <si>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</si>
  <si>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</si>
  <si>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</si>
  <si>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</si>
  <si>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</si>
  <si>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</si>
  <si>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</si>
  <si>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</si>
  <si>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</si>
  <si>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</si>
  <si>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</si>
  <si>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</si>
  <si>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</si>
  <si>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</si>
  <si>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</si>
  <si>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</si>
  <si>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</si>
  <si>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</si>
  <si>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</si>
  <si>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</si>
  <si>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</si>
  <si>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</si>
  <si>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</si>
  <si>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</si>
  <si>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</si>
  <si>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</si>
  <si>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</si>
  <si>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</si>
  <si>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</si>
  <si>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</si>
  <si>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</si>
  <si>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</si>
  <si>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</si>
  <si>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</si>
  <si>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</si>
  <si>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</si>
  <si>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</si>
  <si>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</si>
  <si>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</si>
  <si>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</si>
  <si>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</si>
  <si>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</si>
  <si>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</si>
  <si>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</si>
  <si>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</si>
  <si>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</si>
  <si>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</si>
  <si>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</si>
  <si>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</si>
  <si>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</si>
  <si>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</si>
  <si>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</si>
  <si>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</si>
  <si>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</si>
  <si>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</si>
  <si>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</si>
  <si>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</si>
  <si>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</si>
  <si>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</si>
  <si>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</si>
  <si>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</si>
  <si>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</si>
  <si>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</si>
  <si>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</si>
  <si>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</si>
  <si>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</si>
  <si>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</si>
  <si>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</si>
  <si>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</si>
  <si>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</si>
  <si>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</si>
  <si>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</si>
  <si>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</si>
  <si>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</si>
  <si>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</si>
  <si>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</si>
  <si>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</si>
  <si>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</si>
  <si>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</si>
  <si>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</si>
  <si>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</si>
  <si>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</si>
  <si>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</si>
  <si>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</si>
  <si>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</si>
  <si>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</si>
  <si>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</si>
  <si>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</si>
  <si>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</si>
  <si>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</si>
  <si>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</si>
  <si>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</si>
  <si>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</si>
  <si>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</si>
  <si>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</si>
  <si>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</si>
  <si>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</si>
  <si>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</si>
  <si>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</si>
  <si>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</si>
  <si>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</si>
  <si>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</si>
  <si>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</si>
  <si>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</si>
  <si>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</si>
  <si>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</si>
  <si>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</si>
  <si>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</si>
  <si>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</si>
  <si>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</si>
  <si>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</si>
  <si>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</si>
  <si>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</si>
  <si>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</si>
  <si>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</si>
  <si>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</si>
  <si>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</si>
  <si>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</si>
  <si>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</si>
  <si>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</si>
  <si>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</si>
  <si>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</si>
  <si>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</si>
  <si>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</si>
  <si>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</si>
  <si>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</si>
  <si>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</si>
  <si>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</si>
  <si>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</si>
  <si>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</si>
  <si>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</si>
  <si>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</si>
  <si>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</si>
  <si>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</si>
  <si>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</si>
  <si>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</si>
  <si>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</si>
  <si>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</si>
  <si>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</si>
  <si>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</si>
  <si>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</si>
  <si>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</si>
  <si>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</si>
  <si>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</si>
  <si>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</si>
  <si>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</si>
  <si>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</si>
  <si>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</si>
  <si>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</si>
  <si>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</si>
  <si>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</si>
  <si>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</si>
  <si>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</si>
  <si>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</si>
  <si>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</si>
  <si>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</si>
  <si>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</si>
  <si>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</si>
  <si>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</si>
  <si>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</si>
  <si>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</si>
  <si>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</si>
  <si>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</si>
  <si>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</si>
  <si>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</si>
  <si>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</si>
  <si>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</si>
  <si>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</si>
  <si>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</si>
  <si>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</si>
  <si>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</si>
  <si>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</si>
  <si>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</si>
  <si>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</si>
  <si>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</si>
  <si>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</si>
  <si>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</si>
  <si>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</si>
  <si>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</si>
  <si>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</si>
  <si>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</si>
  <si>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</si>
  <si>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</si>
  <si>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</si>
  <si>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</si>
  <si>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</si>
  <si>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</si>
  <si>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</si>
  <si>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</si>
  <si>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</si>
  <si>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</si>
  <si>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</si>
  <si>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</si>
  <si>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</si>
  <si>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</si>
  <si>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</si>
  <si>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</si>
  <si>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</si>
  <si>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</si>
  <si>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</si>
  <si>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</si>
  <si>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</si>
  <si>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</si>
  <si>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</si>
  <si>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</si>
  <si>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</si>
  <si>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</si>
  <si>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</si>
  <si>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</si>
  <si>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</si>
  <si>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</si>
  <si>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</si>
  <si>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</si>
  <si>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</si>
  <si>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</si>
  <si>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</si>
  <si>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</si>
  <si>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</si>
  <si>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</si>
  <si>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</si>
  <si>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</si>
  <si>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</si>
  <si>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</si>
  <si>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</si>
  <si>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</si>
  <si>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</si>
  <si>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</si>
  <si>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</si>
  <si>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</si>
  <si>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</si>
  <si>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</si>
  <si>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</si>
  <si>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</si>
  <si>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</si>
  <si>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</si>
  <si>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</si>
  <si>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</si>
  <si>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</si>
  <si>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</si>
  <si>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</si>
  <si>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</si>
  <si>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</si>
  <si>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</si>
  <si>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</si>
  <si>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</si>
  <si>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</si>
  <si>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</si>
  <si>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</si>
  <si>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</si>
  <si>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</si>
  <si>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</si>
  <si>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</si>
  <si>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</si>
  <si>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</si>
  <si>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</si>
  <si>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</si>
  <si>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</si>
  <si>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</si>
  <si>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</si>
  <si>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</si>
  <si>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</si>
  <si>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</si>
  <si>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</si>
  <si>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</si>
  <si>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</si>
  <si>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</si>
  <si>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</si>
  <si>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</si>
  <si>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</si>
  <si>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</si>
  <si>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</si>
  <si>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</si>
  <si>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</si>
  <si>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</si>
  <si>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</si>
  <si>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</si>
  <si>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</si>
  <si>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</si>
  <si>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</si>
  <si>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</si>
  <si>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</si>
  <si>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</si>
  <si>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</si>
  <si>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</si>
  <si>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</si>
  <si>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</si>
  <si>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</si>
  <si>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</si>
  <si>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</si>
  <si>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</si>
  <si>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</si>
  <si>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</si>
  <si>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</si>
  <si>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</si>
  <si>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</si>
  <si>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</si>
  <si>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</si>
  <si>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</si>
  <si>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</si>
  <si>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</si>
  <si>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</si>
  <si>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</si>
  <si>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</si>
  <si>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</si>
  <si>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</si>
  <si>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</si>
  <si>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</si>
  <si>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</si>
  <si>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</si>
  <si>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</si>
  <si>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</si>
  <si>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</si>
  <si>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</si>
  <si>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</si>
  <si>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</si>
  <si>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</si>
  <si>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</si>
  <si>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</si>
  <si>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</si>
  <si>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</si>
  <si>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</si>
  <si>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</si>
  <si>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</si>
  <si>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</si>
  <si>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</si>
  <si>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</si>
  <si>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</si>
  <si>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</si>
  <si>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</si>
  <si>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</si>
  <si>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</si>
  <si>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</si>
  <si>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</si>
  <si>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</si>
  <si>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</si>
  <si>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</si>
  <si>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</si>
  <si>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</si>
  <si>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</si>
  <si>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</si>
  <si>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</si>
  <si>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</si>
  <si>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</si>
  <si>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</si>
  <si>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</si>
  <si>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</si>
  <si>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</si>
  <si>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</si>
  <si>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</si>
  <si>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</si>
  <si>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</si>
  <si>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</si>
  <si>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</si>
  <si>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</si>
  <si>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</si>
  <si>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</si>
  <si>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</si>
  <si>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</si>
  <si>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</si>
  <si>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</si>
  <si>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</si>
  <si>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</si>
  <si>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</si>
  <si>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</si>
  <si>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</si>
  <si>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</si>
  <si>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</si>
  <si>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</si>
  <si>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</si>
  <si>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</si>
  <si>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</si>
  <si>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</si>
  <si>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</si>
  <si>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</si>
  <si>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</si>
  <si>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</si>
  <si>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</si>
  <si>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</si>
  <si>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</si>
  <si>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</si>
  <si>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</si>
  <si>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</si>
  <si>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</si>
  <si>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</si>
  <si>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</si>
  <si>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</si>
  <si>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</si>
  <si>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</si>
  <si>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</si>
  <si>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</si>
  <si>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</si>
  <si>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</si>
  <si>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</si>
  <si>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</si>
  <si>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</si>
  <si>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</si>
  <si>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</si>
  <si>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</si>
  <si>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</si>
  <si>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</si>
  <si>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</si>
  <si>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</si>
  <si>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</si>
  <si>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</si>
  <si>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</si>
  <si>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</si>
  <si>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</si>
  <si>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</si>
  <si>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</si>
  <si>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</si>
  <si>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</si>
  <si>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</si>
  <si>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</si>
  <si>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</si>
  <si>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</si>
  <si>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</si>
  <si>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</si>
  <si>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</si>
  <si>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</si>
  <si>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</si>
  <si>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</si>
  <si>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</si>
  <si>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</si>
  <si>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</si>
  <si>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</si>
  <si>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</si>
  <si>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</si>
  <si>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</si>
  <si>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</si>
  <si>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</si>
  <si>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</si>
  <si>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</si>
  <si>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</si>
  <si>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</si>
  <si>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</si>
  <si>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</si>
  <si>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</si>
  <si>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</si>
  <si>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</si>
  <si>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</si>
  <si>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</si>
  <si>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</si>
  <si>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</si>
  <si>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</si>
  <si>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</si>
  <si>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</si>
  <si>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</si>
  <si>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</si>
  <si>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</si>
  <si>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</si>
  <si>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</si>
  <si>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</si>
  <si>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</si>
  <si>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</si>
  <si>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</si>
  <si>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</si>
  <si>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</si>
  <si>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</si>
  <si>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</si>
  <si>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</si>
  <si>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</si>
  <si>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</si>
  <si>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</si>
  <si>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</si>
  <si>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</si>
  <si>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</si>
  <si>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</si>
  <si>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</si>
  <si>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</si>
  <si>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</si>
  <si>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</si>
  <si>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</si>
  <si>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</si>
  <si>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</si>
  <si>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</si>
  <si>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</si>
  <si>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</si>
  <si>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</si>
  <si>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</si>
  <si>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</si>
  <si>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</si>
  <si>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</si>
  <si>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</si>
  <si>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</si>
  <si>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</si>
  <si>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</si>
  <si>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</si>
  <si>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</si>
  <si>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</si>
  <si>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</si>
  <si>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</si>
  <si>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</si>
  <si>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</si>
  <si>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</si>
  <si>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</si>
  <si>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</si>
  <si>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</si>
  <si>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</si>
  <si>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</si>
  <si>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</si>
  <si>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</si>
  <si>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</si>
  <si>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</si>
  <si>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</si>
  <si>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</si>
  <si>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</si>
  <si>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</si>
  <si>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</si>
  <si>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</si>
  <si>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</si>
  <si>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</si>
  <si>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</si>
  <si>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</si>
  <si>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</si>
  <si>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</si>
  <si>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</si>
  <si>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</si>
  <si>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</si>
  <si>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</si>
  <si>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</si>
  <si>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</si>
  <si>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</si>
  <si>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</si>
  <si>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</si>
  <si>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</si>
  <si>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</si>
  <si>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</si>
  <si>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</si>
  <si>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</si>
  <si>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</si>
  <si>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</si>
  <si>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</si>
  <si>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</si>
  <si>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</si>
  <si>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</si>
  <si>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</si>
  <si>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</si>
  <si>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</si>
  <si>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</si>
  <si>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</si>
  <si>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</si>
  <si>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</si>
  <si>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</si>
  <si>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</si>
  <si>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</si>
  <si>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</si>
  <si>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</si>
  <si>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</si>
  <si>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</si>
  <si>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</si>
  <si>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</si>
  <si>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</si>
  <si>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</si>
  <si>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</si>
  <si>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</si>
  <si>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</si>
  <si>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</si>
  <si>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</si>
  <si>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</si>
  <si>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</si>
  <si>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</si>
  <si>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</si>
  <si>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</si>
  <si>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</si>
  <si>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</si>
  <si>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</si>
  <si>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</si>
  <si>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</si>
  <si>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</si>
  <si>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</si>
  <si>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</si>
  <si>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</si>
  <si>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</si>
  <si>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</si>
  <si>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</si>
  <si>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</si>
  <si>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</si>
  <si>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</si>
  <si>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</si>
  <si>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</si>
  <si>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</si>
  <si>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</si>
  <si>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</si>
  <si>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</si>
  <si>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</si>
  <si>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</si>
  <si>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</si>
  <si>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</si>
  <si>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</si>
  <si>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</si>
  <si>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</si>
  <si>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</si>
  <si>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</si>
  <si>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</si>
  <si>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</si>
  <si>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</si>
  <si>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</si>
  <si>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</si>
  <si>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</si>
  <si>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</si>
  <si>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</si>
  <si>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</si>
  <si>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</si>
  <si>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</si>
  <si>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</si>
  <si>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</si>
  <si>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</si>
  <si>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</si>
  <si>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</si>
  <si>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</si>
  <si>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</si>
  <si>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</si>
  <si>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</si>
  <si>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</si>
  <si>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</si>
  <si>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</si>
  <si>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</si>
  <si>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</si>
  <si>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</si>
  <si>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</si>
  <si>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</si>
  <si>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</si>
  <si>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</si>
  <si>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</si>
  <si>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</si>
  <si>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</si>
  <si>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</si>
  <si>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</si>
  <si>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</si>
  <si>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</si>
  <si>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</si>
  <si>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</si>
  <si>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</si>
  <si>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</si>
  <si>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</si>
  <si>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</si>
  <si>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</si>
  <si>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</si>
  <si>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</si>
  <si>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</si>
  <si>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</si>
  <si>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</si>
  <si>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</si>
  <si>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</si>
  <si>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</si>
  <si>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</si>
  <si>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</si>
  <si>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</si>
  <si>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</si>
  <si>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</si>
  <si>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</si>
  <si>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</si>
  <si>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</si>
  <si>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</si>
  <si>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</si>
  <si>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</si>
  <si>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</si>
  <si>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</si>
  <si>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</si>
  <si>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</si>
  <si>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</si>
  <si>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</si>
  <si>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</si>
  <si>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</si>
  <si>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</si>
  <si>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</si>
  <si>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</si>
  <si>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</si>
  <si>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</si>
  <si>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</si>
  <si>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</si>
  <si>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</si>
  <si>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</si>
  <si>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</si>
  <si>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</si>
  <si>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</si>
  <si>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</si>
  <si>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</si>
  <si>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</si>
  <si>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</si>
  <si>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</si>
  <si>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</si>
  <si>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</si>
  <si>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</si>
  <si>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</si>
  <si>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</si>
  <si>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</si>
  <si>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</si>
  <si>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</si>
  <si>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</si>
  <si>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</si>
  <si>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</si>
  <si>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</si>
  <si>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</si>
  <si>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</si>
  <si>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</si>
  <si>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</si>
  <si>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</si>
  <si>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</si>
  <si>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</si>
  <si>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</si>
  <si>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</si>
  <si>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</si>
  <si>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</si>
  <si>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</si>
  <si>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</si>
  <si>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</si>
  <si>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</si>
  <si>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</si>
  <si>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</si>
  <si>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</si>
  <si>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</si>
  <si>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</si>
  <si>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</si>
  <si>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</si>
  <si>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</si>
  <si>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</si>
  <si>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</si>
  <si>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</si>
  <si>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</si>
  <si>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</si>
  <si>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</si>
  <si>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</si>
  <si>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</si>
  <si>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</si>
  <si>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</si>
  <si>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</si>
  <si>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</si>
  <si>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</si>
  <si>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</si>
  <si>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</si>
  <si>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</si>
  <si>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</si>
  <si>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</si>
  <si>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</si>
  <si>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</si>
  <si>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</si>
  <si>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</si>
  <si>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</si>
  <si>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</si>
  <si>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</si>
  <si>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</si>
  <si>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</si>
  <si>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</si>
  <si>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</si>
  <si>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</si>
  <si>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</si>
  <si>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</si>
  <si>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</si>
  <si>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</si>
  <si>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</si>
  <si>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</si>
  <si>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</si>
  <si>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</si>
  <si>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</si>
  <si>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</si>
  <si>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</si>
  <si>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</si>
  <si>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</si>
  <si>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</si>
  <si>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</si>
  <si>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</si>
  <si>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</si>
  <si>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</si>
  <si>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</si>
  <si>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</si>
  <si>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</si>
  <si>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</si>
  <si>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</si>
  <si>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</si>
  <si>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</si>
  <si>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</si>
  <si>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</si>
  <si>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</si>
  <si>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</si>
  <si>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</si>
  <si>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</si>
  <si>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</si>
  <si>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</si>
  <si>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</si>
  <si>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</si>
  <si>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</si>
  <si>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</si>
  <si>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</si>
  <si>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</si>
  <si>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</si>
  <si>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</si>
  <si>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</si>
  <si>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</si>
  <si>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</si>
  <si>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</si>
  <si>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</si>
  <si>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</si>
  <si>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</si>
  <si>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</si>
  <si>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</si>
  <si>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</si>
  <si>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</si>
  <si>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</si>
  <si>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</si>
  <si>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</si>
  <si>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</si>
  <si>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</si>
  <si>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</si>
  <si>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</si>
  <si>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</si>
  <si>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</si>
  <si>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</si>
  <si>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</si>
  <si>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</si>
  <si>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</si>
  <si>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</si>
  <si>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</si>
  <si>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</si>
  <si>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</si>
  <si>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</si>
  <si>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</si>
  <si>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</si>
  <si>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</si>
  <si>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</si>
  <si>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</si>
  <si>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</si>
  <si>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</si>
  <si>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</si>
  <si>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</si>
  <si>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</si>
  <si>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</si>
  <si>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</si>
  <si>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</si>
  <si>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</si>
  <si>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</si>
  <si>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</si>
  <si>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</si>
  <si>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</si>
  <si>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</si>
  <si>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</si>
  <si>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</si>
  <si>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</si>
  <si>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</si>
  <si>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</si>
  <si>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</si>
  <si>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</si>
  <si>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</si>
  <si>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</si>
  <si>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</si>
  <si>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</si>
  <si>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</si>
  <si>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</si>
  <si>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</si>
  <si>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</si>
  <si>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</si>
  <si>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</si>
  <si>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</si>
  <si>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</si>
  <si>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</si>
  <si>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</si>
  <si>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</si>
  <si>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</si>
  <si>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</si>
  <si>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</si>
  <si>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</si>
  <si>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</si>
  <si>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</si>
  <si>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</si>
  <si>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</si>
  <si>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</si>
  <si>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</si>
  <si>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</si>
  <si>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</si>
  <si>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</si>
  <si>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</si>
  <si>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</si>
  <si>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</si>
  <si>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</si>
  <si>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</si>
  <si>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</si>
  <si>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</si>
  <si>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</si>
  <si>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</si>
  <si>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</si>
  <si>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</si>
  <si>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</si>
  <si>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</si>
  <si>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</si>
  <si>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</si>
  <si>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</si>
  <si>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</si>
  <si>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</si>
  <si>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</si>
  <si>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</si>
  <si>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</si>
  <si>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</si>
  <si>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</si>
  <si>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</si>
  <si>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</si>
  <si>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</si>
  <si>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</si>
  <si>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</si>
  <si>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</si>
  <si>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</si>
  <si>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</si>
  <si>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</si>
  <si>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</si>
  <si>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</si>
  <si>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</si>
  <si>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</si>
  <si>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</si>
  <si>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</si>
  <si>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</si>
  <si>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</si>
  <si>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</si>
  <si>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</si>
  <si>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</si>
  <si>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</si>
  <si>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</si>
  <si>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</si>
  <si>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</si>
  <si>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</si>
  <si>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</si>
  <si>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</si>
  <si>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</si>
  <si>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</si>
  <si>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</si>
  <si>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</si>
  <si>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</si>
  <si>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</si>
  <si>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</si>
  <si>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</si>
  <si>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</si>
  <si>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</si>
  <si>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</si>
  <si>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</si>
  <si>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</si>
  <si>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</si>
  <si>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</si>
  <si>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</si>
  <si>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</si>
  <si>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</si>
  <si>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</si>
  <si>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</si>
  <si>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</si>
  <si>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</si>
  <si>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</si>
  <si>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</si>
  <si>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</si>
  <si>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</si>
  <si>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</si>
  <si>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</si>
  <si>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</si>
  <si>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</si>
  <si>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</si>
  <si>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</si>
  <si>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</si>
  <si>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</si>
  <si>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</si>
  <si>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</si>
  <si>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</si>
  <si>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</si>
  <si>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</si>
  <si>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</si>
  <si>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</si>
  <si>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</si>
  <si>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</si>
  <si>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</si>
  <si>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</si>
  <si>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</si>
  <si>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</si>
  <si>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</si>
  <si>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</si>
  <si>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</si>
  <si>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</si>
  <si>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</si>
  <si>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</si>
  <si>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</si>
  <si>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</si>
  <si>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</si>
  <si>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</si>
  <si>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</si>
  <si>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</si>
  <si>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</si>
  <si>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</si>
  <si>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</si>
  <si>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</si>
  <si>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</si>
  <si>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</si>
  <si>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</si>
  <si>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</si>
  <si>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</si>
  <si>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</si>
  <si>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</si>
  <si>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</si>
  <si>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</si>
  <si>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</si>
  <si>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</si>
  <si>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</si>
  <si>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</si>
  <si>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</si>
  <si>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</si>
  <si>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</si>
  <si>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</si>
  <si>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</si>
  <si>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</si>
  <si>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</si>
  <si>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</si>
  <si>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</si>
  <si>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</si>
  <si>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</si>
  <si>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</si>
  <si>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</si>
  <si>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</si>
  <si>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</si>
  <si>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</si>
  <si>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</si>
  <si>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</si>
  <si>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</si>
  <si>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</si>
  <si>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</si>
  <si>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</si>
  <si>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</si>
  <si>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</si>
  <si>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</si>
  <si>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</si>
  <si>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</si>
  <si>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</si>
  <si>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</si>
  <si>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</si>
  <si>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</si>
  <si>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</si>
  <si>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</si>
  <si>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</si>
  <si>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</si>
  <si>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</si>
  <si>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</si>
  <si>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</si>
  <si>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</si>
  <si>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</si>
  <si>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</si>
  <si>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</si>
  <si>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</si>
  <si>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</si>
  <si>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</si>
  <si>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</si>
  <si>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</si>
  <si>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</si>
  <si>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</si>
  <si>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</si>
  <si>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</si>
  <si>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</si>
  <si>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</si>
  <si>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</si>
  <si>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</si>
  <si>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</si>
  <si>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</si>
  <si>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</si>
  <si>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</si>
  <si>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</si>
  <si>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</si>
  <si>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</si>
  <si>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</si>
  <si>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</si>
  <si>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</si>
  <si>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</si>
  <si>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</si>
  <si>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</si>
  <si>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</si>
  <si>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</si>
  <si>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</si>
  <si>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</si>
  <si>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</si>
  <si>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</si>
  <si>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</si>
  <si>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</si>
  <si>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</si>
  <si>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</si>
  <si>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</si>
  <si>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</si>
  <si>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</si>
  <si>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</si>
  <si>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</si>
  <si>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</si>
  <si>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</si>
  <si>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</si>
  <si>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</si>
  <si>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</si>
  <si>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</si>
  <si>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</si>
  <si>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</si>
  <si>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</si>
  <si>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</si>
  <si>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</si>
  <si>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</si>
  <si>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</si>
  <si>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</si>
  <si>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</si>
  <si>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</si>
  <si>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</si>
  <si>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</si>
  <si>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</si>
  <si>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</si>
  <si>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</si>
  <si>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</si>
  <si>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</si>
  <si>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</si>
  <si>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</si>
  <si>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</si>
  <si>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</si>
  <si>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</si>
  <si>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</si>
  <si>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</si>
  <si>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</si>
  <si>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</si>
  <si>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</si>
  <si>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</si>
  <si>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</si>
  <si>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</si>
  <si>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</si>
  <si>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</si>
  <si>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</si>
  <si>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</si>
  <si>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</si>
  <si>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</si>
  <si>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</si>
  <si>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</si>
  <si>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</si>
  <si>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</si>
  <si>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</si>
  <si>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</si>
  <si>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</si>
  <si>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</si>
  <si>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</si>
  <si>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</si>
  <si>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</si>
  <si>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</si>
  <si>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</si>
  <si>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</si>
  <si>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</si>
  <si>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</si>
  <si>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</si>
  <si>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</si>
  <si>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</si>
  <si>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</si>
  <si>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</si>
  <si>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</si>
  <si>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</si>
  <si>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</si>
  <si>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</si>
  <si>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</si>
  <si>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</si>
  <si>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</si>
  <si>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</si>
  <si>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</si>
  <si>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</si>
  <si>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</si>
  <si>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</si>
  <si>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</si>
  <si>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</si>
  <si>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</si>
  <si>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</si>
  <si>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</si>
  <si>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</si>
  <si>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</si>
  <si>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</si>
  <si>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</si>
  <si>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</si>
  <si>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</si>
  <si>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</si>
  <si>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</si>
  <si>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</si>
  <si>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</si>
  <si>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</si>
  <si>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</si>
  <si>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</si>
  <si>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</si>
  <si>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</si>
  <si>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</si>
  <si>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</si>
  <si>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</si>
  <si>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</si>
  <si>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</si>
  <si>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</si>
  <si>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</si>
  <si>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</si>
  <si>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</si>
  <si>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</si>
  <si>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</si>
  <si>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</si>
  <si>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</si>
  <si>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</si>
  <si>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</si>
  <si>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</si>
  <si>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</si>
  <si>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</si>
  <si>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</si>
  <si>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</si>
  <si>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</si>
  <si>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</si>
  <si>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</si>
  <si>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</si>
  <si>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</si>
  <si>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</si>
  <si>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</si>
  <si>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</si>
  <si>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</si>
  <si>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</si>
  <si>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</si>
  <si>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</si>
  <si>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</si>
  <si>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</si>
  <si>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</si>
  <si>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</si>
  <si>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</si>
  <si>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</si>
  <si>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</si>
  <si>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</si>
  <si>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</si>
  <si>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</si>
  <si>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</si>
  <si>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</si>
  <si>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</si>
  <si>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</si>
  <si>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</si>
  <si>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</si>
  <si>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</si>
  <si>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</si>
  <si>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</si>
  <si>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</si>
  <si>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</si>
  <si>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</si>
  <si>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</si>
  <si>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</si>
  <si>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</si>
  <si>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</si>
  <si>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</si>
  <si>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</si>
  <si>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</si>
  <si>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</si>
  <si>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</si>
  <si>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</si>
  <si>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</si>
  <si>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</si>
  <si>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</si>
  <si>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</si>
  <si>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</si>
  <si>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</si>
  <si>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</si>
  <si>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</si>
  <si>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</si>
  <si>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</si>
  <si>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</si>
  <si>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</si>
  <si>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</si>
  <si>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</si>
  <si>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</si>
  <si>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</si>
  <si>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</si>
  <si>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</si>
  <si>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</si>
  <si>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</si>
  <si>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</si>
  <si>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</si>
  <si>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</si>
  <si>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</si>
  <si>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</si>
  <si>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</si>
  <si>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</si>
  <si>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</si>
  <si>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</si>
  <si>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</si>
  <si>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</si>
  <si>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</si>
  <si>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</si>
  <si>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</si>
  <si>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</si>
  <si>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</si>
  <si>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</si>
  <si>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</si>
  <si>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</si>
  <si>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</si>
  <si>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</si>
  <si>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</si>
  <si>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</si>
  <si>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</si>
  <si>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</si>
  <si>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</si>
  <si>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</si>
  <si>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</si>
  <si>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</si>
  <si>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</si>
  <si>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</si>
  <si>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</si>
  <si>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</si>
  <si>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</si>
  <si>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</si>
  <si>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</si>
  <si>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</si>
  <si>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</si>
  <si>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</si>
  <si>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</si>
  <si>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</si>
  <si>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</si>
  <si>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</si>
  <si>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</si>
  <si>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</si>
  <si>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</si>
  <si>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</si>
  <si>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</si>
  <si>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</si>
  <si>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</si>
  <si>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</si>
  <si>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</si>
  <si>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</si>
  <si>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</si>
  <si>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</si>
  <si>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</si>
  <si>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</si>
  <si>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</si>
  <si>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</si>
  <si>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</si>
  <si>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</si>
  <si>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</si>
  <si>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</si>
  <si>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</si>
  <si>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</si>
  <si>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</si>
  <si>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</si>
  <si>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</si>
  <si>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</si>
  <si>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</si>
  <si>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</si>
  <si>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</si>
  <si>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</si>
  <si>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</si>
  <si>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</si>
  <si>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</si>
  <si>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</si>
  <si>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</si>
  <si>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</si>
  <si>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</si>
  <si>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</si>
  <si>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</si>
  <si>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</si>
  <si>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</si>
  <si>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</si>
  <si>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</si>
  <si>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</si>
  <si>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</si>
  <si>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</si>
  <si>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</si>
  <si>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</si>
  <si>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</si>
  <si>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</si>
  <si>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</si>
  <si>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</si>
  <si>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</si>
  <si>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</si>
  <si>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</si>
  <si>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</si>
  <si>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</si>
  <si>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</si>
  <si>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</si>
  <si>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</si>
  <si>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</si>
  <si>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</si>
  <si>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</si>
  <si>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</si>
  <si>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</si>
  <si>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</si>
  <si>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</si>
  <si>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</si>
  <si>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</si>
  <si>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</si>
  <si>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</si>
  <si>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</si>
  <si>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</si>
  <si>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</si>
  <si>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</si>
  <si>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</si>
  <si>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</si>
  <si>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</si>
  <si>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</si>
  <si>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</si>
  <si>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</si>
  <si>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</si>
  <si>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</si>
  <si>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</si>
  <si>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</si>
  <si>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</si>
  <si>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</si>
  <si>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</si>
  <si>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</si>
  <si>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</si>
  <si>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</si>
  <si>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</si>
  <si>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</si>
  <si>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</si>
  <si>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</si>
  <si>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</si>
  <si>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</si>
  <si>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</si>
  <si>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</si>
  <si>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</si>
  <si>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</si>
  <si>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</si>
  <si>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</si>
  <si>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</si>
  <si>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</si>
  <si>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</si>
  <si>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</si>
  <si>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</si>
  <si>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</si>
  <si>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</si>
  <si>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</si>
  <si>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</si>
  <si>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</si>
  <si>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</si>
  <si>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</si>
  <si>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</si>
  <si>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</si>
  <si>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</si>
  <si>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</si>
  <si>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</si>
  <si>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</si>
  <si>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</si>
  <si>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</si>
  <si>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</si>
  <si>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</si>
  <si>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</si>
  <si>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</si>
  <si>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</si>
  <si>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</si>
  <si>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</si>
  <si>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</si>
  <si>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</si>
  <si>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</si>
  <si>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</si>
  <si>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</si>
  <si>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</si>
  <si>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</si>
  <si>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</si>
  <si>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</si>
  <si>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</si>
  <si>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</si>
  <si>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</si>
  <si>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</si>
  <si>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</si>
  <si>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</si>
  <si>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</si>
  <si>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</si>
  <si>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</si>
  <si>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</si>
  <si>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</si>
  <si>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</si>
  <si>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</si>
  <si>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</si>
  <si>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</si>
  <si>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</si>
  <si>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</si>
  <si>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</si>
  <si>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</si>
  <si>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</si>
  <si>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</si>
  <si>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</si>
  <si>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</si>
  <si>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</si>
  <si>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</si>
  <si>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</si>
  <si>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</si>
  <si>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</si>
  <si>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</si>
  <si>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</si>
  <si>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</si>
  <si>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</si>
  <si>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</si>
  <si>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</si>
  <si>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</si>
  <si>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</si>
  <si>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</si>
  <si>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</si>
  <si>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</si>
  <si>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</si>
  <si>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</si>
  <si>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</si>
  <si>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</si>
  <si>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</si>
  <si>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</si>
  <si>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</si>
  <si>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</si>
  <si>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</si>
  <si>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</si>
  <si>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</si>
  <si>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</si>
  <si>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</si>
  <si>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</si>
  <si>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</si>
  <si>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</si>
  <si>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</si>
  <si>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</si>
  <si>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</si>
  <si>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</si>
  <si>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</si>
  <si>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</si>
  <si>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</si>
  <si>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</si>
  <si>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</si>
  <si>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</si>
  <si>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</si>
  <si>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</si>
  <si>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</si>
  <si>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</si>
  <si>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</si>
  <si>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</si>
  <si>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</si>
  <si>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</si>
  <si>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</si>
  <si>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</si>
  <si>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</si>
  <si>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</si>
  <si>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</si>
  <si>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</si>
  <si>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</si>
  <si>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</si>
  <si>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</si>
  <si>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</si>
  <si>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</si>
  <si>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</si>
  <si>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</si>
  <si>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</si>
  <si>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</si>
  <si>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</si>
  <si>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</si>
  <si>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</si>
  <si>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</si>
  <si>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</si>
  <si>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</si>
  <si>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</si>
  <si>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</si>
  <si>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</si>
  <si>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</si>
  <si>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</si>
  <si>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</si>
  <si>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</si>
  <si>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</si>
  <si>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</si>
  <si>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</si>
  <si>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</si>
  <si>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</si>
  <si>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</si>
  <si>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</si>
  <si>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</si>
  <si>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</si>
  <si>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</si>
  <si>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</si>
  <si>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</si>
  <si>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</si>
  <si>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</si>
  <si>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</si>
  <si>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</si>
  <si>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</si>
  <si>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</si>
  <si>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</si>
  <si>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</si>
  <si>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</si>
  <si>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</si>
  <si>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</si>
  <si>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</si>
  <si>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</si>
  <si>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</si>
  <si>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</si>
  <si>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</si>
  <si>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</si>
  <si>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</si>
  <si>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</si>
  <si>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</si>
  <si>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</si>
  <si>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</si>
  <si>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</si>
  <si>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</si>
  <si>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</si>
  <si>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</si>
  <si>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</si>
  <si>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</si>
  <si>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</si>
  <si>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</si>
  <si>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</si>
  <si>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</si>
  <si>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</si>
  <si>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</si>
  <si>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</si>
  <si>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</si>
  <si>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</si>
  <si>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</si>
  <si>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</si>
  <si>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</si>
  <si>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</si>
  <si>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</si>
  <si>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</si>
  <si>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</si>
  <si>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</si>
  <si>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</si>
  <si>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</si>
  <si>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</si>
  <si>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</si>
  <si>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</si>
  <si>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</si>
  <si>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</si>
  <si>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</si>
  <si>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</si>
  <si>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</si>
  <si>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</si>
  <si>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</si>
  <si>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</si>
  <si>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</si>
  <si>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</si>
  <si>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</si>
  <si>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</si>
  <si>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</si>
  <si>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</si>
  <si>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</si>
  <si>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</si>
  <si>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</si>
  <si>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</si>
  <si>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</si>
  <si>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</si>
  <si>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</si>
  <si>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</si>
  <si>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</si>
  <si>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</si>
  <si>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</si>
  <si>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</si>
  <si>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</si>
  <si>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</si>
  <si>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</si>
  <si>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</si>
  <si>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</si>
  <si>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</si>
  <si>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</si>
  <si>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</si>
  <si>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</si>
  <si>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</si>
  <si>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</si>
  <si>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</si>
  <si>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</si>
  <si>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</si>
  <si>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</si>
  <si>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</si>
  <si>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</si>
  <si>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</si>
  <si>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</si>
  <si>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</si>
  <si>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</si>
  <si>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</si>
  <si>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</si>
  <si>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</si>
  <si>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</si>
  <si>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</si>
  <si>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</si>
  <si>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</si>
  <si>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</si>
  <si>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</si>
  <si>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</si>
  <si>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</si>
  <si>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</si>
  <si>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</si>
  <si>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</si>
  <si>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</si>
  <si>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</si>
  <si>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</si>
  <si>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</si>
  <si>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</si>
  <si>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</si>
  <si>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</si>
  <si>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</si>
  <si>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</si>
  <si>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</si>
  <si>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</si>
  <si>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</si>
  <si>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</si>
  <si>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</si>
  <si>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</si>
  <si>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</si>
  <si>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</si>
  <si>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</si>
  <si>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</si>
  <si>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</si>
  <si>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</si>
  <si>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</si>
  <si>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</si>
  <si>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</si>
  <si>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</si>
  <si>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</si>
  <si>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</si>
  <si>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</si>
  <si>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</si>
  <si>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</si>
  <si>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</si>
  <si>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</si>
  <si>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</si>
  <si>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</si>
  <si>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</si>
  <si>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</si>
  <si>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</si>
  <si>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</si>
  <si>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</si>
  <si>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</si>
  <si>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</si>
  <si>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</si>
  <si>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</si>
  <si>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</si>
  <si>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</si>
  <si>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</si>
  <si>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</si>
  <si>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</si>
  <si>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</si>
  <si>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</si>
  <si>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</si>
  <si>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</si>
  <si>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</si>
  <si>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</si>
  <si>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</si>
  <si>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</si>
  <si>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</si>
  <si>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</si>
  <si>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</si>
  <si>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</si>
  <si>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</si>
  <si>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</si>
  <si>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</si>
  <si>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</si>
  <si>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</si>
  <si>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</si>
  <si>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</si>
  <si>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</si>
  <si>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</si>
  <si>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</si>
  <si>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</si>
  <si>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</si>
  <si>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</si>
  <si>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</si>
  <si>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</si>
  <si>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</si>
  <si>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</si>
  <si>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</si>
  <si>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</si>
  <si>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</si>
  <si>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</si>
  <si>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</si>
  <si>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</si>
  <si>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</si>
  <si>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</si>
  <si>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</si>
  <si>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</si>
  <si>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</si>
  <si>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</si>
  <si>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</si>
  <si>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</si>
  <si>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</si>
  <si>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</si>
  <si>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</si>
  <si>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</si>
  <si>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</si>
  <si>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</si>
  <si>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</si>
  <si>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</si>
  <si>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</si>
  <si>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</si>
  <si>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</si>
  <si>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</si>
  <si>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</si>
  <si>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</si>
  <si>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</si>
  <si>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</si>
  <si>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</si>
  <si>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</si>
  <si>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</si>
  <si>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</si>
  <si>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</si>
  <si>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</si>
  <si>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</si>
  <si>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</si>
  <si>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</si>
  <si>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</si>
  <si>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</si>
  <si>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</si>
  <si>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</si>
  <si>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</si>
  <si>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</si>
  <si>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</si>
  <si>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</si>
  <si>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</si>
  <si>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</si>
  <si>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</si>
  <si>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</si>
  <si>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</si>
  <si>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</si>
  <si>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</si>
  <si>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</si>
  <si>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</si>
  <si>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</si>
  <si>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</si>
  <si>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</si>
  <si>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</si>
  <si>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</si>
  <si>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</si>
  <si>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</si>
  <si>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</si>
  <si>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</si>
  <si>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</si>
  <si>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</si>
  <si>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</si>
  <si>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</si>
  <si>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</si>
  <si>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</si>
  <si>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</si>
  <si>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</si>
  <si>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</si>
  <si>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</si>
  <si>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</si>
  <si>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</si>
  <si>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</si>
  <si>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</si>
  <si>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</si>
  <si>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</si>
  <si>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</si>
  <si>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</si>
  <si>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</si>
  <si>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</si>
  <si>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</si>
  <si>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</si>
  <si>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</si>
  <si>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</si>
  <si>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</si>
  <si>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</si>
  <si>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</si>
  <si>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</si>
  <si>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</si>
  <si>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</si>
  <si>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</si>
  <si>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</si>
  <si>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</si>
  <si>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</si>
  <si>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</si>
  <si>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</si>
  <si>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</si>
  <si>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</si>
  <si>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</si>
  <si>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</si>
  <si>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</si>
  <si>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</si>
  <si>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</si>
  <si>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</si>
  <si>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</si>
  <si>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</si>
  <si>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</si>
  <si>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</si>
  <si>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</si>
  <si>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</si>
  <si>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</si>
  <si>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</si>
  <si>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</si>
  <si>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</si>
  <si>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</si>
  <si>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</si>
  <si>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</si>
  <si>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</si>
  <si>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</si>
  <si>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</si>
  <si>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</si>
  <si>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</si>
  <si>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</si>
  <si>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</si>
  <si>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</si>
  <si>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</si>
  <si>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</si>
  <si>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</si>
  <si>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</si>
  <si>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</si>
  <si>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</si>
  <si>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</si>
  <si>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</si>
  <si>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</si>
  <si>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</si>
  <si>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</si>
  <si>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</si>
  <si>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</si>
  <si>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</si>
  <si>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</si>
  <si>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</si>
  <si>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</si>
  <si>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</si>
  <si>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</si>
  <si>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</si>
  <si>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</si>
  <si>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</si>
  <si>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</si>
  <si>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</si>
  <si>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</si>
  <si>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</si>
  <si>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</si>
  <si>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</si>
  <si>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</si>
  <si>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</si>
  <si>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</si>
  <si>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</si>
  <si>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</si>
  <si>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</si>
  <si>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</si>
  <si>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</si>
  <si>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</si>
  <si>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</si>
  <si>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</si>
  <si>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</si>
  <si>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</si>
  <si>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</si>
  <si>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</si>
  <si>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</si>
  <si>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</si>
  <si>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</si>
  <si>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</si>
  <si>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</si>
  <si>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</si>
  <si>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</si>
  <si>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</si>
  <si>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</si>
  <si>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</si>
  <si>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</si>
  <si>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</si>
  <si>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</si>
  <si>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</si>
  <si>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</si>
  <si>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</si>
  <si>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</si>
  <si>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</si>
  <si>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</si>
  <si>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</si>
  <si>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</si>
  <si>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</si>
  <si>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</si>
  <si>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</si>
  <si>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</si>
  <si>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</si>
  <si>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</si>
  <si>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</si>
  <si>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</si>
  <si>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</si>
  <si>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</si>
  <si>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</si>
  <si>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</si>
  <si>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</si>
  <si>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</si>
  <si>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</si>
  <si>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</si>
  <si>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</si>
  <si>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</si>
  <si>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</si>
  <si>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</si>
  <si>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</si>
  <si>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</si>
  <si>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</si>
  <si>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</si>
  <si>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</si>
  <si>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</si>
  <si>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</si>
  <si>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</si>
  <si>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</si>
  <si>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</si>
  <si>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</si>
  <si>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</si>
  <si>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</si>
  <si>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</si>
  <si>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</si>
  <si>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</si>
  <si>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</si>
  <si>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</si>
  <si>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</si>
  <si>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</si>
  <si>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</si>
  <si>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</si>
  <si>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</si>
  <si>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</si>
  <si>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</si>
  <si>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</si>
  <si>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</si>
  <si>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</si>
  <si>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</si>
  <si>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</si>
  <si>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</si>
  <si>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</si>
  <si>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</si>
  <si>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</si>
  <si>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</si>
  <si>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</si>
  <si>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</si>
  <si>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</si>
  <si>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</si>
  <si>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</si>
  <si>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</si>
  <si>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</si>
  <si>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</si>
  <si>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</si>
  <si>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</si>
  <si>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</si>
  <si>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</si>
  <si>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</si>
  <si>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</si>
  <si>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</si>
  <si>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</si>
  <si>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</si>
  <si>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</si>
  <si>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</si>
  <si>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</si>
  <si>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</si>
  <si>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</si>
  <si>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</si>
  <si>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</si>
  <si>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</si>
  <si>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</si>
  <si>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</si>
  <si>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</si>
  <si>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</si>
  <si>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</si>
  <si>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</si>
  <si>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</si>
  <si>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</si>
  <si>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</si>
  <si>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</si>
  <si>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</si>
  <si>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</si>
  <si>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</si>
  <si>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</si>
  <si>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</si>
  <si>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</si>
  <si>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</si>
  <si>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</si>
  <si>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</si>
  <si>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</si>
  <si>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</si>
  <si>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</si>
  <si>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</si>
  <si>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</si>
  <si>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</si>
  <si>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</si>
  <si>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</si>
  <si>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</si>
  <si>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</si>
  <si>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</si>
  <si>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</si>
  <si>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</si>
  <si>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</si>
  <si>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</si>
  <si>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</si>
  <si>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</si>
  <si>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</si>
  <si>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</si>
  <si>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</si>
  <si>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</si>
  <si>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</si>
  <si>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</si>
  <si>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</si>
  <si>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</si>
  <si>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</si>
  <si>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</si>
  <si>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</si>
  <si>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</si>
  <si>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</si>
  <si>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</si>
  <si>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</si>
  <si>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</si>
  <si>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</si>
  <si>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</si>
  <si>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</si>
  <si>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</si>
  <si>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</si>
  <si>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</si>
  <si>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</si>
  <si>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</si>
  <si>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</si>
  <si>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</si>
  <si>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</si>
  <si>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</si>
  <si>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</si>
  <si>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</si>
  <si>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</si>
  <si>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</si>
  <si>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</si>
  <si>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</si>
  <si>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</si>
  <si>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</si>
  <si>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</si>
  <si>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</si>
  <si>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</si>
  <si>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</si>
  <si>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</si>
  <si>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</si>
  <si>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</si>
  <si>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</si>
  <si>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</si>
  <si>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</si>
  <si>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</si>
  <si>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</si>
  <si>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</si>
  <si>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</si>
  <si>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</si>
  <si>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</si>
  <si>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</si>
  <si>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</si>
  <si>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</si>
  <si>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</si>
  <si>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</si>
  <si>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</si>
  <si>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</si>
  <si>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</si>
  <si>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</si>
  <si>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</si>
  <si>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</si>
  <si>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</si>
  <si>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</si>
  <si>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</si>
  <si>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</si>
  <si>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</si>
  <si>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</si>
  <si>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</si>
  <si>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</si>
  <si>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</si>
  <si>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</si>
  <si>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</si>
  <si>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</si>
  <si>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</si>
  <si>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</si>
  <si>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</si>
  <si>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</si>
  <si>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</si>
  <si>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</si>
  <si>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</si>
  <si>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</si>
  <si>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</si>
  <si>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</si>
  <si>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</si>
  <si>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</si>
  <si>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</si>
  <si>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</si>
  <si>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</si>
  <si>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</si>
  <si>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</si>
  <si>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</si>
  <si>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</si>
  <si>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</si>
  <si>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</si>
  <si>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</si>
  <si>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</si>
  <si>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</si>
  <si>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</si>
  <si>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</si>
  <si>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</si>
  <si>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</si>
  <si>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</si>
  <si>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</si>
  <si>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</si>
  <si>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</si>
  <si>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</si>
  <si>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</si>
  <si>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</si>
  <si>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</si>
  <si>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</si>
  <si>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</si>
  <si>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</si>
  <si>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</si>
  <si>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</si>
  <si>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</si>
  <si>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</si>
  <si>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</si>
  <si>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</si>
  <si>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</si>
  <si>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</si>
  <si>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</si>
  <si>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</si>
  <si>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</si>
  <si>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</si>
  <si>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</si>
  <si>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</si>
  <si>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</si>
  <si>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</si>
  <si>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</si>
  <si>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</si>
  <si>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</si>
  <si>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</si>
  <si>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</si>
  <si>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</si>
  <si>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</si>
  <si>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</si>
  <si>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</si>
  <si>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</si>
  <si>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</si>
  <si>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</si>
  <si>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</si>
  <si>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</si>
  <si>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</si>
  <si>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</si>
  <si>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</si>
  <si>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</si>
  <si>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</si>
  <si>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</si>
  <si>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</si>
  <si>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</si>
  <si>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</si>
  <si>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</si>
  <si>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</si>
  <si>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</si>
  <si>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</si>
  <si>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</si>
  <si>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</si>
  <si>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</si>
  <si>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</si>
  <si>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</si>
  <si>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</si>
  <si>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</si>
  <si>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</si>
  <si>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</si>
  <si>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</si>
  <si>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</si>
  <si>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</si>
  <si>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</si>
  <si>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</si>
  <si>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</si>
  <si>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</si>
  <si>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</si>
  <si>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</si>
  <si>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</si>
  <si>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</si>
  <si>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</si>
  <si>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</si>
  <si>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</si>
  <si>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</si>
  <si>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</si>
  <si>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</si>
  <si>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</si>
  <si>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</si>
  <si>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</si>
  <si>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</si>
  <si>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</si>
  <si>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</si>
  <si>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</si>
  <si>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</si>
  <si>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</si>
  <si>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</si>
  <si>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</si>
  <si>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</si>
  <si>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</si>
  <si>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</si>
  <si>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</si>
  <si>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</si>
  <si>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</si>
  <si>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</si>
  <si>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</si>
  <si>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</si>
  <si>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</si>
  <si>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</si>
  <si>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</si>
  <si>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</si>
  <si>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</si>
  <si>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</si>
  <si>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</si>
  <si>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</si>
  <si>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</si>
  <si>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</si>
  <si>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</si>
  <si>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</si>
  <si>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</si>
  <si>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</si>
  <si>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</si>
  <si>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</si>
  <si>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</si>
  <si>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</si>
  <si>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</si>
  <si>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</si>
  <si>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</si>
  <si>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</si>
  <si>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</si>
  <si>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</si>
  <si>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</si>
  <si>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</si>
  <si>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</si>
  <si>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</si>
  <si>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</si>
  <si>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</si>
  <si>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</si>
  <si>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</si>
  <si>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</si>
  <si>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</si>
  <si>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</si>
  <si>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</si>
  <si>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</si>
  <si>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</si>
  <si>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</si>
  <si>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</si>
  <si>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</si>
  <si>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</si>
  <si>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</si>
  <si>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</si>
  <si>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</si>
  <si>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</si>
  <si>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</si>
  <si>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</si>
  <si>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</si>
  <si>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</si>
  <si>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</si>
  <si>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</si>
  <si>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</si>
  <si>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</si>
  <si>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</si>
  <si>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</si>
  <si>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</si>
  <si>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</si>
  <si>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</si>
  <si>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</si>
  <si>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</si>
  <si>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</si>
  <si>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</si>
  <si>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</si>
  <si>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</si>
  <si>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</si>
  <si>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</si>
  <si>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</si>
  <si>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</si>
  <si>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</si>
  <si>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</si>
  <si>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</si>
  <si>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</si>
  <si>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</si>
  <si>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</si>
  <si>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</si>
  <si>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</si>
  <si>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</si>
  <si>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</si>
  <si>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</si>
  <si>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</si>
  <si>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</si>
  <si>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</si>
  <si>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</si>
  <si>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</si>
  <si>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</si>
  <si>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</si>
  <si>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</si>
  <si>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</si>
  <si>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</si>
  <si>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</si>
  <si>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</si>
  <si>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</si>
  <si>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</si>
  <si>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</si>
  <si>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</si>
  <si>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</si>
  <si>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</si>
  <si>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</si>
  <si>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</si>
  <si>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</si>
  <si>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</si>
  <si>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</si>
  <si>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</si>
  <si>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</si>
  <si>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</si>
  <si>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</si>
  <si>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</si>
  <si>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</si>
  <si>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</si>
  <si>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</si>
  <si>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</si>
  <si>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</si>
  <si>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</si>
  <si>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</si>
  <si>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</si>
  <si>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</si>
  <si>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</si>
  <si>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</si>
  <si>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</si>
  <si>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</si>
  <si>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</si>
  <si>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</si>
  <si>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</si>
  <si>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</si>
  <si>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</si>
  <si>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</si>
  <si>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</si>
  <si>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</si>
  <si>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</si>
  <si>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</si>
  <si>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</si>
  <si>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</si>
  <si>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</si>
  <si>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</si>
  <si>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</si>
  <si>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</si>
  <si>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</si>
  <si>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</si>
  <si>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</si>
  <si>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</si>
  <si>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</si>
  <si>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</si>
  <si>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</si>
  <si>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</si>
  <si>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</si>
  <si>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</si>
  <si>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</si>
  <si>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</si>
  <si>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</si>
  <si>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</si>
  <si>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</si>
  <si>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</si>
  <si>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</si>
  <si>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</si>
  <si>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</si>
  <si>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</si>
  <si>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</si>
  <si>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</si>
  <si>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</si>
  <si>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</si>
  <si>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</si>
  <si>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</si>
  <si>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</si>
  <si>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</si>
  <si>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</si>
  <si>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</si>
  <si>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</si>
  <si>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</si>
  <si>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</si>
  <si>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</si>
  <si>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</si>
  <si>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</si>
  <si>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</si>
  <si>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</si>
  <si>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</si>
  <si>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</si>
  <si>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</si>
  <si>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</si>
  <si>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</si>
  <si>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</si>
  <si>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</si>
  <si>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</si>
  <si>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</si>
  <si>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</si>
  <si>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</si>
  <si>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</si>
  <si>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</si>
  <si>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</si>
  <si>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</si>
  <si>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</si>
  <si>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</si>
  <si>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</si>
  <si>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</si>
  <si>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</si>
  <si>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</si>
  <si>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</si>
  <si>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</si>
  <si>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</si>
  <si>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</si>
  <si>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</si>
  <si>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</si>
  <si>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</si>
  <si>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</si>
  <si>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</si>
  <si>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</si>
  <si>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</si>
  <si>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</si>
  <si>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</si>
  <si>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</si>
  <si>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</si>
  <si>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</si>
  <si>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</si>
  <si>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</si>
  <si>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</si>
  <si>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</si>
  <si>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</si>
  <si>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</si>
  <si>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</si>
  <si>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</si>
  <si>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</si>
  <si>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</si>
  <si>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</si>
  <si>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</si>
  <si>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</si>
  <si>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</si>
  <si>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</si>
  <si>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</si>
  <si>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</si>
  <si>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</si>
  <si>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</si>
  <si>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</si>
  <si>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</si>
  <si>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</si>
  <si>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</si>
  <si>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</si>
  <si>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</si>
  <si>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</si>
  <si>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</si>
  <si>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</si>
  <si>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</si>
  <si>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</si>
  <si>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</si>
  <si>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</si>
  <si>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</si>
  <si>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</si>
  <si>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</si>
  <si>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</si>
  <si>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</si>
  <si>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</si>
  <si>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</si>
  <si>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</si>
  <si>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</si>
  <si>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</si>
  <si>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</si>
  <si>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</si>
  <si>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</si>
  <si>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</si>
  <si>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</si>
  <si>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</si>
  <si>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</si>
  <si>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</si>
  <si>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</si>
  <si>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</si>
  <si>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</si>
  <si>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</si>
  <si>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</si>
  <si>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</si>
  <si>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</si>
  <si>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</si>
  <si>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</si>
  <si>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</si>
  <si>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</si>
  <si>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</si>
  <si>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</si>
  <si>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</si>
  <si>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</si>
  <si>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</si>
  <si>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</si>
  <si>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</si>
  <si>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</si>
  <si>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</si>
  <si>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</si>
  <si>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</si>
  <si>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</si>
  <si>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</si>
  <si>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</si>
  <si>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</si>
  <si>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</si>
  <si>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</si>
  <si>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</si>
  <si>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</si>
  <si>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</si>
  <si>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</si>
  <si>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</si>
  <si>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</si>
  <si>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</si>
  <si>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</si>
  <si>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</si>
  <si>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</si>
  <si>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</si>
  <si>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</si>
  <si>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</si>
  <si>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</si>
  <si>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</si>
  <si>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</si>
  <si>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</si>
  <si>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</si>
  <si>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</si>
  <si>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</si>
  <si>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</si>
  <si>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</si>
  <si>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</si>
  <si>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</si>
  <si>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</si>
  <si>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</si>
  <si>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</si>
  <si>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</si>
  <si>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</si>
  <si>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</si>
  <si>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</si>
  <si>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</si>
  <si>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</si>
  <si>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</si>
  <si>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</si>
  <si>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</si>
  <si>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</si>
  <si>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</si>
  <si>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</si>
  <si>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</si>
  <si>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</si>
  <si>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</si>
  <si>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</si>
  <si>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</si>
  <si>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</si>
  <si>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</si>
  <si>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</si>
  <si>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</si>
  <si>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</si>
  <si>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</si>
  <si>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</si>
  <si>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</si>
  <si>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</si>
  <si>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</si>
  <si>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</si>
  <si>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</si>
  <si>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</si>
  <si>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</si>
  <si>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</si>
  <si>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</si>
  <si>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</si>
  <si>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</si>
  <si>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</si>
  <si>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</si>
  <si>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</si>
  <si>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</si>
  <si>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</si>
  <si>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</si>
  <si>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</si>
  <si>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</si>
  <si>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</si>
  <si>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</si>
  <si>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</si>
  <si>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</si>
  <si>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</si>
  <si>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</si>
  <si>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</si>
  <si>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</si>
  <si>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</si>
  <si>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</si>
  <si>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</si>
  <si>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</si>
  <si>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</si>
  <si>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</si>
  <si>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</si>
  <si>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</si>
  <si>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</si>
  <si>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</si>
  <si>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</si>
  <si>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</si>
  <si>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</si>
  <si>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</si>
  <si>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</si>
  <si>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</si>
  <si>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</si>
  <si>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</si>
  <si>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</si>
  <si>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</si>
  <si>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</si>
  <si>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</si>
  <si>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</si>
  <si>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</si>
  <si>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</si>
  <si>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</si>
  <si>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</si>
  <si>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</si>
  <si>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</si>
  <si>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</si>
  <si>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</si>
  <si>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</si>
  <si>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</si>
  <si>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</si>
  <si>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</si>
  <si>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</si>
  <si>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</si>
  <si>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</si>
  <si>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</si>
  <si>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</si>
  <si>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</si>
  <si>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</si>
  <si>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</si>
  <si>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</si>
  <si>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</si>
  <si>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</si>
  <si>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</si>
  <si>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</si>
  <si>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</si>
  <si>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</si>
  <si>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</si>
  <si>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</si>
  <si>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</si>
  <si>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</si>
  <si>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</si>
  <si>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</si>
  <si>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</si>
  <si>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</si>
  <si>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</si>
  <si>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</si>
  <si>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</si>
  <si>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</si>
  <si>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</si>
  <si>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</si>
  <si>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</si>
  <si>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</si>
  <si>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</si>
  <si>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</si>
  <si>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</si>
  <si>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</si>
  <si>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</si>
  <si>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</si>
  <si>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</si>
  <si>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</si>
  <si>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</si>
  <si>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</si>
  <si>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</si>
  <si>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</si>
  <si>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</si>
  <si>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</si>
  <si>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</si>
  <si>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</si>
  <si>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</si>
  <si>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</si>
  <si>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</si>
  <si>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</si>
  <si>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</si>
  <si>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</si>
  <si>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</si>
  <si>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</si>
  <si>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</si>
  <si>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</si>
  <si>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</si>
  <si>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</si>
  <si>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</si>
  <si>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</si>
  <si>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</si>
  <si>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</si>
  <si>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</si>
  <si>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</si>
  <si>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</si>
  <si>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</si>
  <si>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</si>
  <si>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</si>
  <si>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</si>
  <si>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</si>
  <si>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</si>
  <si>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</si>
  <si>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</si>
  <si>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</si>
  <si>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</si>
  <si>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</si>
  <si>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</si>
  <si>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</si>
  <si>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</si>
  <si>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</si>
  <si>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</si>
  <si>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</si>
  <si>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</si>
  <si>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</si>
  <si>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</si>
  <si>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</si>
  <si>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</si>
  <si>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</si>
  <si>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</si>
  <si>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</si>
  <si>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</si>
  <si>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</si>
  <si>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</si>
  <si>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</si>
  <si>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</si>
  <si>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</si>
  <si>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</si>
  <si>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</si>
  <si>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</si>
  <si>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</si>
  <si>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</si>
  <si>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</si>
  <si>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</si>
  <si>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</si>
  <si>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</si>
  <si>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</si>
  <si>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</si>
  <si>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</si>
  <si>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</si>
  <si>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</si>
  <si>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</si>
  <si>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</si>
  <si>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</si>
  <si>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</si>
  <si>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</si>
  <si>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</si>
  <si>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</si>
  <si>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</si>
  <si>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</si>
  <si>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</si>
  <si>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</si>
  <si>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</si>
  <si>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</si>
  <si>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</si>
  <si>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</si>
  <si>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</si>
  <si>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</si>
  <si>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</si>
  <si>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</si>
  <si>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</si>
  <si>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</si>
  <si>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</si>
  <si>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</si>
  <si>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</si>
  <si>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</si>
  <si>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</si>
  <si>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</si>
  <si>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</si>
  <si>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</si>
  <si>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</si>
  <si>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</si>
  <si>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</si>
  <si>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</si>
  <si>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</si>
  <si>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</si>
  <si>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</si>
  <si>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</si>
  <si>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</si>
  <si>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</si>
  <si>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</si>
  <si>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</si>
  <si>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</si>
  <si>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</si>
  <si>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</si>
  <si>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</si>
  <si>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</si>
  <si>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</si>
  <si>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</si>
  <si>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</si>
  <si>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</si>
  <si>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</si>
  <si>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</si>
  <si>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</si>
  <si>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</si>
  <si>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</si>
  <si>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</si>
  <si>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</si>
  <si>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</si>
  <si>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</si>
  <si>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</si>
  <si>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</si>
  <si>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</si>
  <si>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</si>
  <si>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</si>
  <si>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</si>
  <si>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</si>
  <si>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</si>
  <si>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</si>
  <si>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</si>
  <si>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</si>
  <si>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</si>
  <si>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</si>
  <si>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</si>
  <si>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</si>
  <si>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</si>
  <si>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</si>
  <si>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</si>
  <si>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</si>
  <si>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</si>
  <si>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</si>
  <si>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</si>
  <si>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</si>
  <si>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</si>
  <si>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</si>
  <si>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</si>
  <si>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</si>
  <si>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</si>
  <si>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</si>
  <si>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</si>
  <si>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</si>
  <si>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</si>
  <si>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</si>
  <si>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</si>
  <si>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</si>
  <si>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</si>
  <si>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</si>
  <si>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</si>
  <si>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</si>
  <si>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</si>
  <si>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</si>
  <si>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</si>
  <si>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</si>
  <si>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</si>
  <si>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</si>
  <si>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</si>
  <si>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</si>
  <si>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</si>
  <si>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</si>
  <si>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</si>
  <si>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</si>
  <si>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</si>
  <si>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</si>
  <si>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</si>
  <si>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</si>
  <si>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</si>
  <si>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</si>
  <si>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</si>
  <si>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</si>
  <si>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</si>
  <si>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</si>
  <si>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</si>
  <si>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</si>
  <si>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</si>
  <si>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</si>
  <si>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</si>
  <si>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</si>
  <si>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</si>
  <si>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</si>
  <si>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</si>
  <si>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</si>
  <si>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</si>
  <si>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</si>
  <si>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</si>
  <si>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</si>
  <si>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</si>
  <si>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</si>
  <si>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</si>
  <si>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</si>
  <si>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</si>
  <si>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</si>
  <si>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</si>
  <si>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</si>
  <si>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</si>
  <si>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</si>
  <si>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</si>
  <si>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</si>
  <si>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</si>
  <si>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</si>
  <si>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</si>
  <si>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</si>
  <si>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</si>
  <si>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</si>
  <si>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</si>
  <si>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</si>
  <si>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</si>
  <si>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</si>
  <si>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</si>
  <si>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</si>
  <si>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</si>
  <si>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</si>
  <si>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</si>
  <si>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</si>
  <si>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</si>
  <si>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</si>
  <si>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</si>
  <si>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</si>
  <si>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</si>
  <si>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</si>
  <si>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</si>
  <si>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</si>
  <si>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</si>
  <si>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</si>
  <si>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</si>
  <si>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</si>
  <si>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</si>
  <si>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</si>
  <si>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</si>
  <si>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</si>
  <si>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</si>
  <si>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</si>
  <si>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</si>
  <si>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</si>
  <si>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</si>
  <si>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</si>
  <si>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</si>
  <si>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</si>
  <si>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</si>
  <si>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</si>
  <si>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</si>
  <si>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</si>
  <si>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</si>
  <si>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</si>
  <si>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</si>
  <si>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</si>
  <si>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</si>
  <si>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</si>
  <si>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</si>
  <si>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</si>
  <si>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</si>
  <si>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</si>
  <si>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</si>
  <si>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</si>
  <si>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</si>
  <si>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</si>
  <si>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</si>
  <si>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</si>
  <si>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</si>
  <si>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</si>
  <si>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</si>
  <si>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</si>
  <si>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</si>
  <si>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</si>
  <si>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</si>
  <si>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</si>
  <si>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</si>
  <si>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</si>
  <si>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</si>
  <si>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</si>
  <si>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</si>
  <si>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</si>
  <si>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</si>
  <si>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</si>
  <si>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</si>
  <si>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</si>
  <si>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</si>
  <si>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</si>
  <si>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</si>
  <si>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</si>
  <si>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</si>
  <si>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</si>
  <si>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</si>
  <si>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</si>
  <si>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</si>
  <si>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</si>
  <si>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</si>
  <si>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</si>
  <si>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</si>
  <si>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</si>
  <si>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</si>
  <si>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</si>
  <si>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</si>
  <si>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</si>
  <si>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</si>
  <si>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</si>
  <si>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</si>
  <si>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</si>
  <si>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</si>
  <si>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</si>
  <si>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</si>
  <si>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</si>
  <si>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</si>
  <si>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</si>
  <si>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</si>
  <si>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</si>
  <si>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</si>
  <si>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</si>
  <si>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</si>
  <si>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</si>
  <si>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</si>
  <si>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</si>
  <si>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</si>
  <si>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</si>
  <si>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</si>
  <si>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</si>
  <si>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</si>
  <si>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</si>
  <si>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</si>
  <si>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</si>
  <si>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</si>
  <si>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</si>
  <si>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</si>
  <si>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</si>
  <si>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</si>
  <si>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</si>
  <si>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</si>
  <si>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</si>
  <si>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</si>
  <si>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</si>
  <si>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</si>
  <si>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</si>
  <si>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</si>
  <si>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</si>
  <si>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</si>
  <si>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</si>
  <si>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</si>
  <si>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</si>
  <si>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</si>
  <si>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</si>
  <si>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</si>
  <si>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</si>
  <si>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</si>
  <si>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</si>
  <si>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</si>
  <si>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</si>
  <si>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</si>
  <si>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</si>
  <si>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</si>
  <si>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</si>
  <si>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</si>
  <si>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</si>
  <si>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</si>
  <si>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</si>
  <si>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</si>
  <si>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</si>
  <si>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</si>
  <si>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</si>
  <si>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</si>
  <si>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</si>
  <si>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</si>
  <si>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</si>
  <si>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</si>
  <si>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</si>
  <si>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</si>
  <si>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</si>
  <si>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</si>
  <si>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</si>
  <si>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</si>
  <si>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</si>
  <si>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</si>
  <si>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</si>
  <si>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</si>
  <si>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</si>
  <si>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</si>
  <si>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</si>
  <si>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</si>
  <si>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</si>
  <si>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</si>
  <si>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</si>
  <si>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</si>
  <si>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</si>
  <si>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</si>
  <si>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</si>
  <si>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</si>
  <si>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</si>
  <si>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</si>
  <si>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</si>
  <si>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</si>
  <si>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</si>
  <si>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</si>
  <si>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</si>
  <si>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</si>
  <si>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</si>
  <si>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</si>
  <si>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</si>
  <si>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</si>
  <si>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</si>
  <si>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</si>
  <si>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</si>
  <si>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</si>
  <si>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</si>
  <si>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</si>
  <si>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</si>
  <si>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</si>
  <si>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</si>
  <si>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</si>
  <si>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</si>
  <si>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</si>
  <si>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</si>
  <si>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</si>
  <si>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</si>
  <si>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</si>
  <si>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</si>
  <si>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</si>
  <si>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</si>
  <si>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</si>
  <si>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</si>
  <si>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</si>
  <si>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</si>
  <si>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</si>
  <si>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</si>
  <si>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</si>
  <si>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</si>
  <si>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</si>
  <si>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</si>
  <si>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</si>
  <si>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</si>
  <si>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</si>
  <si>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</si>
  <si>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</si>
  <si>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</si>
  <si>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</si>
  <si>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</si>
  <si>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</si>
  <si>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</si>
  <si>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</si>
  <si>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</si>
  <si>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</si>
  <si>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</si>
  <si>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</si>
  <si>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</si>
  <si>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</si>
  <si>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</si>
  <si>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</si>
  <si>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</si>
  <si>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</si>
  <si>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</si>
  <si>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</si>
  <si>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</si>
  <si>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</si>
  <si>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</si>
  <si>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</si>
  <si>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</si>
  <si>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</si>
  <si>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</si>
  <si>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</si>
  <si>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</si>
  <si>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</si>
  <si>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</si>
  <si>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</si>
  <si>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</si>
  <si>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</si>
  <si>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</si>
  <si>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</si>
  <si>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</si>
  <si>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</si>
  <si>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</si>
  <si>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</si>
  <si>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</si>
  <si>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</si>
  <si>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</si>
  <si>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</si>
  <si>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</si>
  <si>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</si>
  <si>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</si>
  <si>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</si>
  <si>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</si>
  <si>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</si>
  <si>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</si>
  <si>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</si>
  <si>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</si>
  <si>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</si>
  <si>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</si>
  <si>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</si>
  <si>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</si>
  <si>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</si>
  <si>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</si>
  <si>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</si>
  <si>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</si>
  <si>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</si>
  <si>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</si>
  <si>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</si>
  <si>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</si>
  <si>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</si>
  <si>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</si>
  <si>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</si>
  <si>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</si>
  <si>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</si>
  <si>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</si>
  <si>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</si>
  <si>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</si>
  <si>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</si>
  <si>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</si>
  <si>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</si>
  <si>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</si>
  <si>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</si>
  <si>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</si>
  <si>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</si>
  <si>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</si>
  <si>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</si>
  <si>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</si>
  <si>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</si>
  <si>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</si>
  <si>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</si>
  <si>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</si>
  <si>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</si>
  <si>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</si>
  <si>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</si>
  <si>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</si>
  <si>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</si>
  <si>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</si>
  <si>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</si>
  <si>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</si>
  <si>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</si>
  <si>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</si>
  <si>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</si>
  <si>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</si>
  <si>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</si>
  <si>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</si>
  <si>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</si>
  <si>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</si>
  <si>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</si>
  <si>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</si>
  <si>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</si>
  <si>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</si>
  <si>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</si>
  <si>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</si>
  <si>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</si>
  <si>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</si>
  <si>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</si>
  <si>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</si>
  <si>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</si>
  <si>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</si>
  <si>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</si>
  <si>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</si>
  <si>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</si>
  <si>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</si>
  <si>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</si>
  <si>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</si>
  <si>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</si>
  <si>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</si>
  <si>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</si>
  <si>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</si>
  <si>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</si>
  <si>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</si>
  <si>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</si>
  <si>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</si>
  <si>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</si>
  <si>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</si>
  <si>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</si>
  <si>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</si>
  <si>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</si>
  <si>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</si>
  <si>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</si>
  <si>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</si>
  <si>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</si>
  <si>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</si>
  <si>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</si>
  <si>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</si>
  <si>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</si>
  <si>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</si>
  <si>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</si>
  <si>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</si>
  <si>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</si>
  <si>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</si>
  <si>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</si>
  <si>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</si>
  <si>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</si>
  <si>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</si>
  <si>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</si>
  <si>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</si>
  <si>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</si>
  <si>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</si>
  <si>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</si>
  <si>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</si>
  <si>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</si>
  <si>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</si>
  <si>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</si>
  <si>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</si>
  <si>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</si>
  <si>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</si>
  <si>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</si>
  <si>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</si>
  <si>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</si>
  <si>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</si>
  <si>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</si>
  <si>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</si>
  <si>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</si>
  <si>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</si>
  <si>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</si>
  <si>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</si>
  <si>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</si>
  <si>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</si>
  <si>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</si>
  <si>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</si>
  <si>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</si>
  <si>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</si>
  <si>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</si>
  <si>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</si>
  <si>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</si>
  <si>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</si>
  <si>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</si>
  <si>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</si>
  <si>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</si>
  <si>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</si>
  <si>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</si>
  <si>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</si>
  <si>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</si>
  <si>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</si>
  <si>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</si>
  <si>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</si>
  <si>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</si>
  <si>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</si>
  <si>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</si>
  <si>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</si>
  <si>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</si>
  <si>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</si>
  <si>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</si>
  <si>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</si>
  <si>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</si>
  <si>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</si>
  <si>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</si>
  <si>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</si>
  <si>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</si>
  <si>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</si>
  <si>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</si>
  <si>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</si>
  <si>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</si>
  <si>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</si>
  <si>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</si>
  <si>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</si>
  <si>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</si>
  <si>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</si>
  <si>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</si>
  <si>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</si>
  <si>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</si>
  <si>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</si>
  <si>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</si>
  <si>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</si>
  <si>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</si>
  <si>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</si>
  <si>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</si>
  <si>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</si>
  <si>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</si>
  <si>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</si>
  <si>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</si>
  <si>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</si>
  <si>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</si>
  <si>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</si>
  <si>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</si>
  <si>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</si>
  <si>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</si>
  <si>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</si>
  <si>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</si>
  <si>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</si>
  <si>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</si>
  <si>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</si>
  <si>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</si>
  <si>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</si>
  <si>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</si>
  <si>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</si>
  <si>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</si>
  <si>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</si>
  <si>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</si>
  <si>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</si>
  <si>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</si>
  <si>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</si>
  <si>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</si>
  <si>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</si>
  <si>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</si>
  <si>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</si>
  <si>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</si>
  <si>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</si>
  <si>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</si>
  <si>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</si>
  <si>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</si>
  <si>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</si>
  <si>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</si>
  <si>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</si>
  <si>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</si>
  <si>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</si>
  <si>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</si>
  <si>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</si>
  <si>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</si>
  <si>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</si>
  <si>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</si>
  <si>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</si>
  <si>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</si>
  <si>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</si>
  <si>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</si>
  <si>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</si>
  <si>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</si>
  <si>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</si>
  <si>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</si>
  <si>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</si>
  <si>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</si>
  <si>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</si>
  <si>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</si>
  <si>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</si>
  <si>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</si>
  <si>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</si>
  <si>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</si>
  <si>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</si>
  <si>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</si>
  <si>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</si>
  <si>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</si>
  <si>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</si>
  <si>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</si>
  <si>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</si>
  <si>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</si>
  <si>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</si>
  <si>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</si>
  <si>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</si>
  <si>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</si>
  <si>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</si>
  <si>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</si>
  <si>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</si>
  <si>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</si>
  <si>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</si>
  <si>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</si>
  <si>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</si>
  <si>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</si>
  <si>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</si>
  <si>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</si>
  <si>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</si>
  <si>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</si>
  <si>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</si>
  <si>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</si>
  <si>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</si>
  <si>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</si>
  <si>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</si>
  <si>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</si>
  <si>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</si>
  <si>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</si>
  <si>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</si>
  <si>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</si>
  <si>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</si>
  <si>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</si>
  <si>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</si>
  <si>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</si>
  <si>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</si>
  <si>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</si>
  <si>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</si>
  <si>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</si>
  <si>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</si>
  <si>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</si>
  <si>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</si>
  <si>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</si>
  <si>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</si>
  <si>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</si>
  <si>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</si>
  <si>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</si>
  <si>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</si>
  <si>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</si>
  <si>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</si>
  <si>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</si>
  <si>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</si>
  <si>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</si>
  <si>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</si>
  <si>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</si>
  <si>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</si>
  <si>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</si>
  <si>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</si>
  <si>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</si>
  <si>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</si>
  <si>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</si>
  <si>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</si>
  <si>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</si>
  <si>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</si>
  <si>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</si>
  <si>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</si>
  <si>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</si>
  <si>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</si>
  <si>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</si>
  <si>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</si>
  <si>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</si>
  <si>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</si>
  <si>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</si>
  <si>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</si>
  <si>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</si>
  <si>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</si>
  <si>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</si>
  <si>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</si>
  <si>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</si>
  <si>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</si>
  <si>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</si>
  <si>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</si>
  <si>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</si>
  <si>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</si>
  <si>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</si>
  <si>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</si>
  <si>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</si>
  <si>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</si>
  <si>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</si>
  <si>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</si>
  <si>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</si>
  <si>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</si>
  <si>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</si>
  <si>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</si>
  <si>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</si>
  <si>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</si>
  <si>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</si>
  <si>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</si>
  <si>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</si>
  <si>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</si>
  <si>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</si>
  <si>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</si>
  <si>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</si>
  <si>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</si>
  <si>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</si>
  <si>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</si>
  <si>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</si>
  <si>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</si>
  <si>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</si>
  <si>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</si>
  <si>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</si>
  <si>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</si>
  <si>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</si>
  <si>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</si>
  <si>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</si>
  <si>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</si>
  <si>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</si>
  <si>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</si>
  <si>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</si>
  <si>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</si>
  <si>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</si>
  <si>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</si>
  <si>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</si>
  <si>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</si>
  <si>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</si>
  <si>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</si>
  <si>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</si>
  <si>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</si>
  <si>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</si>
  <si>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</si>
  <si>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</si>
  <si>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</si>
  <si>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</si>
  <si>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</si>
  <si>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</si>
  <si>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</si>
  <si>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</si>
  <si>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</si>
  <si>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</si>
  <si>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</si>
  <si>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</si>
  <si>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</si>
  <si>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</si>
  <si>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</si>
  <si>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</si>
  <si>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</si>
  <si>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</si>
  <si>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</si>
  <si>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</si>
  <si>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</si>
  <si>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</si>
  <si>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</si>
  <si>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</si>
  <si>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</si>
  <si>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</si>
  <si>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</si>
  <si>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</si>
  <si>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</si>
  <si>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</si>
  <si>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</si>
  <si>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</si>
  <si>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</si>
  <si>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</si>
  <si>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</si>
  <si>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</si>
  <si>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</si>
  <si>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</si>
  <si>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</si>
  <si>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</si>
  <si>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</si>
  <si>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</si>
  <si>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</si>
  <si>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</si>
  <si>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</si>
  <si>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</si>
  <si>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</si>
  <si>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</si>
  <si>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</si>
  <si>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</si>
  <si>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</si>
  <si>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</si>
  <si>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</si>
  <si>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</si>
  <si>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</si>
  <si>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</si>
  <si>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</si>
  <si>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</si>
  <si>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</si>
  <si>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</si>
  <si>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</si>
  <si>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</si>
  <si>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</si>
  <si>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</si>
  <si>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</si>
  <si>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</si>
  <si>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</si>
  <si>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</si>
  <si>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</si>
  <si>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</si>
  <si>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</si>
  <si>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</si>
  <si>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</si>
  <si>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</si>
  <si>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</si>
  <si>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</si>
  <si>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</si>
  <si>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</si>
  <si>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</si>
  <si>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</si>
  <si>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</si>
  <si>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</si>
  <si>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</si>
  <si>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</si>
  <si>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</si>
  <si>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</si>
  <si>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</si>
  <si>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</si>
  <si>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</si>
  <si>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</si>
  <si>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</si>
  <si>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</si>
  <si>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</si>
  <si>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</si>
  <si>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</si>
  <si>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</si>
  <si>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</si>
  <si>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</si>
  <si>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</si>
  <si>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</si>
  <si>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</si>
  <si>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</si>
  <si>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</si>
  <si>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</si>
  <si>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</si>
  <si>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</si>
  <si>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</si>
  <si>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</si>
  <si>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</si>
  <si>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</si>
  <si>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</si>
  <si>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</si>
  <si>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</si>
  <si>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</si>
  <si>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</si>
  <si>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</si>
  <si>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</si>
  <si>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</si>
  <si>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</si>
  <si>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</si>
  <si>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</si>
  <si>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</si>
  <si>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</si>
  <si>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</si>
  <si>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</si>
  <si>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</si>
  <si>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</si>
  <si>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</si>
  <si>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</si>
  <si>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</si>
  <si>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</si>
  <si>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</si>
  <si>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</si>
  <si>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</si>
  <si>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</si>
  <si>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</si>
  <si>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</si>
  <si>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</si>
  <si>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</si>
  <si>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</si>
  <si>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</si>
  <si>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</si>
  <si>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</si>
  <si>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</si>
  <si>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</si>
  <si>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</si>
  <si>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</si>
  <si>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</si>
  <si>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</si>
  <si>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</si>
  <si>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</si>
  <si>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</si>
  <si>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</si>
  <si>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</si>
  <si>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</si>
  <si>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</si>
  <si>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</si>
  <si>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</si>
  <si>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</si>
  <si>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</si>
  <si>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</si>
  <si>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</si>
  <si>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</si>
  <si>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</si>
  <si>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</si>
  <si>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</si>
  <si>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</si>
  <si>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</si>
  <si>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</si>
  <si>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</si>
  <si>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</si>
  <si>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</si>
  <si>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</si>
  <si>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</si>
  <si>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</si>
  <si>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</si>
  <si>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</si>
  <si>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</si>
  <si>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</si>
  <si>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</si>
  <si>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</si>
  <si>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</si>
  <si>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</si>
  <si>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</si>
  <si>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</si>
  <si>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</si>
  <si>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</si>
  <si>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</si>
  <si>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</si>
  <si>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</si>
  <si>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</si>
  <si>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</si>
  <si>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</si>
  <si>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</si>
  <si>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</si>
  <si>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</si>
  <si>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</si>
  <si>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</si>
  <si>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</si>
  <si>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</si>
  <si>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</si>
  <si>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</si>
  <si>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</si>
  <si>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</si>
  <si>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</si>
  <si>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</si>
  <si>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</si>
  <si>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</si>
  <si>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</si>
  <si>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</si>
  <si>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</si>
  <si>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</si>
  <si>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</si>
  <si>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</si>
  <si>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</si>
  <si>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</si>
  <si>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</si>
  <si>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</si>
  <si>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</si>
  <si>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</si>
  <si>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</si>
  <si>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</si>
  <si>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</si>
  <si>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</si>
  <si>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</si>
  <si>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</si>
  <si>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</si>
  <si>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</si>
  <si>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</si>
  <si>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</si>
  <si>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</si>
  <si>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</si>
  <si>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</si>
  <si>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</si>
  <si>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</si>
  <si>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</si>
  <si>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</si>
  <si>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</si>
  <si>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</si>
  <si>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</si>
  <si>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</si>
  <si>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</si>
  <si>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</si>
  <si>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</si>
  <si>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</si>
  <si>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</si>
  <si>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</si>
  <si>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</si>
  <si>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</si>
  <si>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</si>
  <si>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</si>
  <si>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</si>
  <si>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</si>
  <si>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</si>
  <si>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</si>
  <si>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</si>
  <si>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</si>
  <si>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</si>
  <si>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</si>
  <si>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</si>
  <si>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</si>
  <si>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</si>
  <si>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</si>
  <si>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</si>
  <si>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</si>
  <si>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</si>
  <si>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</si>
  <si>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</si>
  <si>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</si>
  <si>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</si>
  <si>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</si>
  <si>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</si>
  <si>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</si>
  <si>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</si>
  <si>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</si>
  <si>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</si>
  <si>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</si>
  <si>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</si>
  <si>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</si>
  <si>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</si>
  <si>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</si>
  <si>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</si>
  <si>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</si>
  <si>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</si>
  <si>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</si>
  <si>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</si>
  <si>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</si>
  <si>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</si>
  <si>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</si>
  <si>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</si>
  <si>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</si>
  <si>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</si>
  <si>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</si>
  <si>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</si>
  <si>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</si>
  <si>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</si>
  <si>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</si>
  <si>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</si>
  <si>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</si>
  <si>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</si>
  <si>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</si>
  <si>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</si>
  <si>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</si>
  <si>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</si>
  <si>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</si>
  <si>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</si>
  <si>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</si>
  <si>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</si>
  <si>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</si>
  <si>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</si>
  <si>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</si>
  <si>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</si>
  <si>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</si>
  <si>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</si>
  <si>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</si>
  <si>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</si>
  <si>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</si>
  <si>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</si>
  <si>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</si>
  <si>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</si>
  <si>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</si>
  <si>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</si>
  <si>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</si>
  <si>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</si>
  <si>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</si>
  <si>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</si>
  <si>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</si>
  <si>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</si>
  <si>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</si>
  <si>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</si>
  <si>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</si>
  <si>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</si>
  <si>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</si>
  <si>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</si>
  <si>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</si>
  <si>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</si>
  <si>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</si>
  <si>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</si>
  <si>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</si>
  <si>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</si>
  <si>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</si>
  <si>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</si>
  <si>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</si>
  <si>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</si>
  <si>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</si>
  <si>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</si>
  <si>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</si>
  <si>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</si>
  <si>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</si>
  <si>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</si>
  <si>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</si>
  <si>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</si>
  <si>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</si>
  <si>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</si>
  <si>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</si>
  <si>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</si>
  <si>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</si>
  <si>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</si>
  <si>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</si>
  <si>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</si>
  <si>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</si>
  <si>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</si>
  <si>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</si>
  <si>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</si>
  <si>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</si>
  <si>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</si>
  <si>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</si>
  <si>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</si>
  <si>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</si>
  <si>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</si>
  <si>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</si>
  <si>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</si>
  <si>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</si>
  <si>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</si>
  <si>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</si>
  <si>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</si>
  <si>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</si>
  <si>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</si>
  <si>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</si>
  <si>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</si>
  <si>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</si>
  <si>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</si>
  <si>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</si>
  <si>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</si>
  <si>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</si>
  <si>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</si>
  <si>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</si>
  <si>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</si>
  <si>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</si>
  <si>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</si>
  <si>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</si>
  <si>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</si>
  <si>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</si>
  <si>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</si>
  <si>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</si>
  <si>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</si>
  <si>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</si>
  <si>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</si>
  <si>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</si>
  <si>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</si>
  <si>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</si>
  <si>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</si>
  <si>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</si>
  <si>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</si>
  <si>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</si>
  <si>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</si>
  <si>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</si>
  <si>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</si>
  <si>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</si>
  <si>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</si>
  <si>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</si>
  <si>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</si>
  <si>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</si>
  <si>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</si>
  <si>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</si>
  <si>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</si>
  <si>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</si>
  <si>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</si>
  <si>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</si>
  <si>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</si>
  <si>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</si>
  <si>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</si>
  <si>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</si>
  <si>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</si>
  <si>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</si>
  <si>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</si>
  <si>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</si>
  <si>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</si>
  <si>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</si>
  <si>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</si>
  <si>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</si>
  <si>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</si>
  <si>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</si>
  <si>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</si>
  <si>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</si>
  <si>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</si>
  <si>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</si>
  <si>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</si>
  <si>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</si>
  <si>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</si>
  <si>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</si>
  <si>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</si>
  <si>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</si>
  <si>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</si>
  <si>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</si>
  <si>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</si>
  <si>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</si>
  <si>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</si>
  <si>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</si>
  <si>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</si>
  <si>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</si>
  <si>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</si>
  <si>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</si>
  <si>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</si>
  <si>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</si>
  <si>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</si>
  <si>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</si>
  <si>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</si>
  <si>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</si>
  <si>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</si>
  <si>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</si>
  <si>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</si>
  <si>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</si>
  <si>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</si>
  <si>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</si>
  <si>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</si>
  <si>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</si>
  <si>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</si>
  <si>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</si>
  <si>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</si>
  <si>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</si>
  <si>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</si>
  <si>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</si>
  <si>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</si>
  <si>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</si>
  <si>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</si>
  <si>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</si>
  <si>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</si>
  <si>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</si>
  <si>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</si>
  <si>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</si>
  <si>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</si>
  <si>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</si>
  <si>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</si>
  <si>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</si>
  <si>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</si>
  <si>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</si>
  <si>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</si>
  <si>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</si>
  <si>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</si>
  <si>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</si>
  <si>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</si>
  <si>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</si>
  <si>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</si>
  <si>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</si>
  <si>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</si>
  <si>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</si>
  <si>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</si>
  <si>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</si>
  <si>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</si>
  <si>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</si>
  <si>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</si>
  <si>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</si>
  <si>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</si>
  <si>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</si>
  <si>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</si>
  <si>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</si>
  <si>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</si>
  <si>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</si>
  <si>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</si>
  <si>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</si>
  <si>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</si>
  <si>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</si>
  <si>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</si>
  <si>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</si>
  <si>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</si>
  <si>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</si>
  <si>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</si>
  <si>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</si>
  <si>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</si>
  <si>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</si>
  <si>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</si>
  <si>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</si>
  <si>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</si>
  <si>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</si>
  <si>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</si>
  <si>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</si>
  <si>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</si>
  <si>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</si>
  <si>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</si>
  <si>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</si>
  <si>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</si>
  <si>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</si>
  <si>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</si>
  <si>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</si>
  <si>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</si>
  <si>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</si>
  <si>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</si>
  <si>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</si>
  <si>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</si>
  <si>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</si>
  <si>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</si>
  <si>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</si>
  <si>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</si>
  <si>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</si>
  <si>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</si>
  <si>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</si>
  <si>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</si>
  <si>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</si>
  <si>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</si>
  <si>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</si>
  <si>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</si>
  <si>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</si>
  <si>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</si>
  <si>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</si>
  <si>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</si>
  <si>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</si>
  <si>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</si>
  <si>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</si>
  <si>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</si>
  <si>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</si>
  <si>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</si>
  <si>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</si>
  <si>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</si>
  <si>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</si>
  <si>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</si>
  <si>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</si>
  <si>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</si>
  <si>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</si>
  <si>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</si>
  <si>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</si>
  <si>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</si>
  <si>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</si>
  <si>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</si>
  <si>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</si>
  <si>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</si>
  <si>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</si>
  <si>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</si>
  <si>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</si>
  <si>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</si>
  <si>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</si>
  <si>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</si>
  <si>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</si>
  <si>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</si>
  <si>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</si>
  <si>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</si>
  <si>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</si>
  <si>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</si>
  <si>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</si>
  <si>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</si>
  <si>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</si>
  <si>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</si>
  <si>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</si>
  <si>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</si>
  <si>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</si>
  <si>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</si>
  <si>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</si>
  <si>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</si>
  <si>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</si>
  <si>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</si>
  <si>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</si>
  <si>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</si>
  <si>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</si>
  <si>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</si>
  <si>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</si>
  <si>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</si>
  <si>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</si>
  <si>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</si>
  <si>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</si>
  <si>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</si>
  <si>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</si>
  <si>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</si>
  <si>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</si>
  <si>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</si>
  <si>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</si>
  <si>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</si>
  <si>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</si>
  <si>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</si>
  <si>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</si>
  <si>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</si>
  <si>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</si>
  <si>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</si>
  <si>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</si>
  <si>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</si>
  <si>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</si>
  <si>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</si>
  <si>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</si>
  <si>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</si>
  <si>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</si>
  <si>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</si>
  <si>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</si>
  <si>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</si>
  <si>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</si>
  <si>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</si>
  <si>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</si>
  <si>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</si>
  <si>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</si>
  <si>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</si>
  <si>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</si>
  <si>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</si>
  <si>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</si>
  <si>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</si>
  <si>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</si>
  <si>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</si>
  <si>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</si>
  <si>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</si>
  <si>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</si>
  <si>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</si>
  <si>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</si>
  <si>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</si>
  <si>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</si>
  <si>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</si>
  <si>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</si>
  <si>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</si>
  <si>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</si>
  <si>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</si>
  <si>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</si>
  <si>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</si>
  <si>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</si>
  <si>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</si>
  <si>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</si>
  <si>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</si>
  <si>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</si>
  <si>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</si>
  <si>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</si>
  <si>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</si>
  <si>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</si>
  <si>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</si>
  <si>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</si>
  <si>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</si>
  <si>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</si>
  <si>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</si>
  <si>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</si>
  <si>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</si>
  <si>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</si>
  <si>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</si>
  <si>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</si>
  <si>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</si>
  <si>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</si>
  <si>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</si>
  <si>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</si>
  <si>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</si>
  <si>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</si>
  <si>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</si>
  <si>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</si>
  <si>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</si>
  <si>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</si>
  <si>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</si>
  <si>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</si>
  <si>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</si>
  <si>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</si>
  <si>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</si>
  <si>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</si>
  <si>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</si>
  <si>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</si>
  <si>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</si>
  <si>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</si>
  <si>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</si>
  <si>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</si>
  <si>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</si>
  <si>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</si>
  <si>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</si>
  <si>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</si>
  <si>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</si>
  <si>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</si>
  <si>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</si>
  <si>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</si>
  <si>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</si>
  <si>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</si>
  <si>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</si>
  <si>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</si>
  <si>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</si>
  <si>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</si>
  <si>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</si>
  <si>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</si>
  <si>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</si>
  <si>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</si>
  <si>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</si>
  <si>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</si>
  <si>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</si>
  <si>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</si>
  <si>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</si>
  <si>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</si>
  <si>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</si>
  <si>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</si>
  <si>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</si>
  <si>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</si>
  <si>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</si>
  <si>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</si>
  <si>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</si>
  <si>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</si>
  <si>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</si>
  <si>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</si>
  <si>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</si>
  <si>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</si>
  <si>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</si>
  <si>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</si>
  <si>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</si>
  <si>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</si>
  <si>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</si>
  <si>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</si>
  <si>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</si>
  <si>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</si>
  <si>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</si>
  <si>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</si>
  <si>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</si>
  <si>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</si>
  <si>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</si>
  <si>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</si>
  <si>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</si>
  <si>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</si>
  <si>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</si>
  <si>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</si>
  <si>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</si>
  <si>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</si>
  <si>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</si>
  <si>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</si>
  <si>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</si>
  <si>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</si>
  <si>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</si>
  <si>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</si>
  <si>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</si>
  <si>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</si>
  <si>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</si>
  <si>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</si>
  <si>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</si>
  <si>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</si>
  <si>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</si>
  <si>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</si>
  <si>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</si>
  <si>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</si>
  <si>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</si>
  <si>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</si>
  <si>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</si>
  <si>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</si>
  <si>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</si>
  <si>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</si>
  <si>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</si>
  <si>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</si>
  <si>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</si>
  <si>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</si>
  <si>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</si>
  <si>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</si>
  <si>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</si>
  <si>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</si>
  <si>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</si>
  <si>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</si>
  <si>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</si>
  <si>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</si>
  <si>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</si>
  <si>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</si>
  <si>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</si>
  <si>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</si>
  <si>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</si>
  <si>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</si>
  <si>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</si>
  <si>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</si>
  <si>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</si>
  <si>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</si>
  <si>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</si>
  <si>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</si>
  <si>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</si>
  <si>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</si>
  <si>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</si>
  <si>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</si>
  <si>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</si>
  <si>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</si>
  <si>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</si>
  <si>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</si>
  <si>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</si>
  <si>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</si>
  <si>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</si>
  <si>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</si>
  <si>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</si>
  <si>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</si>
  <si>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</si>
  <si>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</si>
  <si>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</si>
  <si>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</si>
  <si>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</si>
  <si>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</si>
  <si>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</si>
  <si>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</si>
  <si>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</si>
  <si>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</si>
  <si>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</si>
  <si>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</si>
  <si>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</si>
  <si>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</si>
  <si>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</si>
  <si>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</si>
  <si>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</si>
  <si>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</si>
  <si>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</si>
  <si>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</si>
  <si>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</si>
  <si>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</si>
  <si>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</si>
  <si>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</si>
  <si>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</si>
  <si>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</si>
  <si>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</si>
  <si>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</si>
  <si>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</si>
  <si>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</si>
  <si>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</si>
  <si>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</si>
  <si>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</si>
  <si>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</si>
  <si>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</si>
  <si>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</si>
  <si>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</si>
  <si>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</si>
  <si>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</si>
  <si>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</si>
  <si>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</si>
  <si>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</si>
  <si>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</si>
  <si>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</si>
  <si>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</si>
  <si>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</si>
  <si>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</si>
  <si>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</si>
  <si>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</si>
  <si>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</si>
  <si>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</si>
  <si>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</si>
  <si>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</si>
  <si>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</si>
  <si>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</si>
  <si>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</si>
  <si>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</si>
  <si>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</si>
  <si>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</si>
  <si>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</si>
  <si>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</si>
  <si>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</si>
  <si>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</si>
  <si>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</si>
  <si>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</si>
  <si>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</si>
  <si>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</si>
  <si>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</si>
  <si>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</si>
  <si>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</si>
  <si>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</si>
  <si>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</si>
  <si>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</si>
  <si>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</si>
  <si>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</si>
  <si>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</si>
  <si>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</si>
  <si>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</si>
  <si>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</si>
  <si>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</si>
  <si>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</si>
  <si>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</si>
  <si>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</si>
  <si>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</si>
  <si>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</si>
  <si>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</si>
  <si>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</si>
  <si>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</si>
  <si>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</si>
  <si>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</si>
  <si>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</si>
  <si>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</si>
  <si>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</si>
  <si>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</si>
  <si>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</si>
  <si>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</si>
  <si>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</si>
  <si>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</si>
  <si>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</si>
  <si>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</si>
  <si>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</si>
  <si>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</si>
  <si>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</si>
  <si>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</si>
  <si>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</si>
  <si>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</si>
  <si>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</si>
  <si>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</si>
  <si>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</si>
  <si>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</si>
  <si>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</si>
  <si>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</si>
  <si>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</si>
  <si>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</si>
  <si>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</si>
  <si>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</si>
  <si>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</si>
  <si>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</si>
  <si>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</si>
  <si>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</si>
  <si>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</si>
  <si>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</si>
  <si>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</si>
  <si>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</si>
  <si>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</si>
  <si>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</si>
  <si>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</si>
  <si>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</si>
  <si>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</si>
  <si>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</si>
  <si>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</si>
  <si>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</si>
  <si>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</si>
  <si>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</si>
  <si>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</si>
  <si>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</si>
  <si>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</si>
  <si>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</si>
  <si>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</si>
  <si>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</si>
  <si>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</si>
  <si>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</si>
  <si>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</si>
  <si>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</si>
  <si>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</si>
  <si>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</si>
  <si>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</si>
  <si>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</si>
  <si>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</si>
  <si>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</si>
  <si>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</si>
  <si>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</si>
  <si>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</si>
  <si>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</si>
  <si>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</si>
  <si>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</si>
  <si>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</si>
  <si>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</si>
  <si>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</si>
  <si>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</si>
  <si>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</si>
  <si>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</si>
  <si>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</si>
  <si>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</si>
  <si>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</si>
  <si>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</si>
  <si>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</si>
  <si>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</si>
  <si>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</si>
  <si>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</si>
  <si>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</si>
  <si>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</si>
  <si>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</si>
  <si>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</si>
  <si>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</si>
  <si>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</si>
  <si>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</si>
  <si>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</si>
  <si>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</si>
  <si>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</si>
  <si>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</si>
  <si>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</si>
  <si>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</si>
  <si>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</si>
  <si>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</si>
  <si>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</si>
  <si>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</si>
  <si>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</si>
  <si>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</si>
  <si>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</si>
  <si>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</si>
  <si>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</si>
  <si>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</si>
  <si>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</si>
  <si>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</si>
  <si>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</si>
  <si>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</si>
  <si>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</si>
  <si>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</si>
  <si>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</si>
  <si>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</si>
  <si>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</si>
  <si>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</si>
  <si>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</si>
  <si>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</si>
  <si>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</si>
  <si>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</si>
  <si>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</si>
  <si>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</si>
  <si>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</si>
  <si>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</si>
  <si>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</si>
  <si>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</si>
  <si>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</si>
  <si>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</si>
  <si>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</si>
  <si>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</si>
  <si>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</si>
  <si>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</si>
  <si>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</si>
  <si>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</si>
  <si>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</si>
  <si>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</si>
  <si>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</si>
  <si>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</si>
  <si>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</si>
  <si>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</si>
  <si>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</si>
  <si>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</si>
  <si>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</si>
  <si>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</si>
  <si>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</si>
  <si>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</si>
  <si>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</si>
  <si>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</si>
  <si>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</si>
  <si>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</si>
  <si>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</si>
  <si>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</si>
  <si>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</si>
  <si>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</si>
  <si>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</si>
  <si>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</si>
  <si>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</si>
  <si>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</si>
  <si>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</si>
  <si>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</si>
  <si>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</si>
  <si>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</si>
  <si>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</si>
  <si>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</si>
  <si>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</si>
  <si>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</si>
  <si>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</si>
  <si>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</si>
  <si>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</si>
  <si>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</si>
  <si>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</si>
  <si>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</si>
  <si>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</si>
  <si>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</si>
  <si>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</si>
  <si>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</si>
  <si>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</si>
  <si>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</si>
  <si>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</si>
  <si>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</si>
  <si>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</si>
  <si>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</si>
  <si>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</si>
  <si>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</si>
  <si>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</si>
  <si>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</si>
  <si>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</si>
  <si>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</si>
  <si>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</si>
  <si>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</si>
  <si>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</si>
  <si>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</si>
  <si>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</si>
  <si>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</si>
  <si>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</si>
  <si>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</si>
  <si>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</si>
  <si>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</si>
  <si>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</si>
  <si>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</si>
  <si>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</si>
  <si>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</si>
  <si>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</si>
  <si>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</si>
  <si>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</si>
  <si>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</si>
  <si>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</si>
  <si>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</si>
  <si>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</si>
  <si>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</si>
  <si>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</si>
  <si>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</si>
  <si>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</si>
  <si>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</si>
  <si>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</si>
  <si>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</si>
  <si>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</si>
  <si>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</si>
  <si>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</si>
  <si>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</si>
  <si>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</si>
  <si>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</si>
  <si>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</si>
  <si>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</si>
  <si>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</si>
  <si>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</si>
  <si>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</si>
  <si>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</si>
  <si>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</si>
  <si>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</si>
  <si>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</si>
  <si>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</si>
  <si>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</si>
  <si>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</si>
  <si>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</si>
  <si>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</si>
  <si>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</si>
  <si>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</si>
  <si>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</si>
  <si>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</si>
  <si>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</si>
  <si>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</si>
  <si>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</si>
  <si>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</si>
  <si>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</si>
  <si>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</si>
  <si>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</si>
  <si>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</si>
  <si>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</si>
  <si>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</si>
  <si>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</si>
  <si>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</si>
  <si>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</si>
  <si>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</si>
  <si>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</si>
  <si>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</si>
  <si>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</si>
  <si>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</si>
  <si>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</si>
  <si>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</si>
  <si>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</si>
  <si>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</si>
  <si>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</si>
  <si>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</si>
  <si>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</si>
  <si>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</si>
  <si>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</si>
  <si>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</si>
  <si>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</si>
  <si>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</si>
  <si>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</si>
  <si>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</si>
  <si>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</si>
  <si>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</si>
  <si>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</si>
  <si>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</si>
  <si>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</si>
  <si>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</si>
  <si>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</si>
  <si>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</si>
  <si>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</si>
  <si>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</si>
  <si>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</si>
  <si>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</si>
  <si>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</si>
  <si>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</si>
  <si>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</si>
  <si>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</si>
  <si>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</si>
  <si>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</si>
  <si>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</si>
  <si>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</si>
  <si>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</si>
  <si>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</si>
  <si>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</si>
  <si>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</si>
  <si>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</si>
  <si>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</si>
  <si>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</si>
  <si>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</si>
  <si>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</si>
  <si>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</si>
  <si>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</si>
  <si>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</si>
  <si>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</si>
  <si>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</si>
  <si>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</si>
  <si>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</si>
  <si>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</si>
  <si>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</si>
  <si>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</si>
  <si>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</si>
  <si>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</si>
  <si>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</si>
  <si>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</si>
  <si>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</si>
  <si>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</si>
  <si>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</si>
  <si>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</si>
  <si>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</si>
  <si>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</si>
  <si>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</si>
  <si>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</si>
  <si>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</si>
  <si>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</si>
  <si>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</si>
  <si>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</si>
  <si>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</si>
  <si>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</si>
  <si>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</si>
  <si>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</si>
  <si>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</si>
  <si>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</si>
  <si>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</si>
  <si>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</si>
  <si>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</si>
  <si>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</si>
  <si>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</si>
  <si>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</si>
  <si>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</si>
  <si>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</si>
  <si>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</si>
  <si>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</si>
  <si>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</si>
  <si>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</si>
  <si>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</si>
  <si>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</si>
  <si>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</si>
  <si>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</si>
  <si>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</si>
  <si>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</si>
  <si>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</si>
  <si>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</si>
  <si>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</si>
  <si>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</si>
  <si>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</si>
  <si>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</si>
  <si>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</si>
  <si>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</si>
  <si>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</si>
  <si>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</si>
  <si>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</si>
  <si>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</si>
  <si>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</si>
  <si>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</si>
  <si>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</si>
  <si>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</si>
  <si>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</si>
  <si>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</si>
  <si>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</si>
  <si>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</si>
  <si>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</si>
  <si>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</si>
  <si>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</si>
  <si>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</si>
  <si>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</si>
  <si>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</si>
  <si>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</si>
  <si>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</si>
  <si>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</si>
  <si>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</si>
  <si>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</si>
  <si>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</si>
  <si>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</si>
  <si>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</si>
  <si>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</si>
  <si>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</si>
  <si>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</si>
  <si>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</si>
  <si>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</si>
  <si>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</si>
  <si>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</si>
  <si>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</si>
  <si>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</si>
  <si>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</si>
  <si>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</si>
  <si>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</si>
  <si>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</si>
  <si>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</si>
  <si>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</si>
  <si>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</si>
  <si>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</si>
  <si>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</si>
  <si>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</si>
  <si>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</si>
  <si>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</si>
  <si>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</si>
  <si>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</si>
  <si>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</si>
  <si>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</si>
  <si>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</si>
  <si>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</si>
  <si>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</si>
  <si>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</si>
  <si>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</si>
  <si>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</si>
  <si>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</si>
  <si>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</si>
  <si>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</si>
  <si>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</si>
  <si>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</si>
  <si>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</si>
  <si>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</si>
  <si>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</si>
  <si>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</si>
  <si>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</si>
  <si>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</si>
  <si>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</si>
  <si>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</si>
  <si>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</si>
  <si>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</si>
  <si>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</si>
  <si>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</si>
  <si>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</si>
  <si>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</si>
  <si>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</si>
  <si>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</si>
  <si>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</si>
  <si>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</si>
  <si>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</si>
  <si>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</si>
  <si>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</si>
  <si>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</si>
  <si>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</si>
  <si>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</si>
  <si>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</si>
  <si>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</si>
  <si>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</si>
  <si>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</si>
  <si>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</si>
  <si>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</si>
  <si>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</si>
  <si>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</si>
  <si>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</si>
  <si>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</si>
  <si>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</si>
  <si>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</si>
  <si>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</si>
  <si>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</si>
  <si>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</si>
  <si>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</si>
  <si>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</si>
  <si>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</si>
  <si>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</si>
  <si>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</si>
  <si>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</si>
  <si>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</si>
  <si>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</si>
  <si>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</si>
  <si>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</si>
  <si>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</si>
  <si>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</si>
  <si>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</si>
  <si>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</si>
  <si>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</si>
  <si>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</si>
  <si>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</si>
  <si>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</si>
  <si>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</si>
  <si>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</si>
  <si>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</si>
  <si>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</si>
  <si>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</si>
  <si>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</si>
  <si>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</si>
  <si>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</si>
  <si>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</si>
  <si>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</si>
  <si>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</si>
  <si>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</si>
  <si>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</si>
  <si>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</si>
  <si>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</si>
  <si>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</si>
  <si>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</si>
  <si>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</si>
  <si>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</si>
  <si>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</si>
  <si>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</si>
  <si>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</si>
  <si>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</si>
  <si>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</si>
  <si>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</si>
  <si>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</si>
  <si>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</si>
  <si>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</si>
  <si>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</si>
  <si>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</si>
  <si>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</si>
  <si>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</si>
  <si>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</si>
  <si>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</si>
  <si>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</si>
  <si>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</si>
  <si>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</si>
  <si>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</si>
  <si>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</si>
  <si>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</si>
  <si>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</si>
  <si>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</si>
  <si>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</si>
  <si>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</si>
  <si>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</si>
  <si>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</si>
  <si>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</si>
  <si>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</si>
  <si>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</si>
  <si>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</si>
  <si>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</si>
  <si>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</si>
  <si>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</si>
  <si>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</si>
  <si>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</si>
  <si>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</si>
  <si>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</si>
  <si>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</si>
  <si>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</si>
  <si>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</si>
  <si>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</si>
  <si>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</si>
  <si>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</si>
  <si>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</si>
  <si>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</si>
  <si>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</si>
  <si>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</si>
  <si>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</si>
  <si>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</si>
  <si>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</si>
  <si>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</si>
  <si>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</si>
  <si>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</si>
  <si>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</si>
  <si>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</si>
  <si>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</si>
  <si>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</si>
  <si>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</si>
  <si>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</si>
  <si>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</si>
  <si>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</si>
  <si>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</si>
  <si>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</si>
  <si>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</si>
  <si>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</si>
  <si>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</si>
  <si>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</si>
  <si>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</si>
  <si>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</si>
  <si>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</si>
  <si>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</si>
  <si>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</si>
  <si>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</si>
  <si>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</si>
  <si>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</si>
  <si>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</si>
  <si>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</si>
  <si>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</si>
  <si>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</si>
  <si>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</si>
  <si>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</si>
  <si>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</si>
  <si>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</si>
  <si>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</si>
  <si>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</si>
  <si>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</si>
  <si>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</si>
  <si>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</si>
  <si>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</si>
  <si>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</si>
  <si>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</si>
  <si>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</si>
  <si>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</si>
  <si>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</si>
  <si>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</si>
  <si>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</si>
  <si>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</si>
  <si>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</si>
  <si>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</si>
  <si>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</si>
  <si>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</si>
  <si>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</si>
  <si>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</si>
  <si>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</si>
  <si>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</si>
  <si>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</si>
  <si>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</si>
  <si>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</si>
  <si>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</si>
  <si>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</si>
  <si>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</si>
  <si>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</si>
  <si>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</si>
  <si>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</si>
  <si>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</si>
  <si>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</si>
  <si>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</si>
  <si>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</si>
  <si>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</si>
  <si>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</si>
  <si>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</si>
  <si>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</si>
  <si>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</si>
  <si>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</si>
  <si>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</si>
  <si>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</si>
  <si>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</si>
  <si>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</si>
  <si>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</si>
  <si>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</si>
  <si>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</si>
  <si>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</si>
  <si>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</si>
  <si>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</si>
  <si>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</si>
  <si>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</si>
  <si>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</si>
  <si>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</si>
  <si>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</si>
  <si>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</si>
  <si>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</si>
  <si>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</si>
  <si>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</si>
  <si>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</si>
  <si>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</si>
  <si>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</si>
  <si>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</si>
  <si>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</si>
  <si>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</si>
  <si>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</si>
  <si>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</si>
  <si>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</si>
  <si>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</si>
  <si>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</si>
  <si>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</si>
  <si>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</si>
  <si>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</si>
  <si>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</si>
  <si>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</si>
  <si>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</si>
  <si>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</si>
  <si>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</si>
  <si>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</si>
  <si>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</si>
  <si>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</si>
  <si>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</si>
  <si>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</si>
  <si>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</si>
  <si>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</si>
  <si>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</si>
  <si>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</si>
  <si>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</si>
  <si>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</si>
  <si>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</si>
  <si>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</si>
  <si>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</si>
  <si>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</si>
  <si>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</si>
  <si>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</si>
  <si>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</si>
  <si>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</si>
  <si>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</si>
  <si>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</si>
  <si>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</si>
  <si>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</si>
  <si>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</si>
  <si>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</si>
  <si>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</si>
  <si>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</si>
  <si>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</si>
  <si>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</si>
  <si>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</si>
  <si>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</si>
  <si>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</si>
  <si>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</si>
  <si>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</si>
  <si>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</si>
  <si>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</si>
  <si>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</si>
  <si>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</si>
  <si>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</si>
  <si>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</si>
  <si>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</si>
  <si>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</si>
  <si>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</si>
  <si>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</si>
  <si>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</si>
  <si>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</si>
  <si>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</si>
  <si>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</si>
  <si>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</si>
  <si>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</si>
  <si>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</si>
  <si>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</si>
  <si>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</si>
  <si>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</si>
  <si>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</si>
  <si>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</si>
  <si>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</si>
  <si>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</si>
  <si>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</si>
  <si>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</si>
  <si>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</si>
  <si>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</si>
  <si>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</si>
  <si>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</si>
  <si>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</si>
  <si>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</si>
  <si>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</si>
  <si>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</si>
  <si>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</si>
  <si>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</si>
  <si>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</si>
  <si>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</si>
  <si>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</si>
  <si>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</si>
  <si>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</si>
  <si>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</si>
  <si>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</si>
  <si>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</si>
  <si>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</si>
  <si>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</si>
  <si>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</si>
  <si>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</si>
  <si>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</si>
  <si>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</si>
  <si>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</si>
  <si>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</si>
  <si>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</si>
  <si>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</si>
  <si>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</si>
  <si>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</si>
  <si>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</si>
  <si>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</si>
  <si>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</si>
  <si>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</si>
  <si>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</si>
  <si>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</si>
  <si>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</si>
  <si>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</si>
  <si>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</si>
  <si>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</si>
  <si>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</si>
  <si>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</si>
  <si>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</si>
  <si>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</si>
  <si>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</si>
  <si>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</si>
  <si>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</si>
  <si>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</si>
  <si>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</si>
  <si>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</si>
  <si>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</si>
  <si>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</si>
  <si>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</si>
  <si>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</si>
  <si>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</si>
  <si>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</si>
  <si>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</si>
  <si>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</si>
  <si>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</si>
  <si>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</si>
  <si>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</si>
  <si>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</si>
  <si>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</si>
  <si>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</si>
  <si>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</si>
  <si>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</si>
  <si>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</si>
  <si>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</si>
  <si>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</si>
  <si>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</si>
  <si>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</si>
  <si>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</si>
  <si>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</si>
  <si>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</si>
  <si>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</si>
  <si>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</si>
  <si>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</si>
  <si>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</si>
  <si>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</si>
  <si>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</si>
  <si>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</si>
  <si>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</si>
  <si>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</si>
  <si>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</si>
  <si>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</si>
  <si>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</si>
  <si>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</si>
  <si>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</si>
  <si>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</si>
  <si>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</si>
  <si>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</si>
  <si>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</si>
  <si>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</si>
  <si>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</si>
  <si>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</si>
  <si>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</si>
  <si>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</si>
  <si>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</si>
  <si>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</si>
  <si>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</si>
  <si>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</si>
  <si>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</si>
  <si>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</si>
  <si>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</si>
  <si>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</si>
  <si>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</si>
  <si>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</si>
  <si>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</si>
  <si>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</si>
  <si>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</si>
  <si>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</si>
  <si>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</si>
  <si>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</si>
  <si>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</si>
  <si>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</si>
  <si>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</si>
  <si>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</si>
  <si>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</si>
  <si>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</si>
  <si>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</si>
  <si>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</si>
  <si>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</si>
  <si>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</si>
  <si>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</si>
  <si>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</si>
  <si>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</si>
  <si>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</si>
  <si>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</si>
  <si>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</si>
  <si>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</si>
  <si>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</si>
  <si>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</si>
  <si>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</si>
  <si>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</si>
  <si>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</si>
  <si>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</si>
  <si>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</si>
  <si>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</si>
  <si>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</si>
  <si>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</si>
  <si>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</si>
  <si>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</si>
  <si>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</si>
  <si>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</si>
  <si>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</si>
  <si>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</si>
  <si>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</si>
  <si>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</si>
  <si>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</si>
  <si>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</si>
  <si>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</si>
  <si>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</si>
  <si>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</si>
  <si>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</si>
  <si>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</si>
  <si>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</si>
  <si>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</si>
  <si>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</si>
  <si>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</si>
  <si>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</si>
  <si>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</si>
  <si>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</si>
  <si>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</si>
  <si>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</si>
  <si>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</si>
  <si>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</si>
  <si>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</si>
  <si>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</si>
  <si>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</si>
  <si>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</si>
  <si>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</si>
  <si>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</si>
  <si>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</si>
  <si>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</si>
  <si>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</si>
  <si>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</si>
  <si>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</si>
  <si>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</si>
  <si>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</si>
  <si>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</si>
  <si>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</si>
  <si>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</si>
  <si>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</si>
  <si>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</si>
  <si>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</si>
  <si>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</si>
  <si>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</si>
  <si>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</si>
  <si>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</si>
  <si>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</si>
  <si>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</si>
  <si>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</si>
  <si>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</si>
  <si>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</si>
  <si>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</si>
  <si>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</si>
  <si>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</si>
  <si>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</si>
  <si>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</si>
  <si>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</si>
  <si>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</si>
  <si>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</si>
  <si>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</si>
  <si>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</si>
  <si>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</si>
  <si>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</si>
  <si>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</si>
  <si>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</si>
  <si>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</si>
  <si>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</si>
  <si>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</si>
  <si>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</si>
  <si>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</si>
  <si>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</si>
  <si>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</si>
  <si>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</si>
  <si>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</si>
  <si>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</si>
  <si>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</si>
  <si>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</si>
  <si>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</si>
  <si>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</si>
  <si>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</si>
  <si>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</si>
  <si>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</si>
  <si>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</si>
  <si>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</si>
  <si>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</si>
  <si>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</si>
  <si>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</si>
  <si>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</si>
  <si>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</si>
  <si>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</si>
  <si>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</si>
  <si>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</si>
  <si>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</si>
  <si>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</si>
  <si>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</si>
  <si>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</si>
  <si>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</si>
  <si>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</si>
  <si>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</si>
  <si>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</si>
  <si>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</si>
  <si>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</si>
  <si>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</si>
  <si>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</si>
  <si>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</si>
  <si>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</si>
  <si>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</si>
  <si>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</si>
  <si>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</si>
  <si>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</si>
  <si>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</si>
  <si>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</si>
  <si>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</si>
  <si>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</si>
  <si>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</si>
  <si>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</si>
  <si>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</si>
  <si>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</si>
  <si>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</si>
  <si>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</si>
  <si>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</si>
  <si>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</si>
  <si>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</si>
  <si>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</si>
  <si>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</si>
  <si>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</si>
  <si>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</si>
  <si>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</si>
  <si>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</si>
  <si>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</si>
  <si>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</si>
  <si>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</si>
  <si>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</si>
  <si>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</si>
  <si>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</si>
  <si>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</si>
  <si>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</si>
  <si>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</si>
  <si>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</si>
  <si>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</si>
  <si>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</si>
  <si>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</si>
  <si>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</si>
  <si>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</si>
  <si>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</si>
  <si>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</si>
  <si>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</si>
  <si>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</si>
  <si>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</si>
  <si>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</si>
  <si>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</si>
  <si>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</si>
  <si>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</si>
  <si>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</si>
  <si>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</si>
  <si>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</si>
  <si>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</si>
  <si>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</si>
  <si>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</si>
  <si>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</si>
  <si>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</si>
  <si>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</si>
  <si>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</si>
  <si>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</si>
  <si>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</si>
  <si>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</si>
  <si>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</si>
  <si>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</si>
  <si>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</si>
  <si>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</si>
  <si>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</si>
  <si>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</si>
  <si>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</si>
  <si>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</si>
  <si>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</si>
  <si>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</si>
  <si>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</si>
  <si>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</si>
  <si>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</si>
  <si>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</si>
  <si>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</si>
  <si>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</si>
  <si>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</si>
  <si>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</si>
  <si>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</si>
  <si>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</si>
  <si>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</si>
  <si>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</si>
  <si>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</si>
  <si>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</si>
  <si>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</si>
  <si>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</si>
  <si>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</si>
  <si>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</si>
  <si>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</si>
  <si>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</si>
  <si>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</si>
  <si>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</si>
  <si>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</si>
  <si>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</si>
  <si>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</si>
  <si>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</si>
  <si>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</si>
  <si>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</si>
  <si>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</si>
  <si>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</si>
  <si>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</si>
  <si>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</si>
  <si>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</si>
  <si>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</si>
  <si>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</si>
  <si>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</si>
  <si>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</si>
  <si>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</si>
  <si>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</si>
  <si>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</si>
  <si>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</si>
  <si>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</si>
  <si>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</si>
  <si>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</si>
  <si>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</si>
  <si>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</si>
  <si>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</si>
  <si>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</si>
  <si>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</si>
  <si>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</si>
  <si>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</si>
  <si>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</si>
  <si>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</si>
  <si>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</si>
  <si>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</si>
  <si>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</si>
  <si>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</si>
  <si>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</si>
  <si>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</si>
  <si>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</si>
  <si>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</si>
  <si>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</si>
  <si>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</si>
  <si>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</si>
  <si>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</si>
  <si>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</si>
  <si>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</si>
  <si>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</si>
  <si>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</si>
  <si>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</si>
  <si>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</si>
  <si>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</si>
  <si>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</si>
  <si>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</si>
  <si>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</si>
  <si>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</si>
  <si>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</si>
  <si>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</si>
  <si>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</si>
  <si>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</si>
  <si>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</si>
  <si>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</si>
  <si>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</si>
  <si>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</si>
  <si>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</si>
  <si>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</si>
  <si>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</si>
  <si>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</si>
  <si>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</si>
  <si>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</si>
  <si>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</si>
  <si>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</si>
  <si>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</si>
  <si>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</si>
  <si>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</si>
  <si>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</si>
  <si>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</si>
  <si>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</si>
  <si>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</si>
  <si>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</si>
  <si>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</si>
  <si>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</si>
  <si>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</si>
  <si>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</si>
  <si>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</si>
  <si>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</si>
  <si>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</si>
  <si>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</si>
  <si>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</si>
  <si>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</si>
  <si>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</si>
  <si>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</si>
  <si>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</si>
  <si>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</si>
  <si>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</si>
  <si>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</si>
  <si>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</si>
  <si>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</si>
  <si>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</si>
  <si>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</si>
  <si>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</si>
  <si>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</si>
  <si>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</si>
  <si>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</si>
  <si>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</si>
  <si>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</si>
  <si>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</si>
  <si>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</si>
  <si>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</si>
  <si>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</si>
  <si>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</si>
  <si>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</si>
  <si>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</si>
  <si>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</si>
  <si>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</si>
  <si>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</si>
  <si>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</si>
  <si>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</si>
  <si>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</si>
  <si>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</si>
  <si>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</si>
  <si>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</si>
  <si>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</si>
  <si>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</si>
  <si>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</si>
  <si>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</si>
  <si>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</si>
  <si>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</si>
  <si>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</si>
  <si>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</si>
  <si>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</si>
  <si>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</si>
  <si>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</si>
  <si>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</si>
  <si>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</si>
  <si>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</si>
  <si>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</si>
  <si>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</si>
  <si>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</si>
  <si>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</si>
  <si>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</si>
  <si>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</si>
  <si>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</si>
  <si>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</si>
  <si>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</si>
  <si>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</si>
  <si>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</si>
  <si>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</si>
  <si>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</si>
  <si>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</si>
  <si>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</si>
  <si>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</si>
  <si>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</si>
  <si>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</si>
  <si>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</si>
  <si>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</si>
  <si>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</si>
  <si>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</si>
  <si>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</si>
  <si>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</si>
  <si>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</si>
  <si>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</si>
  <si>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</si>
  <si>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</si>
  <si>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</si>
  <si>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</si>
  <si>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</si>
  <si>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</si>
  <si>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</si>
  <si>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</si>
  <si>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</si>
  <si>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</si>
  <si>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</si>
  <si>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</si>
  <si>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</si>
  <si>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</si>
  <si>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</si>
  <si>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</si>
  <si>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</si>
  <si>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</si>
  <si>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</si>
  <si>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</si>
  <si>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</si>
  <si>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</si>
  <si>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</si>
  <si>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</si>
  <si>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</si>
  <si>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</si>
  <si>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</si>
  <si>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</si>
  <si>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</si>
  <si>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</si>
  <si>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</si>
  <si>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</si>
  <si>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</si>
  <si>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</si>
  <si>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</si>
  <si>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</si>
  <si>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</si>
  <si>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</si>
  <si>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</si>
  <si>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</si>
  <si>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</si>
  <si>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</si>
  <si>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</si>
  <si>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</si>
  <si>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</si>
  <si>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</si>
  <si>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</si>
  <si>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</si>
  <si>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</si>
  <si>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</si>
  <si>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</si>
  <si>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</si>
  <si>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</si>
  <si>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</si>
  <si>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</si>
  <si>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</si>
  <si>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</si>
  <si>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</si>
  <si>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</si>
  <si>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</si>
  <si>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</si>
  <si>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</si>
  <si>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</si>
  <si>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</si>
  <si>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</si>
  <si>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</si>
  <si>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</si>
  <si>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</si>
  <si>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</si>
  <si>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</si>
  <si>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</si>
  <si>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</si>
  <si>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</si>
  <si>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</si>
  <si>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</si>
  <si>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</si>
  <si>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</si>
  <si>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</si>
  <si>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</si>
  <si>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</si>
  <si>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</si>
  <si>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</si>
  <si>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</si>
  <si>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</si>
  <si>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</si>
  <si>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</si>
  <si>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</si>
  <si>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</si>
  <si>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</si>
  <si>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</si>
  <si>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</si>
  <si>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</si>
  <si>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</si>
  <si>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</si>
  <si>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</si>
  <si>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</si>
  <si>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</si>
  <si>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</si>
  <si>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</si>
  <si>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</si>
  <si>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</si>
  <si>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</si>
  <si>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</si>
  <si>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</si>
  <si>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</si>
  <si>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</si>
  <si>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</si>
  <si>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</si>
  <si>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</si>
  <si>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</si>
  <si>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</si>
  <si>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</si>
  <si>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</si>
  <si>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</si>
  <si>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</si>
  <si>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</si>
  <si>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</si>
  <si>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</si>
  <si>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</si>
  <si>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</si>
  <si>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</si>
  <si>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</si>
  <si>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</si>
  <si>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</si>
  <si>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</si>
  <si>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</si>
  <si>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</si>
  <si>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</si>
  <si>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</si>
  <si>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</si>
  <si>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</si>
  <si>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</si>
  <si>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</si>
  <si>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</si>
  <si>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</si>
  <si>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</si>
  <si>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</si>
  <si>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</si>
  <si>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</si>
  <si>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</si>
  <si>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</si>
  <si>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</si>
  <si>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</si>
  <si>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</si>
  <si>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</si>
  <si>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</si>
  <si>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</si>
  <si>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</si>
  <si>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</si>
  <si>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</si>
  <si>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</si>
  <si>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</si>
  <si>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</si>
  <si>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</si>
  <si>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</si>
  <si>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</si>
  <si>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</si>
  <si>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</si>
  <si>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</si>
  <si>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</si>
  <si>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</si>
  <si>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</si>
  <si>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</si>
  <si>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</si>
  <si>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</si>
  <si>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</si>
  <si>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</si>
  <si>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</si>
  <si>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</si>
  <si>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</si>
  <si>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</si>
  <si>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</si>
  <si>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</si>
  <si>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</si>
  <si>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</si>
  <si>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</si>
  <si>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</si>
  <si>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</si>
  <si>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</si>
  <si>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</si>
  <si>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</si>
  <si>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</si>
  <si>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</si>
  <si>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</si>
  <si>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</si>
  <si>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</si>
  <si>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</si>
  <si>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</si>
  <si>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</si>
  <si>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</si>
  <si>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</si>
  <si>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</si>
  <si>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</si>
  <si>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</si>
  <si>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</si>
  <si>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</si>
  <si>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</si>
  <si>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</si>
  <si>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</si>
  <si>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</si>
  <si>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</si>
  <si>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</si>
  <si>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</si>
  <si>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</si>
  <si>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</si>
  <si>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</si>
  <si>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</si>
  <si>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</si>
  <si>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</si>
  <si>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</si>
  <si>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</si>
  <si>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</si>
  <si>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</si>
  <si>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</si>
  <si>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</si>
  <si>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</si>
  <si>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</si>
  <si>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</si>
  <si>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</si>
  <si>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</si>
  <si>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</si>
  <si>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</si>
  <si>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</si>
  <si>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</si>
  <si>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</si>
  <si>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</si>
  <si>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</si>
  <si>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</si>
  <si>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</si>
  <si>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</si>
  <si>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</si>
  <si>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</si>
  <si>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</si>
  <si>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</si>
  <si>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</si>
  <si>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</si>
  <si>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</si>
  <si>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</si>
  <si>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</si>
  <si>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</si>
  <si>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</si>
  <si>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</si>
  <si>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</si>
  <si>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</si>
  <si>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</si>
  <si>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</si>
  <si>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</si>
  <si>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</si>
  <si>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</si>
  <si>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</si>
  <si>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</si>
  <si>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</si>
  <si>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</si>
  <si>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</si>
  <si>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</si>
  <si>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</si>
  <si>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</si>
  <si>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</si>
  <si>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</si>
  <si>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</si>
  <si>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</si>
  <si>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</si>
  <si>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</si>
  <si>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</si>
  <si>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</si>
  <si>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</si>
  <si>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</si>
  <si>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</si>
  <si>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</si>
  <si>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</si>
  <si>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</si>
  <si>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</si>
  <si>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</si>
  <si>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</si>
  <si>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</si>
  <si>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</si>
  <si>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</si>
  <si>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</si>
  <si>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</si>
  <si>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</si>
  <si>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</si>
  <si>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</si>
  <si>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</si>
  <si>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</si>
  <si>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</si>
  <si>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</si>
  <si>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</si>
  <si>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</si>
  <si>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</si>
  <si>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</si>
  <si>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</si>
  <si>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</si>
  <si>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</si>
  <si>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</si>
  <si>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</si>
  <si>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</si>
  <si>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</si>
  <si>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</si>
  <si>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</si>
  <si>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</si>
  <si>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</si>
  <si>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</si>
  <si>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</si>
  <si>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</si>
  <si>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</si>
  <si>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</si>
  <si>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</si>
  <si>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</si>
  <si>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</si>
  <si>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</si>
  <si>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</si>
  <si>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</si>
  <si>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</si>
  <si>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</si>
  <si>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</si>
  <si>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</si>
  <si>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</si>
  <si>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</si>
  <si>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</si>
  <si>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</si>
  <si>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</si>
  <si>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</si>
  <si>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</si>
  <si>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</si>
  <si>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</si>
  <si>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</si>
  <si>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</si>
  <si>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</si>
  <si>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</si>
  <si>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</si>
  <si>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</si>
  <si>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</si>
  <si>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</si>
  <si>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</si>
  <si>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</si>
  <si>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</si>
  <si>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</si>
  <si>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</si>
  <si>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</si>
  <si>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</si>
  <si>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</si>
  <si>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</si>
  <si>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</si>
  <si>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</si>
  <si>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</si>
  <si>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</si>
  <si>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</si>
  <si>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</si>
  <si>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</si>
  <si>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</si>
  <si>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</si>
  <si>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</si>
  <si>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</si>
  <si>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</si>
  <si>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</si>
  <si>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</si>
  <si>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</si>
  <si>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</si>
  <si>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</si>
  <si>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</si>
  <si>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</si>
  <si>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</si>
  <si>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</si>
  <si>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</si>
  <si>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</si>
  <si>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</si>
  <si>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</si>
  <si>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</si>
  <si>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</si>
  <si>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</si>
  <si>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</si>
  <si>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</si>
  <si>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</si>
  <si>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</si>
  <si>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</si>
  <si>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</si>
  <si>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</si>
  <si>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</si>
  <si>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</si>
  <si>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</si>
  <si>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</si>
  <si>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</si>
  <si>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</si>
  <si>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</si>
  <si>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</si>
  <si>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</si>
  <si>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</si>
  <si>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</si>
  <si>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</si>
  <si>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</si>
  <si>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</si>
  <si>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</si>
  <si>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</si>
  <si>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</si>
  <si>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</si>
  <si>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</si>
  <si>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</si>
  <si>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</si>
  <si>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</si>
  <si>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</si>
  <si>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</si>
  <si>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</si>
  <si>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</si>
  <si>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</si>
  <si>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</si>
  <si>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</si>
  <si>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</si>
  <si>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</si>
  <si>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</si>
  <si>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</si>
  <si>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</si>
  <si>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</si>
  <si>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</si>
  <si>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</si>
  <si>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</si>
  <si>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</si>
  <si>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</si>
  <si>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</si>
  <si>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</si>
  <si>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</si>
  <si>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</si>
  <si>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</si>
  <si>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</si>
  <si>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</si>
  <si>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</si>
  <si>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</si>
  <si>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</si>
  <si>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</si>
  <si>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</si>
  <si>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</si>
  <si>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</si>
  <si>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</si>
  <si>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</si>
  <si>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</si>
  <si>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</si>
  <si>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</si>
  <si>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</si>
  <si>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</si>
  <si>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</si>
  <si>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</si>
  <si>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</si>
  <si>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</si>
  <si>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</si>
  <si>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</si>
  <si>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</si>
  <si>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</si>
  <si>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</si>
  <si>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</si>
  <si>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</si>
  <si>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</si>
  <si>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</si>
  <si>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</si>
  <si>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</si>
  <si>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</si>
  <si>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</si>
  <si>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</si>
  <si>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</si>
  <si>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</si>
  <si>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</si>
  <si>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</si>
  <si>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</si>
  <si>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</si>
  <si>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</si>
  <si>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</si>
  <si>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</si>
  <si>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</si>
  <si>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</si>
  <si>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</si>
  <si>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</si>
  <si>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</si>
  <si>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</si>
  <si>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</si>
  <si>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</si>
  <si>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</si>
  <si>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</si>
  <si>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</si>
  <si>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</si>
  <si>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</si>
  <si>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</si>
  <si>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</si>
  <si>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</si>
  <si>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</si>
  <si>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</si>
  <si>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</si>
  <si>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</si>
  <si>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</si>
  <si>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</si>
  <si>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</si>
  <si>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</si>
  <si>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</si>
  <si>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</si>
  <si>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</si>
  <si>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</si>
  <si>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</si>
  <si>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</si>
  <si>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</si>
  <si>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</si>
  <si>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</si>
  <si>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</si>
  <si>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</si>
  <si>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</si>
  <si>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</si>
  <si>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</si>
  <si>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</si>
  <si>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</si>
  <si>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</si>
  <si>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</si>
  <si>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</si>
  <si>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</si>
  <si>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</si>
  <si>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</si>
  <si>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</si>
  <si>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</si>
  <si>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</si>
  <si>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</si>
  <si>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</si>
  <si>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</si>
  <si>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</si>
  <si>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</si>
  <si>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</si>
  <si>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</si>
  <si>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</si>
  <si>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</si>
  <si>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</si>
  <si>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</si>
  <si>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</si>
  <si>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</si>
  <si>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</si>
  <si>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</si>
  <si>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</si>
  <si>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</si>
  <si>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</si>
  <si>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</si>
  <si>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</si>
  <si>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</si>
  <si>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</si>
  <si>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</si>
  <si>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</si>
  <si>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</si>
  <si>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</si>
  <si>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</si>
  <si>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</si>
  <si>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</si>
  <si>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</si>
  <si>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</si>
  <si>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</si>
  <si>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</si>
  <si>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</si>
  <si>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</si>
  <si>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</si>
  <si>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</si>
  <si>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</si>
  <si>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</si>
  <si>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</si>
  <si>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</si>
  <si>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</si>
  <si>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</si>
  <si>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</si>
  <si>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</si>
  <si>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</si>
  <si>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</si>
  <si>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</si>
  <si>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</si>
  <si>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</si>
  <si>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</si>
  <si>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</si>
  <si>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</si>
  <si>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</si>
  <si>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</si>
  <si>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</si>
  <si>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</si>
  <si>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</si>
  <si>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</si>
  <si>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</si>
  <si>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</si>
  <si>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</si>
  <si>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</si>
  <si>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</si>
  <si>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</si>
  <si>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</si>
  <si>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</si>
  <si>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</si>
  <si>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</si>
  <si>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</si>
  <si>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</si>
  <si>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</si>
  <si>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</si>
  <si>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</si>
  <si>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</si>
  <si>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</si>
  <si>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</si>
  <si>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</si>
  <si>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</si>
  <si>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</si>
  <si>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</si>
  <si>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</si>
  <si>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</si>
  <si>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</si>
  <si>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</si>
  <si>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</si>
  <si>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</si>
  <si>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</si>
  <si>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</si>
  <si>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</si>
  <si>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</si>
  <si>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</si>
  <si>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</si>
  <si>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</si>
  <si>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</si>
  <si>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</si>
  <si>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</si>
  <si>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</si>
  <si>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</si>
  <si>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</si>
  <si>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</si>
  <si>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</si>
  <si>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</si>
  <si>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</si>
  <si>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</si>
  <si>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</si>
  <si>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</si>
  <si>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</si>
  <si>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</si>
  <si>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</si>
  <si>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</si>
  <si>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</si>
  <si>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</si>
  <si>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</si>
  <si>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</si>
  <si>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</si>
  <si>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</si>
  <si>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</si>
  <si>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</si>
  <si>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</si>
  <si>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</si>
  <si>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</si>
  <si>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</si>
  <si>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</si>
  <si>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</si>
  <si>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</si>
  <si>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</si>
  <si>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</si>
  <si>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</si>
  <si>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</si>
  <si>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</si>
  <si>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</si>
  <si>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</si>
  <si>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</si>
  <si>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</si>
  <si>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</si>
  <si>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</si>
  <si>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</si>
  <si>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</si>
  <si>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</si>
  <si>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</si>
  <si>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</si>
  <si>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</si>
  <si>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</si>
  <si>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</si>
  <si>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</si>
  <si>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</si>
  <si>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</si>
  <si>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</si>
  <si>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</si>
  <si>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</si>
  <si>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</si>
  <si>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</si>
  <si>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</si>
  <si>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</si>
  <si>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</si>
  <si>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</si>
  <si>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</si>
  <si>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</si>
  <si>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</si>
  <si>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</si>
  <si>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</si>
  <si>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</si>
  <si>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</si>
  <si>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</si>
  <si>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</si>
  <si>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</si>
  <si>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</si>
  <si>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</si>
  <si>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</si>
  <si>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</si>
  <si>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</si>
  <si>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</si>
  <si>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</si>
  <si>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</si>
  <si>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</si>
  <si>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</si>
  <si>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</si>
  <si>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</si>
  <si>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</si>
  <si>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</si>
  <si>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</si>
  <si>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</si>
  <si>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</si>
  <si>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</si>
  <si>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</si>
  <si>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</si>
  <si>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</si>
  <si>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</si>
  <si>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</si>
  <si>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</si>
  <si>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</si>
  <si>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</si>
  <si>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</si>
  <si>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</si>
  <si>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</si>
  <si>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</si>
  <si>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</si>
  <si>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</si>
  <si>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</si>
  <si>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</si>
  <si>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</si>
  <si>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</si>
  <si>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</si>
  <si>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</si>
  <si>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</si>
  <si>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</si>
  <si>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</si>
  <si>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</si>
  <si>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</si>
  <si>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</si>
  <si>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</si>
  <si>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</si>
  <si>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</si>
  <si>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</si>
  <si>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</si>
  <si>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</si>
  <si>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</si>
  <si>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</si>
  <si>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</si>
  <si>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</si>
  <si>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</si>
  <si>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</si>
  <si>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</si>
  <si>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</si>
  <si>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</si>
  <si>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</si>
  <si>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</si>
  <si>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</si>
  <si>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</si>
  <si>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</si>
  <si>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</si>
  <si>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</si>
  <si>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</si>
  <si>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</si>
  <si>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</si>
  <si>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</si>
  <si>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</si>
  <si>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</si>
  <si>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</si>
  <si>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</si>
  <si>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</si>
  <si>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</si>
  <si>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</si>
  <si>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</si>
  <si>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</si>
  <si>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</si>
  <si>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</si>
  <si>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</si>
  <si>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</si>
  <si>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</si>
  <si>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</si>
  <si>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</si>
  <si>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</si>
  <si>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</si>
  <si>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</si>
  <si>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</si>
  <si>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</si>
  <si>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</si>
  <si>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</si>
  <si>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</si>
  <si>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</si>
  <si>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</si>
  <si>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</si>
  <si>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</si>
  <si>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</si>
  <si>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</si>
  <si>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</si>
  <si>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</si>
  <si>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</si>
  <si>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</si>
  <si>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</si>
  <si>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</si>
  <si>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</si>
  <si>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</si>
  <si>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</si>
  <si>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</si>
  <si>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</si>
  <si>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</si>
  <si>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</si>
  <si>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</si>
  <si>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</si>
  <si>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</si>
  <si>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</si>
  <si>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</si>
  <si>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</si>
  <si>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</si>
  <si>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</si>
  <si>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</si>
  <si>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</si>
  <si>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</si>
  <si>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</si>
  <si>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</si>
  <si>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</si>
  <si>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</si>
  <si>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</si>
  <si>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</si>
  <si>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</si>
  <si>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</si>
  <si>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</si>
  <si>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</si>
  <si>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</si>
  <si>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</si>
  <si>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</si>
  <si>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</si>
  <si>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</si>
  <si>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</si>
  <si>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</si>
  <si>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</si>
  <si>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</si>
  <si>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</si>
  <si>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</si>
  <si>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</si>
  <si>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</si>
  <si>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</si>
  <si>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</si>
  <si>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</si>
  <si>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</si>
  <si>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</si>
  <si>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</si>
  <si>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</si>
  <si>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</si>
  <si>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</si>
  <si>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</si>
  <si>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</si>
  <si>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</si>
  <si>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</si>
  <si>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</si>
  <si>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</si>
  <si>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</si>
  <si>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</si>
  <si>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</si>
  <si>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</si>
  <si>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</si>
  <si>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</si>
  <si>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</si>
  <si>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</si>
  <si>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</si>
  <si>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</si>
  <si>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</si>
  <si>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</si>
  <si>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</si>
  <si>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</si>
  <si>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</si>
  <si>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</si>
  <si>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</si>
  <si>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</si>
  <si>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</si>
  <si>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</si>
  <si>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</si>
  <si>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</si>
  <si>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</si>
  <si>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</si>
  <si>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</si>
  <si>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</si>
  <si>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</si>
  <si>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</si>
  <si>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</si>
  <si>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</si>
  <si>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</si>
  <si>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</si>
  <si>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</si>
  <si>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</si>
  <si>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</si>
  <si>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</si>
  <si>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</si>
  <si>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</si>
  <si>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</si>
  <si>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</si>
  <si>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</si>
  <si>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</si>
  <si>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</si>
  <si>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</si>
  <si>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</si>
  <si>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</si>
  <si>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</si>
  <si>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</si>
  <si>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</si>
  <si>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</si>
  <si>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</si>
  <si>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</si>
  <si>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</si>
  <si>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</si>
  <si>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</si>
  <si>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</si>
  <si>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</si>
  <si>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</si>
  <si>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</si>
  <si>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</si>
  <si>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</si>
  <si>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</si>
  <si>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</si>
  <si>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</si>
  <si>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</si>
  <si>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</si>
  <si>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</si>
  <si>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</si>
  <si>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</si>
  <si>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</si>
  <si>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</si>
  <si>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</si>
  <si>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</si>
  <si>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</si>
  <si>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</si>
  <si>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</si>
  <si>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</si>
  <si>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</si>
  <si>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</si>
  <si>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</si>
  <si>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</si>
  <si>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</si>
  <si>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</si>
  <si>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</si>
  <si>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</si>
  <si>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</si>
  <si>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</si>
  <si>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</si>
  <si>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</si>
  <si>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</si>
  <si>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</si>
  <si>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</si>
  <si>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</si>
  <si>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</si>
  <si>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</si>
  <si>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</si>
  <si>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</si>
  <si>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</si>
  <si>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</si>
  <si>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</si>
  <si>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</si>
  <si>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</si>
  <si>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</si>
  <si>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</si>
  <si>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</si>
  <si>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</si>
  <si>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</si>
  <si>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</si>
  <si>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</si>
  <si>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</si>
  <si>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</si>
  <si>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</si>
  <si>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</si>
  <si>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</si>
  <si>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</si>
  <si>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</si>
  <si>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</si>
  <si>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</si>
  <si>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</si>
  <si>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</si>
  <si>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</si>
  <si>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</si>
  <si>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</si>
  <si>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</si>
  <si>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</si>
  <si>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</si>
  <si>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</si>
  <si>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</si>
  <si>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</si>
  <si>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</si>
  <si>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</si>
  <si>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</si>
  <si>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</si>
  <si>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</si>
  <si>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</si>
  <si>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</si>
  <si>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</si>
  <si>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</si>
  <si>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</si>
  <si>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</si>
  <si>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</si>
  <si>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</si>
  <si>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</si>
  <si>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</si>
  <si>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</si>
  <si>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</si>
  <si>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</si>
  <si>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</si>
  <si>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</si>
  <si>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</si>
  <si>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</si>
  <si>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</si>
  <si>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</si>
  <si>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</si>
  <si>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</si>
  <si>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</si>
  <si>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</si>
  <si>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</si>
  <si>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</si>
  <si>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</si>
  <si>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</si>
  <si>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</si>
  <si>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</si>
  <si>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</si>
  <si>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</si>
  <si>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</si>
  <si>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</si>
  <si>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</si>
  <si>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</si>
  <si>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</si>
  <si>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</si>
  <si>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</si>
  <si>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</si>
  <si>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</si>
  <si>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</si>
  <si>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</si>
  <si>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</si>
  <si>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</si>
  <si>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</si>
  <si>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</si>
  <si>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</si>
  <si>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</si>
  <si>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</si>
  <si>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</si>
  <si>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</si>
  <si>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</si>
  <si>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</si>
  <si>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</si>
  <si>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</si>
  <si>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</si>
  <si>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</si>
  <si>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</si>
  <si>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</si>
  <si>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</si>
  <si>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</si>
  <si>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</si>
  <si>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</si>
  <si>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</si>
  <si>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</si>
  <si>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</si>
  <si>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</si>
  <si>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</si>
  <si>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</si>
  <si>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</si>
  <si>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</si>
  <si>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</si>
  <si>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</si>
  <si>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</si>
  <si>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</si>
  <si>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</si>
  <si>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</si>
  <si>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</si>
  <si>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</si>
  <si>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</si>
  <si>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</si>
  <si>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</si>
  <si>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</si>
  <si>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</si>
  <si>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</si>
  <si>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</si>
  <si>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</si>
  <si>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</si>
  <si>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</si>
  <si>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</si>
  <si>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</si>
  <si>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</si>
  <si>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</si>
  <si>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</si>
  <si>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</si>
  <si>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</si>
  <si>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</si>
  <si>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</si>
  <si>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</si>
  <si>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</si>
  <si>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</si>
  <si>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</si>
  <si>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</si>
  <si>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</si>
  <si>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</si>
  <si>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</si>
  <si>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</si>
  <si>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</si>
  <si>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</si>
  <si>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</si>
  <si>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</si>
  <si>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</si>
  <si>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</si>
  <si>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</si>
  <si>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</si>
  <si>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</si>
  <si>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</si>
  <si>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</si>
  <si>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</si>
  <si>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</si>
  <si>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</si>
  <si>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</si>
  <si>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</si>
  <si>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</si>
  <si>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</si>
  <si>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</si>
  <si>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</si>
  <si>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</si>
  <si>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</si>
  <si>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</si>
  <si>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</si>
  <si>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</si>
  <si>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</si>
  <si>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</si>
  <si>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</si>
  <si>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</si>
  <si>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</si>
  <si>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</si>
  <si>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</si>
  <si>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</si>
  <si>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</si>
  <si>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</si>
  <si>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</si>
  <si>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</si>
  <si>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</si>
  <si>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</si>
  <si>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</si>
  <si>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</si>
  <si>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</si>
  <si>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</si>
  <si>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</si>
  <si>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</si>
  <si>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</si>
  <si>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</si>
  <si>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</si>
  <si>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</si>
  <si>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</si>
  <si>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</si>
  <si>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</si>
  <si>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</si>
  <si>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</si>
  <si>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</si>
  <si>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</si>
  <si>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</si>
  <si>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</si>
  <si>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</si>
  <si>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</si>
  <si>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</si>
  <si>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</si>
  <si>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</si>
  <si>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</si>
  <si>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</si>
  <si>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</si>
  <si>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</si>
  <si>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</si>
  <si>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</si>
  <si>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</si>
  <si>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</si>
  <si>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</si>
  <si>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</si>
  <si>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</si>
  <si>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</si>
  <si>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</si>
  <si>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</si>
  <si>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</si>
  <si>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</si>
  <si>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</si>
  <si>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</si>
  <si>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</si>
  <si>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</si>
  <si>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</si>
  <si>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</si>
  <si>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</si>
  <si>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</si>
  <si>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</si>
  <si>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</si>
  <si>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</si>
  <si>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</si>
  <si>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</si>
  <si>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</si>
  <si>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</si>
  <si>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</si>
  <si>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</si>
  <si>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</si>
  <si>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</si>
  <si>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</si>
  <si>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</si>
  <si>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</si>
  <si>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</si>
  <si>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</si>
  <si>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</si>
  <si>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</si>
  <si>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</si>
  <si>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</si>
  <si>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</si>
  <si>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</si>
  <si>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</si>
  <si>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</si>
  <si>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</si>
  <si>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</si>
  <si>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</si>
  <si>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</si>
  <si>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</si>
  <si>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</si>
  <si>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</si>
  <si>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</si>
  <si>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</si>
  <si>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</si>
  <si>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</si>
  <si>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</si>
  <si>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</si>
  <si>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</si>
  <si>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</si>
  <si>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</si>
  <si>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</si>
  <si>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</si>
  <si>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</si>
  <si>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</si>
  <si>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</si>
  <si>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</si>
  <si>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</si>
  <si>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</si>
  <si>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</si>
  <si>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</si>
  <si>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</si>
  <si>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</si>
  <si>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</si>
  <si>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</si>
  <si>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</si>
  <si>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</si>
  <si>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</si>
  <si>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</si>
  <si>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</si>
  <si>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</si>
  <si>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</si>
  <si>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</si>
  <si>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</si>
  <si>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</si>
  <si>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</si>
  <si>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</si>
  <si>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</si>
  <si>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</si>
  <si>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</si>
  <si>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</si>
  <si>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</si>
  <si>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</si>
  <si>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</si>
  <si>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</si>
  <si>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</si>
  <si>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</si>
  <si>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</si>
  <si>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</si>
  <si>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</si>
  <si>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</si>
  <si>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</si>
  <si>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</si>
  <si>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</si>
  <si>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</si>
  <si>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</si>
  <si>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</si>
  <si>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</si>
  <si>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</si>
  <si>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</si>
  <si>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</si>
  <si>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</si>
  <si>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</si>
  <si>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</si>
  <si>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</si>
  <si>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</si>
  <si>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</si>
  <si>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</si>
  <si>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</si>
  <si>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</si>
  <si>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</si>
  <si>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</si>
  <si>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</si>
  <si>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</si>
  <si>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</si>
  <si>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</si>
  <si>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</si>
  <si>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</si>
  <si>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</si>
  <si>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</si>
  <si>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</si>
  <si>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</si>
  <si>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</si>
  <si>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</si>
  <si>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</si>
  <si>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</si>
  <si>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</si>
  <si>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</si>
  <si>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</si>
  <si>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</si>
  <si>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</si>
  <si>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</si>
  <si>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</si>
  <si>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</si>
  <si>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</si>
  <si>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</si>
  <si>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</si>
  <si>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</si>
  <si>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</si>
  <si>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</si>
  <si>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</si>
  <si>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</si>
  <si>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</si>
  <si>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</si>
  <si>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</si>
  <si>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</si>
  <si>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</si>
  <si>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</si>
  <si>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</si>
  <si>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</si>
  <si>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</si>
  <si>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</si>
  <si>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</si>
  <si>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</si>
  <si>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</si>
  <si>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</si>
  <si>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</si>
  <si>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</si>
  <si>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</si>
  <si>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</si>
  <si>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</si>
  <si>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</si>
  <si>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</si>
  <si>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</si>
  <si>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</si>
  <si>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</si>
  <si>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</si>
  <si>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</si>
  <si>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</si>
  <si>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</si>
  <si>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</si>
  <si>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</si>
  <si>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</si>
  <si>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</si>
  <si>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</si>
  <si>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</si>
  <si>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</si>
  <si>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</si>
  <si>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</si>
  <si>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</si>
  <si>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</si>
  <si>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</si>
  <si>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</si>
  <si>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</si>
  <si>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</si>
  <si>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</si>
  <si>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</si>
  <si>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</si>
  <si>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</si>
  <si>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</si>
  <si>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</si>
  <si>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</si>
  <si>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</si>
  <si>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</si>
  <si>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</si>
  <si>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</si>
  <si>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</si>
  <si>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</si>
  <si>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</si>
  <si>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</si>
  <si>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</si>
  <si>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</si>
  <si>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</si>
  <si>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</si>
  <si>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</si>
  <si>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</si>
  <si>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</si>
  <si>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</si>
  <si>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</si>
  <si>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</si>
  <si>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</si>
  <si>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</si>
  <si>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</si>
  <si>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</si>
  <si>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</si>
  <si>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</si>
  <si>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</si>
  <si>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</si>
  <si>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</si>
  <si>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</si>
  <si>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</si>
  <si>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</si>
  <si>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</si>
  <si>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</si>
  <si>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</si>
  <si>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</si>
  <si>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</si>
  <si>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</si>
  <si>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</si>
  <si>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</si>
  <si>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</si>
  <si>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</si>
  <si>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</si>
  <si>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</si>
  <si>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</si>
  <si>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</si>
  <si>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</si>
  <si>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</si>
  <si>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</si>
  <si>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</si>
  <si>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</si>
  <si>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</si>
  <si>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</si>
  <si>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</si>
  <si>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</si>
  <si>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</si>
  <si>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</si>
  <si>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</si>
  <si>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</si>
  <si>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</si>
  <si>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</si>
  <si>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</si>
  <si>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</si>
  <si>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</si>
  <si>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</si>
  <si>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</si>
  <si>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</si>
  <si>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</si>
  <si>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</si>
  <si>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</si>
  <si>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</si>
  <si>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</si>
  <si>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</si>
  <si>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</si>
  <si>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</si>
  <si>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</si>
  <si>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</si>
  <si>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</si>
  <si>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</si>
  <si>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</si>
  <si>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</si>
  <si>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</si>
  <si>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</si>
  <si>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</si>
  <si>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</si>
  <si>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</si>
  <si>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</si>
  <si>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</si>
  <si>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</si>
  <si>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</si>
  <si>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</si>
  <si>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</si>
  <si>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</si>
  <si>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</si>
  <si>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</si>
  <si>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</si>
  <si>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</si>
  <si>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</si>
  <si>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</si>
  <si>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</si>
  <si>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</si>
  <si>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</si>
  <si>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</si>
  <si>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</si>
  <si>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</si>
  <si>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</si>
  <si>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</si>
  <si>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</si>
  <si>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</si>
  <si>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</si>
  <si>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</si>
  <si>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</si>
  <si>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</si>
  <si>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</si>
  <si>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</si>
  <si>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</si>
  <si>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</si>
  <si>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</si>
  <si>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</si>
  <si>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</si>
  <si>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</si>
  <si>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</si>
  <si>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</si>
  <si>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</si>
  <si>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</si>
  <si>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</si>
  <si>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</si>
  <si>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</si>
  <si>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</si>
  <si>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</si>
  <si>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</si>
  <si>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</si>
  <si>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</si>
  <si>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</si>
  <si>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</si>
  <si>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</si>
  <si>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</si>
  <si>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</si>
  <si>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</si>
  <si>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</si>
  <si>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</si>
  <si>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</si>
  <si>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</si>
  <si>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</si>
  <si>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</si>
  <si>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</si>
  <si>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</si>
  <si>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</si>
  <si>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</si>
  <si>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</si>
  <si>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</si>
  <si>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</si>
  <si>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</si>
  <si>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</si>
  <si>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</si>
  <si>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</si>
  <si>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</si>
  <si>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</si>
  <si>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</si>
  <si>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</si>
  <si>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</si>
  <si>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</si>
  <si>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</si>
  <si>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</si>
  <si>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</si>
  <si>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</si>
  <si>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</si>
  <si>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</si>
  <si>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</si>
  <si>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</si>
  <si>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</si>
  <si>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</si>
  <si>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</si>
  <si>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</si>
  <si>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</si>
  <si>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</si>
  <si>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</si>
  <si>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</si>
  <si>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</si>
  <si>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</si>
  <si>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</si>
  <si>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</si>
  <si>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</si>
  <si>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</si>
  <si>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</si>
  <si>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</si>
  <si>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</si>
  <si>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</si>
  <si>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</si>
  <si>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</si>
  <si>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</si>
  <si>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</si>
  <si>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</si>
  <si>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</si>
  <si>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</si>
  <si>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</si>
  <si>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</si>
  <si>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</si>
  <si>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</si>
  <si>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</si>
  <si>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</si>
  <si>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</si>
  <si>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</si>
  <si>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</si>
  <si>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</si>
  <si>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</si>
  <si>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</si>
  <si>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</si>
  <si>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</si>
  <si>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</si>
  <si>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</si>
  <si>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</si>
  <si>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</si>
  <si>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</si>
  <si>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</si>
  <si>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</si>
  <si>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</si>
  <si>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</si>
  <si>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</si>
  <si>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</si>
  <si>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</si>
  <si>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</si>
  <si>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</si>
  <si>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</si>
  <si>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</si>
  <si>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</si>
  <si>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</si>
  <si>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</si>
  <si>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</si>
  <si>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</si>
  <si>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</si>
  <si>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</si>
  <si>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</si>
  <si>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</si>
  <si>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</si>
  <si>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</si>
  <si>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</si>
  <si>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</si>
  <si>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</si>
  <si>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</si>
  <si>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</si>
  <si>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</si>
  <si>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</si>
  <si>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</si>
  <si>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</si>
  <si>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</si>
  <si>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</si>
  <si>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</si>
  <si>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</si>
  <si>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</si>
  <si>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</si>
  <si>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</si>
  <si>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</si>
  <si>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</si>
  <si>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</si>
  <si>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</si>
  <si>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</si>
  <si>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</si>
  <si>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</si>
  <si>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</si>
  <si>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</si>
  <si>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</si>
  <si>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</si>
  <si>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</si>
  <si>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</si>
  <si>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</si>
  <si>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</si>
  <si>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</si>
  <si>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</si>
  <si>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</si>
  <si>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</si>
  <si>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</si>
  <si>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</si>
  <si>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</si>
  <si>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</si>
  <si>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</si>
  <si>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</si>
  <si>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</si>
  <si>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</si>
  <si>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</si>
  <si>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</si>
  <si>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</si>
  <si>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</si>
  <si>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</si>
  <si>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</si>
  <si>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</si>
  <si>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</si>
  <si>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</si>
  <si>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</si>
  <si>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</si>
  <si>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</si>
  <si>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</si>
  <si>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</si>
  <si>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</si>
  <si>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</si>
  <si>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</si>
  <si>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</si>
  <si>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</si>
  <si>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</si>
  <si>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</si>
  <si>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</si>
  <si>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</si>
  <si>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</si>
  <si>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</si>
  <si>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</si>
  <si>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</si>
  <si>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</si>
  <si>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</si>
  <si>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</si>
  <si>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</si>
  <si>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</si>
  <si>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</si>
  <si>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</si>
  <si>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</si>
  <si>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</si>
  <si>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</si>
  <si>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</si>
  <si>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</si>
  <si>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</si>
  <si>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</si>
  <si>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</si>
  <si>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</si>
  <si>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</si>
  <si>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</si>
  <si>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</si>
  <si>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</si>
  <si>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</si>
  <si>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</si>
  <si>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</si>
  <si>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</si>
  <si>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</si>
  <si>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</si>
  <si>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</si>
  <si>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</si>
  <si>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</si>
  <si>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</si>
  <si>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</si>
  <si>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</si>
  <si>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</si>
  <si>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</si>
  <si>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</si>
  <si>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</si>
  <si>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</si>
  <si>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</si>
  <si>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</si>
  <si>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</si>
  <si>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</si>
  <si>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</si>
  <si>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</si>
  <si>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</si>
  <si>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</si>
  <si>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</si>
  <si>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</si>
  <si>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</si>
  <si>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</si>
  <si>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</si>
  <si>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</si>
  <si>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</si>
  <si>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</si>
  <si>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</si>
  <si>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</si>
  <si>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</si>
  <si>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</si>
  <si>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</si>
  <si>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</si>
  <si>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</si>
  <si>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</si>
  <si>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</si>
  <si>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</si>
  <si>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</si>
  <si>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</si>
  <si>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</si>
  <si>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</si>
  <si>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</si>
  <si>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</si>
  <si>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</si>
  <si>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</si>
  <si>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</si>
  <si>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</si>
  <si>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</si>
  <si>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</si>
  <si>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</si>
  <si>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</si>
  <si>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</si>
  <si>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</si>
  <si>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</si>
  <si>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</si>
  <si>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</si>
  <si>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</si>
  <si>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</si>
  <si>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</si>
  <si>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</si>
  <si>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</si>
  <si>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</si>
  <si>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</si>
  <si>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</si>
  <si>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</si>
  <si>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</si>
  <si>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</si>
  <si>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</si>
  <si>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</si>
  <si>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</si>
  <si>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</si>
  <si>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</si>
  <si>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</si>
  <si>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</si>
  <si>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</si>
  <si>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</si>
  <si>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</si>
  <si>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</si>
  <si>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</si>
  <si>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</si>
  <si>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</si>
  <si>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</si>
  <si>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</si>
  <si>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</si>
  <si>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</si>
  <si>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</si>
  <si>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</si>
  <si>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</si>
  <si>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</si>
  <si>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</si>
  <si>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</si>
  <si>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</si>
  <si>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</si>
  <si>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</si>
  <si>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</si>
  <si>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</si>
  <si>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</si>
  <si>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</si>
  <si>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</si>
  <si>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</si>
  <si>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</si>
  <si>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</si>
  <si>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</si>
  <si>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</si>
  <si>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</si>
  <si>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</si>
  <si>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</si>
  <si>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</si>
  <si>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</si>
  <si>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</si>
  <si>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</si>
  <si>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</si>
  <si>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</si>
  <si>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</si>
  <si>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</si>
  <si>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</si>
  <si>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</si>
  <si>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</si>
  <si>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</si>
  <si>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</si>
  <si>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</si>
  <si>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</si>
  <si>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</si>
  <si>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</si>
  <si>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</si>
  <si>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</si>
  <si>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</si>
  <si>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</si>
  <si>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</si>
  <si>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</si>
  <si>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</si>
  <si>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</si>
  <si>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</si>
  <si>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</si>
  <si>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</si>
  <si>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</si>
  <si>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</si>
  <si>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</si>
  <si>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</si>
  <si>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</si>
  <si>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</si>
  <si>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</si>
  <si>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</si>
  <si>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</si>
  <si>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</si>
  <si>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</si>
  <si>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</si>
  <si>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</si>
  <si>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</si>
  <si>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</si>
  <si>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</si>
  <si>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</si>
  <si>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</si>
  <si>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</si>
  <si>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</si>
  <si>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</si>
  <si>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</si>
  <si>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</si>
  <si>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</si>
  <si>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</si>
  <si>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</si>
  <si>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</si>
  <si>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</si>
  <si>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</si>
  <si>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</si>
  <si>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</si>
  <si>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</si>
  <si>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</si>
  <si>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</si>
  <si>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</si>
  <si>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</si>
  <si>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</si>
  <si>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</si>
  <si>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</si>
  <si>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</si>
  <si>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</si>
  <si>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</si>
  <si>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</si>
  <si>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</si>
  <si>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</si>
  <si>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</si>
  <si>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</si>
  <si>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</si>
  <si>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</si>
  <si>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</si>
  <si>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</si>
  <si>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</si>
  <si>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</si>
  <si>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</si>
  <si>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</si>
  <si>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</si>
  <si>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</si>
  <si>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</si>
  <si>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</si>
  <si>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</si>
  <si>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</si>
  <si>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</si>
  <si>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</si>
  <si>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</si>
  <si>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</si>
  <si>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</si>
  <si>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</si>
  <si>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</si>
  <si>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</si>
  <si>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</si>
  <si>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</si>
  <si>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</si>
  <si>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</si>
  <si>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</si>
  <si>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</si>
  <si>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</si>
  <si>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</si>
  <si>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</si>
  <si>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</si>
  <si>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</si>
  <si>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</si>
  <si>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</si>
  <si>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</si>
  <si>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</si>
  <si>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</si>
  <si>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</si>
  <si>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</si>
  <si>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</si>
  <si>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</si>
  <si>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</si>
  <si>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</si>
  <si>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</si>
  <si>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</si>
  <si>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</si>
  <si>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</si>
  <si>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</si>
  <si>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</si>
  <si>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</si>
  <si>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</si>
  <si>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</si>
  <si>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</si>
  <si>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</si>
  <si>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</si>
  <si>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</si>
  <si>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</si>
  <si>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</si>
  <si>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</si>
  <si>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</si>
  <si>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</si>
  <si>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</si>
  <si>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</si>
  <si>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</si>
  <si>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</si>
  <si>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</si>
  <si>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</si>
  <si>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</si>
  <si>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</si>
  <si>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</si>
  <si>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</si>
  <si>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</si>
  <si>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</si>
  <si>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</si>
  <si>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</si>
  <si>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</si>
  <si>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</si>
  <si>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</si>
  <si>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</si>
  <si>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</si>
  <si>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</si>
  <si>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</si>
  <si>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</si>
  <si>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</si>
  <si>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</si>
  <si>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</si>
  <si>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</si>
  <si>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</si>
  <si>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</si>
  <si>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</si>
  <si>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</si>
  <si>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</si>
  <si>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</si>
  <si>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</si>
  <si>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</si>
  <si>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</si>
  <si>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</si>
  <si>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</si>
  <si>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</si>
  <si>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</si>
  <si>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</si>
  <si>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</si>
  <si>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</si>
  <si>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</si>
  <si>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</si>
  <si>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</si>
  <si>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</si>
  <si>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</si>
  <si>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</si>
  <si>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</si>
  <si>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</si>
  <si>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</si>
  <si>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</si>
  <si>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</si>
  <si>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</si>
  <si>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</si>
  <si>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</si>
  <si>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</si>
  <si>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</si>
  <si>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</si>
  <si>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</si>
  <si>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</si>
  <si>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</si>
  <si>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</si>
  <si>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</si>
  <si>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</si>
  <si>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</si>
  <si>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</si>
  <si>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</si>
  <si>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</si>
  <si>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</si>
  <si>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</si>
  <si>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</si>
  <si>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</si>
  <si>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</si>
  <si>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</si>
  <si>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</si>
  <si>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</si>
  <si>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</si>
  <si>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</si>
  <si>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</si>
  <si>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</si>
  <si>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</si>
  <si>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</si>
  <si>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</si>
  <si>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</si>
  <si>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</si>
  <si>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</si>
  <si>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</si>
  <si>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</si>
  <si>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</si>
  <si>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</si>
  <si>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</si>
  <si>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</si>
  <si>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</si>
  <si>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</si>
  <si>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</si>
  <si>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</si>
  <si>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</si>
  <si>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</si>
  <si>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</si>
  <si>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</si>
  <si>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</si>
  <si>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</si>
  <si>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</si>
  <si>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</si>
  <si>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</si>
  <si>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</si>
  <si>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</si>
  <si>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</si>
  <si>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</si>
  <si>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</si>
  <si>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</si>
  <si>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</si>
  <si>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</si>
  <si>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</si>
  <si>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</si>
  <si>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</si>
  <si>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</si>
  <si>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</si>
  <si>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</si>
  <si>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</si>
  <si>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</si>
  <si>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</si>
  <si>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</si>
  <si>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</si>
  <si>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</si>
  <si>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</si>
  <si>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</si>
  <si>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</si>
  <si>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</si>
  <si>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</si>
  <si>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</si>
  <si>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</si>
  <si>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</si>
  <si>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</si>
  <si>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</si>
  <si>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</si>
  <si>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</si>
  <si>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</si>
  <si>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</si>
  <si>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</si>
  <si>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</si>
  <si>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</si>
  <si>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</si>
  <si>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</si>
  <si>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</si>
  <si>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</si>
  <si>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</si>
  <si>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</si>
  <si>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</si>
  <si>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</si>
  <si>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</si>
  <si>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</si>
  <si>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</si>
  <si>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</si>
  <si>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</si>
  <si>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</si>
  <si>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</si>
  <si>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</si>
  <si>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</si>
  <si>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</si>
  <si>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</si>
  <si>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</si>
  <si>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</si>
  <si>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</si>
  <si>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</si>
  <si>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</si>
  <si>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</si>
  <si>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</si>
  <si>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</si>
  <si>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</si>
  <si>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</si>
  <si>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</si>
  <si>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</si>
  <si>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</si>
  <si>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</si>
  <si>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</si>
  <si>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</si>
  <si>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</si>
  <si>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</si>
  <si>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</si>
  <si>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</si>
  <si>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</si>
  <si>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</si>
  <si>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</si>
  <si>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</si>
  <si>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</si>
  <si>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</si>
  <si>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</si>
  <si>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</si>
  <si>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</si>
  <si>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</si>
  <si>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</si>
  <si>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</si>
  <si>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</si>
  <si>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</si>
  <si>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</si>
  <si>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</si>
  <si>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</si>
  <si>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</si>
  <si>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</si>
  <si>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</si>
  <si>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</si>
  <si>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</si>
  <si>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</si>
  <si>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</si>
  <si>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</si>
  <si>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</si>
  <si>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</si>
  <si>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</si>
  <si>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</si>
  <si>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</si>
  <si>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</si>
  <si>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</si>
  <si>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</si>
  <si>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</si>
  <si>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</si>
  <si>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</si>
  <si>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</si>
  <si>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</si>
  <si>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</si>
  <si>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</si>
  <si>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</si>
  <si>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</si>
  <si>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</si>
  <si>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</si>
  <si>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</si>
  <si>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</si>
  <si>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</si>
  <si>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</si>
  <si>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</si>
  <si>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</si>
  <si>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</si>
  <si>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</si>
  <si>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</si>
  <si>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</si>
  <si>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</si>
  <si>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</si>
  <si>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</si>
  <si>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</si>
  <si>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</si>
  <si>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</si>
  <si>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</si>
  <si>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</si>
  <si>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</si>
  <si>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</si>
  <si>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</si>
  <si>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</si>
  <si>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</si>
  <si>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</si>
  <si>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</si>
  <si>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</si>
  <si>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</si>
  <si>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</si>
  <si>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</si>
  <si>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</si>
  <si>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</si>
  <si>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</si>
  <si>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</si>
  <si>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</si>
  <si>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</si>
  <si>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</si>
  <si>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</si>
  <si>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</si>
  <si>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</si>
  <si>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</si>
  <si>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</si>
  <si>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</si>
  <si>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</si>
  <si>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</si>
  <si>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</si>
  <si>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</si>
  <si>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</si>
  <si>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</si>
  <si>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</si>
  <si>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</si>
  <si>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</si>
  <si>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</si>
  <si>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</si>
  <si>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</si>
  <si>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</si>
  <si>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</si>
  <si>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</si>
  <si>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</si>
  <si>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</si>
  <si>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</si>
  <si>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</si>
  <si>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</si>
  <si>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</si>
  <si>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</si>
  <si>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</si>
  <si>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</si>
  <si>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</si>
  <si>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</si>
  <si>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</si>
  <si>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</si>
  <si>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</si>
  <si>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</si>
  <si>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</si>
  <si>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</si>
  <si>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</si>
  <si>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</si>
  <si>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</si>
  <si>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</si>
  <si>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</si>
  <si>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</si>
  <si>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</si>
  <si>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</si>
  <si>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</si>
  <si>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</si>
  <si>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</si>
  <si>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</si>
  <si>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</si>
  <si>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</si>
  <si>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</si>
  <si>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</si>
  <si>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</si>
  <si>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</si>
  <si>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</si>
  <si>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</si>
  <si>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</si>
  <si>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</si>
  <si>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</si>
  <si>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</si>
  <si>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</si>
  <si>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</si>
  <si>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</si>
  <si>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</si>
  <si>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</si>
  <si>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</si>
  <si>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</si>
  <si>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</si>
  <si>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</si>
  <si>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</si>
  <si>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</si>
  <si>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</si>
  <si>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</si>
  <si>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</si>
  <si>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</si>
  <si>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</si>
  <si>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</si>
  <si>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</si>
  <si>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</si>
  <si>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</si>
  <si>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</si>
  <si>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</si>
  <si>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</si>
  <si>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</si>
  <si>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</si>
  <si>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</si>
  <si>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</si>
  <si>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</si>
  <si>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</si>
  <si>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</si>
  <si>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</si>
  <si>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</si>
  <si>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</si>
  <si>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</si>
  <si>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</si>
  <si>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</si>
  <si>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</si>
  <si>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</si>
  <si>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</si>
  <si>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</si>
  <si>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</si>
  <si>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</si>
  <si>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</si>
  <si>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</si>
  <si>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</si>
  <si>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</si>
  <si>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</si>
  <si>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</si>
  <si>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</si>
  <si>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</si>
  <si>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</si>
  <si>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</si>
  <si>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</si>
  <si>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</si>
  <si>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</si>
  <si>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</si>
  <si>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</si>
  <si>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</si>
  <si>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</si>
  <si>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</si>
  <si>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</si>
  <si>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</si>
  <si>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</si>
  <si>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</si>
  <si>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</si>
  <si>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</si>
  <si>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</si>
  <si>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</si>
  <si>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</si>
  <si>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</si>
  <si>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</si>
  <si>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</si>
  <si>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</si>
  <si>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</si>
  <si>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</si>
  <si>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</si>
  <si>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</si>
  <si>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</si>
  <si>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</si>
  <si>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</si>
  <si>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</si>
  <si>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</si>
  <si>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</si>
  <si>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</si>
  <si>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</si>
  <si>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</si>
  <si>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</si>
  <si>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</si>
  <si>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</si>
  <si>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</si>
  <si>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</si>
  <si>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</si>
  <si>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</si>
  <si>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</si>
  <si>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</si>
  <si>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</si>
  <si>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</si>
  <si>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</si>
  <si>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</si>
  <si>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</si>
  <si>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</si>
  <si>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</si>
  <si>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</si>
  <si>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</si>
  <si>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</si>
  <si>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</si>
  <si>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</si>
  <si>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</si>
  <si>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</si>
  <si>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</si>
  <si>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</si>
  <si>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</si>
  <si>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</si>
  <si>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</si>
  <si>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</si>
  <si>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</si>
  <si>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</si>
  <si>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</si>
  <si>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</si>
  <si>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</si>
  <si>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</si>
  <si>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</si>
  <si>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</si>
  <si>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</si>
  <si>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</si>
  <si>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</si>
  <si>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</si>
  <si>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</si>
  <si>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</si>
  <si>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</si>
  <si>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</si>
  <si>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</si>
  <si>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</si>
  <si>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</si>
  <si>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</si>
  <si>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</si>
  <si>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</si>
  <si>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</si>
  <si>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</si>
  <si>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</si>
  <si>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</si>
  <si>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</si>
  <si>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</si>
  <si>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</si>
  <si>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</si>
  <si>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</si>
  <si>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</si>
  <si>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</si>
  <si>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</si>
  <si>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</si>
  <si>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</si>
  <si>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</si>
  <si>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</si>
  <si>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</si>
  <si>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</si>
  <si>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</si>
  <si>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</si>
  <si>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</si>
  <si>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</si>
  <si>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</si>
  <si>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</si>
  <si>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</si>
  <si>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</si>
  <si>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</si>
  <si>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</si>
  <si>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</si>
  <si>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</si>
  <si>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</si>
  <si>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</si>
  <si>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</si>
  <si>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</si>
  <si>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</si>
  <si>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</si>
  <si>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</si>
  <si>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</si>
  <si>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</si>
  <si>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</si>
  <si>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</si>
  <si>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</si>
  <si>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</si>
  <si>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</si>
  <si>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</si>
  <si>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</si>
  <si>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</si>
  <si>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</si>
  <si>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</si>
  <si>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</si>
  <si>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</si>
  <si>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</si>
  <si>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</si>
  <si>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</si>
  <si>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</si>
  <si>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</si>
  <si>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</si>
  <si>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</si>
  <si>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</si>
  <si>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</si>
  <si>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</si>
  <si>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</si>
  <si>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</si>
  <si>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</si>
  <si>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</si>
  <si>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</si>
  <si>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</si>
  <si>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</si>
  <si>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</si>
  <si>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</si>
  <si>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</si>
  <si>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</si>
  <si>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</si>
  <si>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</si>
  <si>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</si>
  <si>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</si>
  <si>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</si>
  <si>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</si>
  <si>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</si>
  <si>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</si>
  <si>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</si>
  <si>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</si>
  <si>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</si>
  <si>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</si>
  <si>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</si>
  <si>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</si>
  <si>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</si>
  <si>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</si>
  <si>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</si>
  <si>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</si>
  <si>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</si>
  <si>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</si>
  <si>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</si>
  <si>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</si>
  <si>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</si>
  <si>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</si>
  <si>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</si>
  <si>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</si>
  <si>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</si>
  <si>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</si>
  <si>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</si>
  <si>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</si>
  <si>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</si>
  <si>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</si>
  <si>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</si>
  <si>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</si>
  <si>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</si>
  <si>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</si>
  <si>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</si>
  <si>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</si>
  <si>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</si>
  <si>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</si>
  <si>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</si>
  <si>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</si>
  <si>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</si>
  <si>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</si>
  <si>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</si>
  <si>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</si>
  <si>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</si>
  <si>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</si>
  <si>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</si>
  <si>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</si>
  <si>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</si>
  <si>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</si>
  <si>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</si>
  <si>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</si>
  <si>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</si>
  <si>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</si>
  <si>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</si>
  <si>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</si>
  <si>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</si>
  <si>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</si>
  <si>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</si>
  <si>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</si>
  <si>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</si>
  <si>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</si>
  <si>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</si>
  <si>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</si>
  <si>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</si>
  <si>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</si>
  <si>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</si>
  <si>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</si>
  <si>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</si>
  <si>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</si>
  <si>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</si>
  <si>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</si>
  <si>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</si>
  <si>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</si>
  <si>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</si>
  <si>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</si>
  <si>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</si>
  <si>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</si>
  <si>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</si>
  <si>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</si>
  <si>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</si>
  <si>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</si>
  <si>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</si>
  <si>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</si>
  <si>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</si>
  <si>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</si>
  <si>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</si>
  <si>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</si>
  <si>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</si>
  <si>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</si>
  <si>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</si>
  <si>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</si>
  <si>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</si>
  <si>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</si>
  <si>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</si>
  <si>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</si>
  <si>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</si>
  <si>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</si>
  <si>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</si>
  <si>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</si>
  <si>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</si>
  <si>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</si>
  <si>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</si>
  <si>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</si>
  <si>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</si>
  <si>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</si>
  <si>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</si>
  <si>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</si>
  <si>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</si>
  <si>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</si>
  <si>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</si>
  <si>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</si>
  <si>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</si>
  <si>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</si>
  <si>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</si>
  <si>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</si>
  <si>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</si>
  <si>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</si>
  <si>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</si>
  <si>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</si>
  <si>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</si>
  <si>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</si>
  <si>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</si>
  <si>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</si>
  <si>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</si>
  <si>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</si>
  <si>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</si>
  <si>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</si>
  <si>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</si>
  <si>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</si>
  <si>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</si>
  <si>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</si>
  <si>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</si>
  <si>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</si>
  <si>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</si>
  <si>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</si>
  <si>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</si>
  <si>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</si>
  <si>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</si>
  <si>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</si>
  <si>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</si>
  <si>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</si>
  <si>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</si>
  <si>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</si>
  <si>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</si>
  <si>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</si>
  <si>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</si>
  <si>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</si>
  <si>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</si>
  <si>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</si>
  <si>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</si>
  <si>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</si>
  <si>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</si>
  <si>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</si>
  <si>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</si>
  <si>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</si>
  <si>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</si>
  <si>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</si>
  <si>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</si>
  <si>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</si>
  <si>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</si>
  <si>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</si>
  <si>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</si>
  <si>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</si>
  <si>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</si>
  <si>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</si>
  <si>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</si>
  <si>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</si>
  <si>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</si>
  <si>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</si>
  <si>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</si>
  <si>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</si>
  <si>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</si>
  <si>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</si>
  <si>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</si>
  <si>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</si>
  <si>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</si>
  <si>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</si>
  <si>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</si>
  <si>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</si>
  <si>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</si>
  <si>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</si>
  <si>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</si>
  <si>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</si>
  <si>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</si>
  <si>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</si>
  <si>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</si>
  <si>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</si>
  <si>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</si>
  <si>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</si>
  <si>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</si>
  <si>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</si>
  <si>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</si>
  <si>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</si>
  <si>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</si>
  <si>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</si>
  <si>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</si>
  <si>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</si>
  <si>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</si>
  <si>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</si>
  <si>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</si>
  <si>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</si>
  <si>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</si>
  <si>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</si>
  <si>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</si>
  <si>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</si>
  <si>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</si>
  <si>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</si>
  <si>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</si>
  <si>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</si>
  <si>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</si>
  <si>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</si>
  <si>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</si>
  <si>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</si>
  <si>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</si>
  <si>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</si>
  <si>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</si>
  <si>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</si>
  <si>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</si>
  <si>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</si>
  <si>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</si>
  <si>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</si>
  <si>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</si>
  <si>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</si>
  <si>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</si>
  <si>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</si>
  <si>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</si>
  <si>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</si>
  <si>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</si>
  <si>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</si>
  <si>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</si>
  <si>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</si>
  <si>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</si>
  <si>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</si>
  <si>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</si>
  <si>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</si>
  <si>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</si>
  <si>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</si>
  <si>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</si>
  <si>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</si>
  <si>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</si>
  <si>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</si>
  <si>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</si>
  <si>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</si>
  <si>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</si>
  <si>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</si>
  <si>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</si>
  <si>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</si>
  <si>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</si>
  <si>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</si>
  <si>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</si>
  <si>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</si>
  <si>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</si>
  <si>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</si>
  <si>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</si>
  <si>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</si>
  <si>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</si>
  <si>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</si>
  <si>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</si>
  <si>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</si>
  <si>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</si>
  <si>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</si>
  <si>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</si>
  <si>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</si>
  <si>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</si>
  <si>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</si>
  <si>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</si>
  <si>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</si>
  <si>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</si>
  <si>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</si>
  <si>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</si>
  <si>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</si>
  <si>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</si>
  <si>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</si>
  <si>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</si>
  <si>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</si>
  <si>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</si>
  <si>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</si>
  <si>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</si>
  <si>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</si>
  <si>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</si>
  <si>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</si>
  <si>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</si>
  <si>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</si>
  <si>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</si>
  <si>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</si>
  <si>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</si>
  <si>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</si>
  <si>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</si>
  <si>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</si>
  <si>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</si>
  <si>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</si>
  <si>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</si>
  <si>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</si>
  <si>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</si>
  <si>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</si>
  <si>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</si>
  <si>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</si>
  <si>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</si>
  <si>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</si>
  <si>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</si>
  <si>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</si>
  <si>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</si>
  <si>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</si>
  <si>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</si>
  <si>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</si>
  <si>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</si>
  <si>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</si>
  <si>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</si>
  <si>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</si>
  <si>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</si>
  <si>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</si>
  <si>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</si>
  <si>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</si>
  <si>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</si>
  <si>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</si>
  <si>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</si>
  <si>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</si>
  <si>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</si>
  <si>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</si>
  <si>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</si>
  <si>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</si>
  <si>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</si>
  <si>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</si>
  <si>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</si>
  <si>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</si>
  <si>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</si>
  <si>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</si>
  <si>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</si>
  <si>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</si>
  <si>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</si>
  <si>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</si>
  <si>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</si>
  <si>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</si>
  <si>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</si>
  <si>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</si>
  <si>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</si>
  <si>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</si>
  <si>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</si>
  <si>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</si>
  <si>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</si>
  <si>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</si>
  <si>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</si>
  <si>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</si>
  <si>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</si>
  <si>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</si>
  <si>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</si>
  <si>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</si>
  <si>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</si>
  <si>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</si>
  <si>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</si>
  <si>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</si>
  <si>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</si>
  <si>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</si>
  <si>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</si>
  <si>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</si>
  <si>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</si>
  <si>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</si>
  <si>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</si>
  <si>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</si>
  <si>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</si>
  <si>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</si>
  <si>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</si>
  <si>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</si>
  <si>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</si>
  <si>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</si>
  <si>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</si>
  <si>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</si>
  <si>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</si>
  <si>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</si>
  <si>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</si>
  <si>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</si>
  <si>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</si>
  <si>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</si>
  <si>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</si>
  <si>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</si>
  <si>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</si>
  <si>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</si>
  <si>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</si>
  <si>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</si>
  <si>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</si>
  <si>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</si>
  <si>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</si>
  <si>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</si>
  <si>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</si>
  <si>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</si>
  <si>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</si>
  <si>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</si>
  <si>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</si>
  <si>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</si>
  <si>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</si>
  <si>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</si>
  <si>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</si>
  <si>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</si>
  <si>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</si>
  <si>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</si>
  <si>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</si>
  <si>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</si>
  <si>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</si>
  <si>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</si>
  <si>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</si>
  <si>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</si>
  <si>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</si>
  <si>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</si>
  <si>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</si>
  <si>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</si>
  <si>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</si>
  <si>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</si>
  <si>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</si>
  <si>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</si>
  <si>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</si>
  <si>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</si>
  <si>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</si>
  <si>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</si>
  <si>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</si>
  <si>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</si>
  <si>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</si>
  <si>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</si>
  <si>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</si>
  <si>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</si>
  <si>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</si>
  <si>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</si>
  <si>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</si>
  <si>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</si>
  <si>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</si>
  <si>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</si>
  <si>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</si>
  <si>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</si>
  <si>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</si>
  <si>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</si>
  <si>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</si>
  <si>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</si>
  <si>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</si>
  <si>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</si>
  <si>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</si>
  <si>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</si>
  <si>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</si>
  <si>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</si>
  <si>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</si>
  <si>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</si>
  <si>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</si>
  <si>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</si>
  <si>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</si>
  <si>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</si>
  <si>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</si>
  <si>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</si>
  <si>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</si>
  <si>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</si>
  <si>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</si>
  <si>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</si>
  <si>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</si>
  <si>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</si>
  <si>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</si>
  <si>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</si>
  <si>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</si>
  <si>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</si>
  <si>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</si>
  <si>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</si>
  <si>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</si>
  <si>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</si>
  <si>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</si>
  <si>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</si>
  <si>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</si>
  <si>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</si>
  <si>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</si>
  <si>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</si>
  <si>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</si>
  <si>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</si>
  <si>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</si>
  <si>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</si>
  <si>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</si>
  <si>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</si>
  <si>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</si>
  <si>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</si>
  <si>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</si>
  <si>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</si>
  <si>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</si>
  <si>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</si>
  <si>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</si>
  <si>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</si>
  <si>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</si>
  <si>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</si>
  <si>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</si>
  <si>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</si>
  <si>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</si>
  <si>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</si>
  <si>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</si>
  <si>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</si>
  <si>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</si>
  <si>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</si>
  <si>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</si>
  <si>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</si>
  <si>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</si>
  <si>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</si>
  <si>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</si>
  <si>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</si>
  <si>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</si>
  <si>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</si>
  <si>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</si>
  <si>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</si>
  <si>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</si>
  <si>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</si>
  <si>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</si>
  <si>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</si>
  <si>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</si>
  <si>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</si>
  <si>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</si>
  <si>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</si>
  <si>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</si>
  <si>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</si>
  <si>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</si>
  <si>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</si>
  <si>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</si>
  <si>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</si>
  <si>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</si>
  <si>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</si>
  <si>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</si>
  <si>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</si>
  <si>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</si>
  <si>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</si>
  <si>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</si>
  <si>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</si>
  <si>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</si>
  <si>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</si>
  <si>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</si>
  <si>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</si>
  <si>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</si>
  <si>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</si>
  <si>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</si>
  <si>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</si>
  <si>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</si>
  <si>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</si>
  <si>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</si>
  <si>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</si>
  <si>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</si>
  <si>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</si>
  <si>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</si>
  <si>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</si>
  <si>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</si>
  <si>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</si>
  <si>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</si>
  <si>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</si>
  <si>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</si>
  <si>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</si>
  <si>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</si>
  <si>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</si>
  <si>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</si>
  <si>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</si>
  <si>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</si>
  <si>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</si>
  <si>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</si>
  <si>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</si>
  <si>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</si>
  <si>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</si>
  <si>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</si>
  <si>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</si>
  <si>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</si>
  <si>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</si>
  <si>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</si>
  <si>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</si>
  <si>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</si>
  <si>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</si>
  <si>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</si>
  <si>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</si>
  <si>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</si>
  <si>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</si>
  <si>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</si>
  <si>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</si>
  <si>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</si>
  <si>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</si>
  <si>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</si>
  <si>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</si>
  <si>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</si>
  <si>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</si>
  <si>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</si>
  <si>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</si>
  <si>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</si>
  <si>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</si>
  <si>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</si>
  <si>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</si>
  <si>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</si>
  <si>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</si>
  <si>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</si>
  <si>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</si>
  <si>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</si>
  <si>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</si>
  <si>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</si>
  <si>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</si>
  <si>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</si>
  <si>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</si>
  <si>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</si>
  <si>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</si>
  <si>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</si>
  <si>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</si>
  <si>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</si>
  <si>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</si>
  <si>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</si>
  <si>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</si>
  <si>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</si>
  <si>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</si>
  <si>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</si>
  <si>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</si>
  <si>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</si>
  <si>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</si>
  <si>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</si>
  <si>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</si>
  <si>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</si>
  <si>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</si>
  <si>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</si>
  <si>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</si>
  <si>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</si>
  <si>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</si>
  <si>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</si>
  <si>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</si>
  <si>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</si>
  <si>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</si>
  <si>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</si>
  <si>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</si>
  <si>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</si>
  <si>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</si>
  <si>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</si>
  <si>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</si>
  <si>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</si>
  <si>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</si>
  <si>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</si>
  <si>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</si>
  <si>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</si>
  <si>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</si>
  <si>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</si>
  <si>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</si>
  <si>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</si>
  <si>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</si>
  <si>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</si>
  <si>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</si>
  <si>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</si>
  <si>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</si>
  <si>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</si>
  <si>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</si>
  <si>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</si>
  <si>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</si>
  <si>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</si>
  <si>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</si>
  <si>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</si>
  <si>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</si>
  <si>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</si>
  <si>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</si>
  <si>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</si>
  <si>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</si>
  <si>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</si>
  <si>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</si>
  <si>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</si>
  <si>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</si>
  <si>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</si>
  <si>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</si>
  <si>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</si>
  <si>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</si>
  <si>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</si>
  <si>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</si>
  <si>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</si>
  <si>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</si>
  <si>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</si>
  <si>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</si>
  <si>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</si>
  <si>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</si>
  <si>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</si>
  <si>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</si>
  <si>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</si>
  <si>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</si>
  <si>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</si>
  <si>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</si>
  <si>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</si>
  <si>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</si>
  <si>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</si>
  <si>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</si>
  <si>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</si>
  <si>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</si>
  <si>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</si>
  <si>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</si>
  <si>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</si>
  <si>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</si>
  <si>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</si>
  <si>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</si>
  <si>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</si>
  <si>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</si>
  <si>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</si>
  <si>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</si>
  <si>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</si>
  <si>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</si>
  <si>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</si>
  <si>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</si>
  <si>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</si>
  <si>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</si>
  <si>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</si>
  <si>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</si>
  <si>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</si>
  <si>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</si>
  <si>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</si>
  <si>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</si>
  <si>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</si>
  <si>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</si>
  <si>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</si>
  <si>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</si>
  <si>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</si>
  <si>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</si>
  <si>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</si>
  <si>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</si>
  <si>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</si>
  <si>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</si>
  <si>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</si>
  <si>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</si>
  <si>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</si>
  <si>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</si>
  <si>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</si>
  <si>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</si>
  <si>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</si>
  <si>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</si>
  <si>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</si>
  <si>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</si>
  <si>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</si>
  <si>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</si>
  <si>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</si>
  <si>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</si>
  <si>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</si>
  <si>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</si>
  <si>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</si>
  <si>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</si>
  <si>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</si>
  <si>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</si>
  <si>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</si>
  <si>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</si>
  <si>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</si>
  <si>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</si>
  <si>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</si>
  <si>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</si>
  <si>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</si>
  <si>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</si>
  <si>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</si>
  <si>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</si>
  <si>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</si>
  <si>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</si>
  <si>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</si>
  <si>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</si>
  <si>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</si>
  <si>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</si>
  <si>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</si>
  <si>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</si>
  <si>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</si>
  <si>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</si>
  <si>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</si>
  <si>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</si>
  <si>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</si>
  <si>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</si>
  <si>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</si>
  <si>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</si>
  <si>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</si>
  <si>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</si>
  <si>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</si>
  <si>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</si>
  <si>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</si>
  <si>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</si>
  <si>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</si>
  <si>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</si>
  <si>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</si>
  <si>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</si>
  <si>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</si>
  <si>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</si>
  <si>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</si>
  <si>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</si>
  <si>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</si>
  <si>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</si>
  <si>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</si>
  <si>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</si>
  <si>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</si>
  <si>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</si>
  <si>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</si>
  <si>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</si>
  <si>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</si>
  <si>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</si>
  <si>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</si>
  <si>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</si>
  <si>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</si>
  <si>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</si>
  <si>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</si>
  <si>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</si>
  <si>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</si>
  <si>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</si>
  <si>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</si>
  <si>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</si>
  <si>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</si>
  <si>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</si>
  <si>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</si>
  <si>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</si>
  <si>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</si>
  <si>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</si>
  <si>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</si>
  <si>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</si>
  <si>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</si>
  <si>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</si>
  <si>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</si>
  <si>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</si>
  <si>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</si>
  <si>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</si>
  <si>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</si>
  <si>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</si>
  <si>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</si>
  <si>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</si>
  <si>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</si>
  <si>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</si>
  <si>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</si>
  <si>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</si>
  <si>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</si>
  <si>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</si>
  <si>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</si>
  <si>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</si>
  <si>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</si>
  <si>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</si>
  <si>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</si>
  <si>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</si>
  <si>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</si>
  <si>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</si>
  <si>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</si>
  <si>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</si>
  <si>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</si>
  <si>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</si>
  <si>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</si>
  <si>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</si>
  <si>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</si>
  <si>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</si>
  <si>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</si>
  <si>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</si>
  <si>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</si>
  <si>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</si>
  <si>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</si>
  <si>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</si>
  <si>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</si>
  <si>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</si>
  <si>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</si>
  <si>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</si>
  <si>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</si>
  <si>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</si>
  <si>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</si>
  <si>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</si>
  <si>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</si>
  <si>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</si>
  <si>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</si>
  <si>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</si>
  <si>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</si>
  <si>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</si>
  <si>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</si>
  <si>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</si>
  <si>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</si>
  <si>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</si>
  <si>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</si>
  <si>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</si>
  <si>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</si>
  <si>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</si>
  <si>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</si>
  <si>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</si>
  <si>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</si>
  <si>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</si>
  <si>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</si>
  <si>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</si>
  <si>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</si>
  <si>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</si>
  <si>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</si>
  <si>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</si>
  <si>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</si>
  <si>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</si>
  <si>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</si>
  <si>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</si>
  <si>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</si>
  <si>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</si>
  <si>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</si>
  <si>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</si>
  <si>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</si>
  <si>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</si>
  <si>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</si>
  <si>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</si>
  <si>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</si>
  <si>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</si>
  <si>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</si>
  <si>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</si>
  <si>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</si>
  <si>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</si>
  <si>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</si>
  <si>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</si>
  <si>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</si>
  <si>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</si>
  <si>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</si>
  <si>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</si>
  <si>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</si>
  <si>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</si>
  <si>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</si>
  <si>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</si>
  <si>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</si>
  <si>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</si>
  <si>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</si>
  <si>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</si>
  <si>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</si>
  <si>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</si>
  <si>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</si>
  <si>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</si>
  <si>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</si>
  <si>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</si>
  <si>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</si>
  <si>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</si>
  <si>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</si>
  <si>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</si>
  <si>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</si>
  <si>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</si>
  <si>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</si>
  <si>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</si>
  <si>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</si>
  <si>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</si>
  <si>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</si>
  <si>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</si>
  <si>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</si>
  <si>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</si>
  <si>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</si>
  <si>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</si>
  <si>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</si>
  <si>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</si>
  <si>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</si>
  <si>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</si>
  <si>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</si>
  <si>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</si>
  <si>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</si>
  <si>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</si>
  <si>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</si>
  <si>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</si>
  <si>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</si>
  <si>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</si>
  <si>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</si>
  <si>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</si>
  <si>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</si>
  <si>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</si>
  <si>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</si>
  <si>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</si>
  <si>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</si>
  <si>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</si>
  <si>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</si>
  <si>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</si>
  <si>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</si>
  <si>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</si>
  <si>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</si>
  <si>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</si>
  <si>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</si>
  <si>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</si>
  <si>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</si>
  <si>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</si>
  <si>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</si>
  <si>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</si>
  <si>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</si>
  <si>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</si>
  <si>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</si>
  <si>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</si>
  <si>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</si>
  <si>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</si>
  <si>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</si>
  <si>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</si>
  <si>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</si>
  <si>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</si>
  <si>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</si>
  <si>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</si>
  <si>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</si>
  <si>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</si>
  <si>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</si>
  <si>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</si>
  <si>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</si>
  <si>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</si>
  <si>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</si>
  <si>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</si>
  <si>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</si>
  <si>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</si>
  <si>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</si>
  <si>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</si>
  <si>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</si>
  <si>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</si>
  <si>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</si>
  <si>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</si>
  <si>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</si>
  <si>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</si>
  <si>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</si>
  <si>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</si>
  <si>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</si>
  <si>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</si>
  <si>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</si>
  <si>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</si>
  <si>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</si>
  <si>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</si>
  <si>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</si>
  <si>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</si>
  <si>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</si>
  <si>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</si>
  <si>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</si>
  <si>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</si>
  <si>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</si>
  <si>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</si>
  <si>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</si>
  <si>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</si>
  <si>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</si>
  <si>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</si>
  <si>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</si>
  <si>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</si>
  <si>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</si>
  <si>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</si>
  <si>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</si>
  <si>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</si>
  <si>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</si>
  <si>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</si>
  <si>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</si>
  <si>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</si>
  <si>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</si>
  <si>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</si>
  <si>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</si>
  <si>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</si>
  <si>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</si>
  <si>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</si>
  <si>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</si>
  <si>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</si>
  <si>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</si>
  <si>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</si>
  <si>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</si>
  <si>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</si>
  <si>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</si>
  <si>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</si>
  <si>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</si>
  <si>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</si>
  <si>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</si>
  <si>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</si>
  <si>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</si>
  <si>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</si>
  <si>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</si>
  <si>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</si>
  <si>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</si>
  <si>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</si>
  <si>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</si>
  <si>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</si>
  <si>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</si>
  <si>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</si>
  <si>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</si>
  <si>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</si>
  <si>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</si>
  <si>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</si>
  <si>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</si>
  <si>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</si>
  <si>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</si>
  <si>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</si>
  <si>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</si>
  <si>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</si>
  <si>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</si>
  <si>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</si>
  <si>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</si>
  <si>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</si>
  <si>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</si>
  <si>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</si>
  <si>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</si>
  <si>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</si>
  <si>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</si>
  <si>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</si>
  <si>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</si>
  <si>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</si>
  <si>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</si>
  <si>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</si>
  <si>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</si>
  <si>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</si>
  <si>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</si>
  <si>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</si>
  <si>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</si>
  <si>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</si>
  <si>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</si>
  <si>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</si>
  <si>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</si>
  <si>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</si>
  <si>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</si>
  <si>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</si>
  <si>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</si>
  <si>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</si>
  <si>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</si>
  <si>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</si>
  <si>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</si>
  <si>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</si>
  <si>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</si>
  <si>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</si>
  <si>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</si>
  <si>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</si>
  <si>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</si>
  <si>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</si>
  <si>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</si>
  <si>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</si>
  <si>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</si>
  <si>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</si>
  <si>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</si>
  <si>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</si>
  <si>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</si>
  <si>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</si>
  <si>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</si>
  <si>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</si>
  <si>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</si>
  <si>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</si>
  <si>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</si>
  <si>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</si>
  <si>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</si>
  <si>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</si>
  <si>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</si>
  <si>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</si>
  <si>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</si>
  <si>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</si>
  <si>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</si>
  <si>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</si>
  <si>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</si>
  <si>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</si>
  <si>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</si>
  <si>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</si>
  <si>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</si>
  <si>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</si>
  <si>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</si>
  <si>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</si>
  <si>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</si>
  <si>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</si>
  <si>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</si>
  <si>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</si>
  <si>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</si>
  <si>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</si>
  <si>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</si>
  <si>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</si>
  <si>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</si>
  <si>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</si>
  <si>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</si>
  <si>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</si>
  <si>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</si>
  <si>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</si>
  <si>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</si>
  <si>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</si>
  <si>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</si>
  <si>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</si>
  <si>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</si>
  <si>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</si>
  <si>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</si>
  <si>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</si>
  <si>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</si>
  <si>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</si>
  <si>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</si>
  <si>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</si>
  <si>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</si>
  <si>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</si>
  <si>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</si>
  <si>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</si>
  <si>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</si>
  <si>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</si>
  <si>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</si>
  <si>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</si>
  <si>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</si>
  <si>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</si>
  <si>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</si>
  <si>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</si>
  <si>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</si>
  <si>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</si>
  <si>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</si>
  <si>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</si>
  <si>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</si>
  <si>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</si>
  <si>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</si>
  <si>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</si>
  <si>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</si>
  <si>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</si>
  <si>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</si>
  <si>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</si>
  <si>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</si>
  <si>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</si>
  <si>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</si>
  <si>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</si>
  <si>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</si>
  <si>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</si>
  <si>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</si>
  <si>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</si>
  <si>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</si>
  <si>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</si>
  <si>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</si>
  <si>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</si>
  <si>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</si>
  <si>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</si>
  <si>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</si>
  <si>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</si>
  <si>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</si>
  <si>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</si>
  <si>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</si>
  <si>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</si>
  <si>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</si>
  <si>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</si>
  <si>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</si>
  <si>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</si>
  <si>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</si>
  <si>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</si>
  <si>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</si>
  <si>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</si>
  <si>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</si>
  <si>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</si>
  <si>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</si>
  <si>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</si>
  <si>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</si>
  <si>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</si>
  <si>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</si>
  <si>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</si>
  <si>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</si>
  <si>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</si>
  <si>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</si>
  <si>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</si>
  <si>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</si>
  <si>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</si>
  <si>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</si>
  <si>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</si>
  <si>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</si>
  <si>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</si>
  <si>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</si>
  <si>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</si>
  <si>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</si>
  <si>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</si>
  <si>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</si>
  <si>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</si>
  <si>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</si>
  <si>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</si>
  <si>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</si>
  <si>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</si>
  <si>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</si>
  <si>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</si>
  <si>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</si>
  <si>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</si>
  <si>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</si>
  <si>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</si>
  <si>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</si>
  <si>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</si>
  <si>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</si>
  <si>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</si>
  <si>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</si>
  <si>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</si>
  <si>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</si>
  <si>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</si>
  <si>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</si>
  <si>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</si>
  <si>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</si>
  <si>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</si>
  <si>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</si>
  <si>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</si>
  <si>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</si>
  <si>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</si>
  <si>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</si>
  <si>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</si>
  <si>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</si>
  <si>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</si>
  <si>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</si>
  <si>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</si>
  <si>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</si>
  <si>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</si>
  <si>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</si>
  <si>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</si>
  <si>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</si>
  <si>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</si>
  <si>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</si>
  <si>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</si>
  <si>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</si>
  <si>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</si>
  <si>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</si>
  <si>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</si>
  <si>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</si>
  <si>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</si>
  <si>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</si>
  <si>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</si>
  <si>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</si>
  <si>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</si>
  <si>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</si>
  <si>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</si>
  <si>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</si>
  <si>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</si>
  <si>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</si>
  <si>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</si>
  <si>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</si>
  <si>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</si>
  <si>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</si>
  <si>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</si>
  <si>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</si>
  <si>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</si>
  <si>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</si>
  <si>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</si>
  <si>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</si>
  <si>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</si>
  <si>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</si>
  <si>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</si>
  <si>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</si>
  <si>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</si>
  <si>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</si>
  <si>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</si>
  <si>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</si>
  <si>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</si>
  <si>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</si>
  <si>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</si>
  <si>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</si>
  <si>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</si>
  <si>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</si>
  <si>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</si>
  <si>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</si>
  <si>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</si>
  <si>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</si>
  <si>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</si>
  <si>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</si>
  <si>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</si>
  <si>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</si>
  <si>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</si>
  <si>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</si>
  <si>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</si>
  <si>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</si>
  <si>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</si>
  <si>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</si>
  <si>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</si>
  <si>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</si>
  <si>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</si>
  <si>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</si>
  <si>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</si>
  <si>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</si>
  <si>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</si>
  <si>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</si>
  <si>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</si>
  <si>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</si>
  <si>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</si>
  <si>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</si>
  <si>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</si>
  <si>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</si>
  <si>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</si>
  <si>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</si>
  <si>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</si>
  <si>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</si>
  <si>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</si>
  <si>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</si>
  <si>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</si>
  <si>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</si>
  <si>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</si>
  <si>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</si>
  <si>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</si>
  <si>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</si>
  <si>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</si>
  <si>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</si>
  <si>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</si>
  <si>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</si>
  <si>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</si>
  <si>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</si>
  <si>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</si>
  <si>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</si>
  <si>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</si>
  <si>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</si>
  <si>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</si>
  <si>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</si>
  <si>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</si>
  <si>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</si>
  <si>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</si>
  <si>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</si>
  <si>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</si>
  <si>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</si>
  <si>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</si>
  <si>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</si>
  <si>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</si>
  <si>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</si>
  <si>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</si>
  <si>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</si>
  <si>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</si>
  <si>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</si>
  <si>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</si>
  <si>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</si>
  <si>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</si>
  <si>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</si>
  <si>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</si>
  <si>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</si>
  <si>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</si>
  <si>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</si>
  <si>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</si>
  <si>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</si>
  <si>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</si>
  <si>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</si>
  <si>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</si>
  <si>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</si>
  <si>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</si>
  <si>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</si>
  <si>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</si>
  <si>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</si>
  <si>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</si>
  <si>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</si>
  <si>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</si>
  <si>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</si>
  <si>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</si>
  <si>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</si>
  <si>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</si>
  <si>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</si>
  <si>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</si>
  <si>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</si>
  <si>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</si>
  <si>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</si>
  <si>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</si>
  <si>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</si>
  <si>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</si>
  <si>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</si>
  <si>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</si>
  <si>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</si>
  <si>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</si>
  <si>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</si>
  <si>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</si>
  <si>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</si>
  <si>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</si>
  <si>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</si>
  <si>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</si>
  <si>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</si>
  <si>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</si>
  <si>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</si>
  <si>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</si>
  <si>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</si>
  <si>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</si>
  <si>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</si>
  <si>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</si>
  <si>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</si>
  <si>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</si>
  <si>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</si>
  <si>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</si>
  <si>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</si>
  <si>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</si>
  <si>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</si>
  <si>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</si>
  <si>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</si>
  <si>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</si>
  <si>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</si>
  <si>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</si>
  <si>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</si>
  <si>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</si>
  <si>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</si>
  <si>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</si>
  <si>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</si>
  <si>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</si>
  <si>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</si>
  <si>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</si>
  <si>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</si>
  <si>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</si>
  <si>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</si>
  <si>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</si>
  <si>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</si>
  <si>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</si>
  <si>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</si>
  <si>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</si>
  <si>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</si>
  <si>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</si>
  <si>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</si>
  <si>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</si>
  <si>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</si>
  <si>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</si>
  <si>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</si>
  <si>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</si>
  <si>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</si>
  <si>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</si>
  <si>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</si>
  <si>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</si>
  <si>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</si>
  <si>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</si>
  <si>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</si>
  <si>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</si>
  <si>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</si>
  <si>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</si>
  <si>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</si>
  <si>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</si>
  <si>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</si>
  <si>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</si>
  <si>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</si>
  <si>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</si>
  <si>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</si>
  <si>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</si>
  <si>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</si>
  <si>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</si>
  <si>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</si>
  <si>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</si>
  <si>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</si>
  <si>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</si>
  <si>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</si>
  <si>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</si>
  <si>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</si>
  <si>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</si>
  <si>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</si>
  <si>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</si>
  <si>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</si>
  <si>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</si>
  <si>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</si>
  <si>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</si>
  <si>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</si>
  <si>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</si>
  <si>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</si>
  <si>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</si>
  <si>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</si>
  <si>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</si>
  <si>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</si>
  <si>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</si>
  <si>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</si>
  <si>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</si>
  <si>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</si>
  <si>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</si>
  <si>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</si>
  <si>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</si>
  <si>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</si>
  <si>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</si>
  <si>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</si>
  <si>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</si>
  <si>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</si>
  <si>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</si>
  <si>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</si>
  <si>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</si>
  <si>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</si>
  <si>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</si>
  <si>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</si>
  <si>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</si>
  <si>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</si>
  <si>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</si>
  <si>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</si>
  <si>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</si>
  <si>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</si>
  <si>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</si>
  <si>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</si>
  <si>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</si>
  <si>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</si>
  <si>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</si>
  <si>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</si>
  <si>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</si>
  <si>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</si>
  <si>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</si>
  <si>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</si>
  <si>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</si>
  <si>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</si>
  <si>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</si>
  <si>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</si>
  <si>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</si>
  <si>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</si>
  <si>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</si>
  <si>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</si>
  <si>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</si>
  <si>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</si>
  <si>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</si>
  <si>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</si>
  <si>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</si>
  <si>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</si>
  <si>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</si>
  <si>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</si>
  <si>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</si>
  <si>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</si>
  <si>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</si>
  <si>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</si>
  <si>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</si>
  <si>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</si>
  <si>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</si>
  <si>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</si>
  <si>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</si>
  <si>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</si>
  <si>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</si>
  <si>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</si>
  <si>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</si>
  <si>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</si>
  <si>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</si>
  <si>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</si>
  <si>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</si>
  <si>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</si>
  <si>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</si>
  <si>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</si>
  <si>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</si>
  <si>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</si>
  <si>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</si>
  <si>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</si>
  <si>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</si>
  <si>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</si>
  <si>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</si>
  <si>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</si>
  <si>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</si>
  <si>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</si>
  <si>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</si>
  <si>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</si>
  <si>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</si>
  <si>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</si>
  <si>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</si>
  <si>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</si>
  <si>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</si>
  <si>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</si>
  <si>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</si>
  <si>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</si>
  <si>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</si>
  <si>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</si>
  <si>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</si>
  <si>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</si>
  <si>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</si>
  <si>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</si>
  <si>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</si>
  <si>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</si>
  <si>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</si>
  <si>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</si>
  <si>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</si>
  <si>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</si>
  <si>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</si>
  <si>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</si>
  <si>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</si>
  <si>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</si>
  <si>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</si>
  <si>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</si>
  <si>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</si>
  <si>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</si>
  <si>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</si>
  <si>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</si>
  <si>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</si>
  <si>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</si>
  <si>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</si>
  <si>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</si>
  <si>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</si>
  <si>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</si>
  <si>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</si>
  <si>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</si>
  <si>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</si>
  <si>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</si>
  <si>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</si>
  <si>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</si>
  <si>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</si>
  <si>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</si>
  <si>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</si>
  <si>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</si>
  <si>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</si>
  <si>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</si>
  <si>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</si>
  <si>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</si>
  <si>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</si>
  <si>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</si>
  <si>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</si>
  <si>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</si>
  <si>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</si>
  <si>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</si>
  <si>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</si>
  <si>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</si>
  <si>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</si>
  <si>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</si>
  <si>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</si>
  <si>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</si>
  <si>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</si>
  <si>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</si>
  <si>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</si>
  <si>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</si>
  <si>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</si>
  <si>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</si>
  <si>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</si>
  <si>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</si>
  <si>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</si>
  <si>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</si>
  <si>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</si>
  <si>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</si>
  <si>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</si>
  <si>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</si>
  <si>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</si>
  <si>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</si>
  <si>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</si>
  <si>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</si>
  <si>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</si>
  <si>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</si>
  <si>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</si>
  <si>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</si>
  <si>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</si>
  <si>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</si>
  <si>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</si>
  <si>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</si>
  <si>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</si>
  <si>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</si>
  <si>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</si>
  <si>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</si>
  <si>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</si>
  <si>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</si>
  <si>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</si>
  <si>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</si>
  <si>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</si>
  <si>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</si>
  <si>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</si>
  <si>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</si>
  <si>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</si>
  <si>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</si>
  <si>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</si>
  <si>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</si>
  <si>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</si>
  <si>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</si>
  <si>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</si>
  <si>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</si>
  <si>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</si>
  <si>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</si>
  <si>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</si>
  <si>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</si>
  <si>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</si>
  <si>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</si>
  <si>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</si>
  <si>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</si>
  <si>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</si>
  <si>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</si>
  <si>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</si>
  <si>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</si>
  <si>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</si>
  <si>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</si>
  <si>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</si>
  <si>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</si>
  <si>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</si>
  <si>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</si>
  <si>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</si>
  <si>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</si>
  <si>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</si>
  <si>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</si>
  <si>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</si>
  <si>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</si>
  <si>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</si>
  <si>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</si>
  <si>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</si>
  <si>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</si>
  <si>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</si>
  <si>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</si>
  <si>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</si>
  <si>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</si>
  <si>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</si>
  <si>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</si>
  <si>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</si>
  <si>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</si>
  <si>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</si>
  <si>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</si>
  <si>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</si>
  <si>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</si>
  <si>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</si>
  <si>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</si>
  <si>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</si>
  <si>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</si>
  <si>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</si>
  <si>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</si>
  <si>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</si>
  <si>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</si>
  <si>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</si>
  <si>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</si>
  <si>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</si>
  <si>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</si>
  <si>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</si>
  <si>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</si>
  <si>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</si>
  <si>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</si>
  <si>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</si>
  <si>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</si>
  <si>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</si>
  <si>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</si>
  <si>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</si>
  <si>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</si>
  <si>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</si>
  <si>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</si>
  <si>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</si>
  <si>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</si>
  <si>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</si>
  <si>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</si>
  <si>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</si>
  <si>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</si>
  <si>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</si>
  <si>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</si>
  <si>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</si>
  <si>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</si>
  <si>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</si>
  <si>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</si>
  <si>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</si>
  <si>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</si>
  <si>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</si>
  <si>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</si>
  <si>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</si>
  <si>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</si>
  <si>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</si>
  <si>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</si>
  <si>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</si>
  <si>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</si>
  <si>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</si>
  <si>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</si>
  <si>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</si>
  <si>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</si>
  <si>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</si>
  <si>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</si>
  <si>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</si>
  <si>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</si>
  <si>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</si>
  <si>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</si>
  <si>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</si>
  <si>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</si>
  <si>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</si>
  <si>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</si>
  <si>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</si>
  <si>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</si>
  <si>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</si>
  <si>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</si>
  <si>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</si>
  <si>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</si>
  <si>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</si>
  <si>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</si>
  <si>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</si>
  <si>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</si>
  <si>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</si>
  <si>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</si>
  <si>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</si>
  <si>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</si>
  <si>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</si>
  <si>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</si>
  <si>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</si>
  <si>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</si>
  <si>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</si>
  <si>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</si>
  <si>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</si>
  <si>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</si>
  <si>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</si>
  <si>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</si>
  <si>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</si>
  <si>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</si>
  <si>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</si>
  <si>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</si>
  <si>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</si>
  <si>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</si>
  <si>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</si>
  <si>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</si>
  <si>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</si>
  <si>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</si>
  <si>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</si>
  <si>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</si>
  <si>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</si>
  <si>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</si>
  <si>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</si>
  <si>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</si>
  <si>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</si>
  <si>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</si>
  <si>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</si>
  <si>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</si>
  <si>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</si>
  <si>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</si>
  <si>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</si>
  <si>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</si>
  <si>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</si>
  <si>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</si>
  <si>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</si>
  <si>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</si>
  <si>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</si>
  <si>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</si>
  <si>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</si>
  <si>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</si>
  <si>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</si>
  <si>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</si>
  <si>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</si>
  <si>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</si>
  <si>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</si>
  <si>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</si>
  <si>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</si>
  <si>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</si>
  <si>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</si>
  <si>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</si>
  <si>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</si>
  <si>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</si>
  <si>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</si>
  <si>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</si>
  <si>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</si>
  <si>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</si>
  <si>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</si>
  <si>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</si>
  <si>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</si>
  <si>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</si>
  <si>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</si>
  <si>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</si>
  <si>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</si>
  <si>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</si>
  <si>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</si>
  <si>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</si>
  <si>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</si>
  <si>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</si>
  <si>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</si>
  <si>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</si>
  <si>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</si>
  <si>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</si>
  <si>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</si>
  <si>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</si>
  <si>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</si>
  <si>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</si>
  <si>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</si>
  <si>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</si>
  <si>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</si>
  <si>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</si>
  <si>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</si>
  <si>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</si>
  <si>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</si>
  <si>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</si>
  <si>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</si>
  <si>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</si>
  <si>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</si>
  <si>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</si>
  <si>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</si>
  <si>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</si>
  <si>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</si>
  <si>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</si>
  <si>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</si>
  <si>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</si>
  <si>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</si>
  <si>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</si>
  <si>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</si>
  <si>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</si>
  <si>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</si>
  <si>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</si>
  <si>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</si>
  <si>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</si>
  <si>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</si>
  <si>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</si>
  <si>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</si>
  <si>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</si>
  <si>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</si>
  <si>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</si>
  <si>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</si>
  <si>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</si>
  <si>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</si>
  <si>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</si>
  <si>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</si>
  <si>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</si>
  <si>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</si>
  <si>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</si>
  <si>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</si>
  <si>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</si>
  <si>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</si>
  <si>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</si>
  <si>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</si>
  <si>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</si>
  <si>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</si>
  <si>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</si>
  <si>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</si>
  <si>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</si>
  <si>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</si>
  <si>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</si>
  <si>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</si>
  <si>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</si>
  <si>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</si>
  <si>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</si>
  <si>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</si>
  <si>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</si>
  <si>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</si>
  <si>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</si>
  <si>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</si>
  <si>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</si>
  <si>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</si>
  <si>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</si>
  <si>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</si>
  <si>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</si>
  <si>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</si>
  <si>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</si>
  <si>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</si>
  <si>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</si>
  <si>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</si>
  <si>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</si>
  <si>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</si>
  <si>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</si>
  <si>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</si>
  <si>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</si>
  <si>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</si>
  <si>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</si>
  <si>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</si>
  <si>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</si>
  <si>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</si>
  <si>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</si>
  <si>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</si>
  <si>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</si>
  <si>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</si>
  <si>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</si>
  <si>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</si>
  <si>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</si>
  <si>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</si>
  <si>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</si>
  <si>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</si>
  <si>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</si>
  <si>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</si>
  <si>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</si>
  <si>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</si>
  <si>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</si>
  <si>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</si>
  <si>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</si>
  <si>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</si>
  <si>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</si>
  <si>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</si>
  <si>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</si>
  <si>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</si>
  <si>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</si>
  <si>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</si>
  <si>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</si>
  <si>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</si>
  <si>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</si>
  <si>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</si>
  <si>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</si>
  <si>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</si>
  <si>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</si>
  <si>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</si>
  <si>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</si>
  <si>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</si>
  <si>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</si>
  <si>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</si>
  <si>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</si>
  <si>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</si>
  <si>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</si>
  <si>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</si>
  <si>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</si>
  <si>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</si>
  <si>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</si>
  <si>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</si>
  <si>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</si>
  <si>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</si>
  <si>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</si>
  <si>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</si>
  <si>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</si>
  <si>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</si>
  <si>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</si>
  <si>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</si>
  <si>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</si>
  <si>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</si>
  <si>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</si>
  <si>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</si>
  <si>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</si>
  <si>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</si>
  <si>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</si>
  <si>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</si>
  <si>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</si>
  <si>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</si>
  <si>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</si>
  <si>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</si>
  <si>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</si>
  <si>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</si>
  <si>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</si>
  <si>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</si>
  <si>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</si>
  <si>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</si>
  <si>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</si>
  <si>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</si>
  <si>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</si>
  <si>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</si>
  <si>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</si>
  <si>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</si>
  <si>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</si>
  <si>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</si>
  <si>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</si>
  <si>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</si>
  <si>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</si>
  <si>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</si>
  <si>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</si>
  <si>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</si>
  <si>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</si>
  <si>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</si>
  <si>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</si>
  <si>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</si>
  <si>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</si>
  <si>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</si>
  <si>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</si>
  <si>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</si>
  <si>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</si>
  <si>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</si>
  <si>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</si>
  <si>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</si>
  <si>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</si>
  <si>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</si>
  <si>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</si>
  <si>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</si>
  <si>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</si>
  <si>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</si>
  <si>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</si>
  <si>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</si>
  <si>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</si>
  <si>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</si>
  <si>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</si>
  <si>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</si>
  <si>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</si>
  <si>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</si>
  <si>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</si>
  <si>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</si>
  <si>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</si>
  <si>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</si>
  <si>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</si>
  <si>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</si>
  <si>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</si>
  <si>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</si>
  <si>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</si>
  <si>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</si>
  <si>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</si>
  <si>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</si>
  <si>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</si>
  <si>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</si>
  <si>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</si>
  <si>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</si>
  <si>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</si>
  <si>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</si>
  <si>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</si>
  <si>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</si>
  <si>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</si>
  <si>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</si>
  <si>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</si>
  <si>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</si>
  <si>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</si>
  <si>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</si>
  <si>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</si>
  <si>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</si>
  <si>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</si>
  <si>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</si>
  <si>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</si>
  <si>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</si>
  <si>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</si>
  <si>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</si>
  <si>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</si>
  <si>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</si>
  <si>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</si>
  <si>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</si>
  <si>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</si>
  <si>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</si>
  <si>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</si>
  <si>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</si>
  <si>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</si>
  <si>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</si>
  <si>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</si>
  <si>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</si>
  <si>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</si>
  <si>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</si>
  <si>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</si>
  <si>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</si>
  <si>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</si>
  <si>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</si>
  <si>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</si>
  <si>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</si>
  <si>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</si>
  <si>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</si>
  <si>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</si>
  <si>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</si>
  <si>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</si>
  <si>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</si>
  <si>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</si>
  <si>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</si>
  <si>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</si>
  <si>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</si>
  <si>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</si>
  <si>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</si>
  <si>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</si>
  <si>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</si>
  <si>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</si>
  <si>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</si>
  <si>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</si>
  <si>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</si>
  <si>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</si>
  <si>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</si>
  <si>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</si>
  <si>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</si>
  <si>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</si>
  <si>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</si>
  <si>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</si>
  <si>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</si>
  <si>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</si>
  <si>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</si>
  <si>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</si>
  <si>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</si>
  <si>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</si>
  <si>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</si>
  <si>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</si>
  <si>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</si>
  <si>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</si>
  <si>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</si>
  <si>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</si>
  <si>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</si>
  <si>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</si>
  <si>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</si>
  <si>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</si>
  <si>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</si>
  <si>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</si>
  <si>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</si>
  <si>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</si>
  <si>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</si>
  <si>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</si>
  <si>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</si>
  <si>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</si>
  <si>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</si>
  <si>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</si>
  <si>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</si>
  <si>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</si>
  <si>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</si>
  <si>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</si>
  <si>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</si>
  <si>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</si>
  <si>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</si>
  <si>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</si>
  <si>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</si>
  <si>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</si>
  <si>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</si>
  <si>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</si>
  <si>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</si>
  <si>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</si>
  <si>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</si>
  <si>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</si>
  <si>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</si>
  <si>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</si>
  <si>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</si>
  <si>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</si>
  <si>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</si>
  <si>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</si>
  <si>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</si>
  <si>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</si>
  <si>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</si>
  <si>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</si>
  <si>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</si>
  <si>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</si>
  <si>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</si>
  <si>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</si>
  <si>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</si>
  <si>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</si>
  <si>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</si>
  <si>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</si>
  <si>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</si>
  <si>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</si>
  <si>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</si>
  <si>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</si>
  <si>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</si>
  <si>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</si>
  <si>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</si>
  <si>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</si>
  <si>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</si>
  <si>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</si>
  <si>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</si>
  <si>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</si>
  <si>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</si>
  <si>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</si>
  <si>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</si>
  <si>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</si>
  <si>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</si>
  <si>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</si>
  <si>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</si>
  <si>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</si>
  <si>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</si>
  <si>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</si>
  <si>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</si>
  <si>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</si>
  <si>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</si>
  <si>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</si>
  <si>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</si>
  <si>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</si>
  <si>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</si>
  <si>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</si>
  <si>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</si>
  <si>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</si>
  <si>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</si>
  <si>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</si>
  <si>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</si>
  <si>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</si>
  <si>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</si>
  <si>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</si>
  <si>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</si>
  <si>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</si>
  <si>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</si>
  <si>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</si>
  <si>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</si>
  <si>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</si>
  <si>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</si>
  <si>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</si>
  <si>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</si>
  <si>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</si>
  <si>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</si>
  <si>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</si>
  <si>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</si>
  <si>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</si>
  <si>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</si>
  <si>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</si>
  <si>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</si>
  <si>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</si>
  <si>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</si>
  <si>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</si>
  <si>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</si>
  <si>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</si>
  <si>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</si>
  <si>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</si>
  <si>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</si>
  <si>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</si>
  <si>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</si>
  <si>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</si>
  <si>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</si>
  <si>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</si>
  <si>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</si>
  <si>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</si>
  <si>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</si>
  <si>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</si>
  <si>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</si>
  <si>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</si>
  <si>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</si>
  <si>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</si>
  <si>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</si>
  <si>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</si>
  <si>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</si>
  <si>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</si>
  <si>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</si>
  <si>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</si>
  <si>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</si>
  <si>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</si>
  <si>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</si>
  <si>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</si>
  <si>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</si>
  <si>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</si>
  <si>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</si>
  <si>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</si>
  <si>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</si>
  <si>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</si>
  <si>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</si>
  <si>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</si>
  <si>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</si>
  <si>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</si>
  <si>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</si>
  <si>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</si>
  <si>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</si>
  <si>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</si>
  <si>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</si>
  <si>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</si>
  <si>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</si>
  <si>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</si>
  <si>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</si>
  <si>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</si>
  <si>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</si>
  <si>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</si>
  <si>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</si>
  <si>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</si>
  <si>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</si>
  <si>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</si>
  <si>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</si>
  <si>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</si>
  <si>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</si>
  <si>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</si>
  <si>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</si>
  <si>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</si>
  <si>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</si>
  <si>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</si>
  <si>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</si>
  <si>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</si>
  <si>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</si>
  <si>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</si>
  <si>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</si>
  <si>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</si>
  <si>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</si>
  <si>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</si>
  <si>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</si>
  <si>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</si>
  <si>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</si>
  <si>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</si>
  <si>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</si>
  <si>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</si>
  <si>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</si>
  <si>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</si>
  <si>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</si>
  <si>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</si>
  <si>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</si>
  <si>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</si>
  <si>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</si>
  <si>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</si>
  <si>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</si>
  <si>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</si>
  <si>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</si>
  <si>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</si>
  <si>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</si>
  <si>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</si>
  <si>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</si>
  <si>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</si>
  <si>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</si>
  <si>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</si>
  <si>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</si>
  <si>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</si>
  <si>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</si>
  <si>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</si>
  <si>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</si>
  <si>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</si>
  <si>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</si>
  <si>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</si>
  <si>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</si>
  <si>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</si>
  <si>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</si>
  <si>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</si>
  <si>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</si>
  <si>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</si>
  <si>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</si>
  <si>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</si>
  <si>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</si>
  <si>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</si>
  <si>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</si>
  <si>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</si>
  <si>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</si>
  <si>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</si>
  <si>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</si>
  <si>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</si>
  <si>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</si>
  <si>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</si>
  <si>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</si>
  <si>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</si>
  <si>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</si>
  <si>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</si>
  <si>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</si>
  <si>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</si>
  <si>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</si>
  <si>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</si>
  <si>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</si>
  <si>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</si>
  <si>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</si>
  <si>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</si>
  <si>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</si>
  <si>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</si>
  <si>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</si>
  <si>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</si>
  <si>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</si>
  <si>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</si>
  <si>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</si>
  <si>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</si>
  <si>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</si>
  <si>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</si>
  <si>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</si>
  <si>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</si>
  <si>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</si>
  <si>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</si>
  <si>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</si>
  <si>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</si>
  <si>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</si>
  <si>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</si>
  <si>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</si>
  <si>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</si>
  <si>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</si>
  <si>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</si>
  <si>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</si>
  <si>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</si>
  <si>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</si>
  <si>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</si>
  <si>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</si>
  <si>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</si>
  <si>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</si>
  <si>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</si>
  <si>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</si>
  <si>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</si>
  <si>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</si>
  <si>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</si>
  <si>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</si>
  <si>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</si>
  <si>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</si>
  <si>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</si>
  <si>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</si>
  <si>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</si>
  <si>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</si>
  <si>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</si>
  <si>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</si>
  <si>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</si>
  <si>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</si>
  <si>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</si>
  <si>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</si>
  <si>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</si>
  <si>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</si>
  <si>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</si>
  <si>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</si>
  <si>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</si>
  <si>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</si>
  <si>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</si>
  <si>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</si>
  <si>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</si>
  <si>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</si>
  <si>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</si>
  <si>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</si>
  <si>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</si>
  <si>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</si>
  <si>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</si>
  <si>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</si>
  <si>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</si>
  <si>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</si>
  <si>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</si>
  <si>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</si>
  <si>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</si>
  <si>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</si>
  <si>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</si>
  <si>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</si>
  <si>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</si>
  <si>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</si>
  <si>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</si>
  <si>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</si>
  <si>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</si>
  <si>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</si>
  <si>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</si>
  <si>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</si>
  <si>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</si>
  <si>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</si>
  <si>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</si>
  <si>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</si>
  <si>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</si>
  <si>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</si>
  <si>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</si>
  <si>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</si>
  <si>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</si>
  <si>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</si>
  <si>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</si>
  <si>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</si>
  <si>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</si>
  <si>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</si>
  <si>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</si>
  <si>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</si>
  <si>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</si>
  <si>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</si>
  <si>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</si>
  <si>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</si>
  <si>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</si>
  <si>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</si>
  <si>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</si>
  <si>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</si>
  <si>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</si>
  <si>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</si>
  <si>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</si>
  <si>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</si>
  <si>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</si>
  <si>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</si>
  <si>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</si>
  <si>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</si>
  <si>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</si>
  <si>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</si>
  <si>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</si>
  <si>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</si>
  <si>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</si>
  <si>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</si>
  <si>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</si>
  <si>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</si>
  <si>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</si>
  <si>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</si>
  <si>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</si>
  <si>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</si>
  <si>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</si>
  <si>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</si>
  <si>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</si>
  <si>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</si>
  <si>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</si>
  <si>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</si>
  <si>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</si>
  <si>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</si>
  <si>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</si>
  <si>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</si>
  <si>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</si>
  <si>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</si>
  <si>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</si>
  <si>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</si>
  <si>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</si>
  <si>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</si>
  <si>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</si>
  <si>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</si>
  <si>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</si>
  <si>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</si>
  <si>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</si>
  <si>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</si>
  <si>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</si>
  <si>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</si>
  <si>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</si>
  <si>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</si>
  <si>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</si>
  <si>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</si>
  <si>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</si>
  <si>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</si>
  <si>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</si>
  <si>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</si>
  <si>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</si>
  <si>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</si>
  <si>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</si>
  <si>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</si>
  <si>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</si>
  <si>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</si>
  <si>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</si>
  <si>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</si>
  <si>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</si>
  <si>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</si>
  <si>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</si>
  <si>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</si>
  <si>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</si>
  <si>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</si>
  <si>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</si>
  <si>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</si>
  <si>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</si>
  <si>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</si>
  <si>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</si>
  <si>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</si>
  <si>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</si>
  <si>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</si>
  <si>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</si>
  <si>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</si>
  <si>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</si>
  <si>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</si>
  <si>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</si>
  <si>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</si>
  <si>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</si>
  <si>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</si>
  <si>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</si>
  <si>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</si>
  <si>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</si>
  <si>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</si>
  <si>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</si>
  <si>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</si>
  <si>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</si>
  <si>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</si>
  <si>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</si>
  <si>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</si>
  <si>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</si>
  <si>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</si>
  <si>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</si>
  <si>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</si>
  <si>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</si>
  <si>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</si>
  <si>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</si>
  <si>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</si>
  <si>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</si>
  <si>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</si>
  <si>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</si>
  <si>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</si>
  <si>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</si>
  <si>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</si>
  <si>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</si>
  <si>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</si>
  <si>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</si>
  <si>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</si>
  <si>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</si>
  <si>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</si>
  <si>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</si>
  <si>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</si>
  <si>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</si>
  <si>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</si>
  <si>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</si>
  <si>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</si>
  <si>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</si>
  <si>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</si>
  <si>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</si>
  <si>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</si>
  <si>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</si>
  <si>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</si>
  <si>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</si>
  <si>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</si>
  <si>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</si>
  <si>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</si>
  <si>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</si>
  <si>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</si>
  <si>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</si>
  <si>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</si>
  <si>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</si>
  <si>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</si>
  <si>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</si>
  <si>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</si>
  <si>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</si>
  <si>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</si>
  <si>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</si>
  <si>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</si>
  <si>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</si>
  <si>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</si>
  <si>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</si>
  <si>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</si>
  <si>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</si>
  <si>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</si>
  <si>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</si>
  <si>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</si>
  <si>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</si>
  <si>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</si>
  <si>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</si>
  <si>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</si>
  <si>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</si>
  <si>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</si>
  <si>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</si>
  <si>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</si>
  <si>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</si>
  <si>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</si>
  <si>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</si>
  <si>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</si>
  <si>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</si>
  <si>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</si>
  <si>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</si>
  <si>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</si>
  <si>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</si>
  <si>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</si>
  <si>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</si>
  <si>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</si>
  <si>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</si>
  <si>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</si>
  <si>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</si>
  <si>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</si>
  <si>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</si>
  <si>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</si>
  <si>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</si>
  <si>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</si>
  <si>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</si>
  <si>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</si>
  <si>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</si>
  <si>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</si>
  <si>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</si>
  <si>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</si>
  <si>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</si>
  <si>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</si>
  <si>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</si>
  <si>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</si>
  <si>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</si>
  <si>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</si>
  <si>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</si>
  <si>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</si>
  <si>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</si>
  <si>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</si>
  <si>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</si>
  <si>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</si>
  <si>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</si>
  <si>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</si>
  <si>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</si>
  <si>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</si>
  <si>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</si>
  <si>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</si>
  <si>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</si>
  <si>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</si>
  <si>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</si>
  <si>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</si>
  <si>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</si>
  <si>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</si>
  <si>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</si>
  <si>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</si>
  <si>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</si>
  <si>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</si>
  <si>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</si>
  <si>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</si>
  <si>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</si>
  <si>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</si>
  <si>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</si>
  <si>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</si>
  <si>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</si>
  <si>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</si>
  <si>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</si>
  <si>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</si>
  <si>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</si>
  <si>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</si>
  <si>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</si>
  <si>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</si>
  <si>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</si>
  <si>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</si>
  <si>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</si>
  <si>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</si>
  <si>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</si>
  <si>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</si>
  <si>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</si>
  <si>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</si>
  <si>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</si>
  <si>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</si>
  <si>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</si>
  <si>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</si>
  <si>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</si>
  <si>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</si>
  <si>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</si>
  <si>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</si>
  <si>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</si>
  <si>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</si>
  <si>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</si>
  <si>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</si>
  <si>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</si>
  <si>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</si>
  <si>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</si>
  <si>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</si>
  <si>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</si>
  <si>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</si>
  <si>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</si>
  <si>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</si>
  <si>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</si>
  <si>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</si>
  <si>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</si>
  <si>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</si>
  <si>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</si>
  <si>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</si>
  <si>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</si>
  <si>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</si>
  <si>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</si>
  <si>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</si>
  <si>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</si>
  <si>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</si>
  <si>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</si>
  <si>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</si>
  <si>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</si>
  <si>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</si>
  <si>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</si>
  <si>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</si>
  <si>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</si>
  <si>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</si>
  <si>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</si>
  <si>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</si>
  <si>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</si>
  <si>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</si>
  <si>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</si>
  <si>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</si>
  <si>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</si>
  <si>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</si>
  <si>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</si>
  <si>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</si>
  <si>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</si>
  <si>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</si>
  <si>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</si>
  <si>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</si>
  <si>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</si>
  <si>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</si>
  <si>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</si>
  <si>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</si>
  <si>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</si>
  <si>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</si>
  <si>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</si>
  <si>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</si>
  <si>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</si>
  <si>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</si>
  <si>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</si>
  <si>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</si>
  <si>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</si>
  <si>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</si>
  <si>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</si>
  <si>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</si>
  <si>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</si>
  <si>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</si>
  <si>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</si>
  <si>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</si>
  <si>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</si>
  <si>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</si>
  <si>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</si>
  <si>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</si>
  <si>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</si>
  <si>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</si>
  <si>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</si>
  <si>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</si>
  <si>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</si>
  <si>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</si>
  <si>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</si>
  <si>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</si>
  <si>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</si>
  <si>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</si>
  <si>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</si>
  <si>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</si>
  <si>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</si>
  <si>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</si>
  <si>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</si>
  <si>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</si>
  <si>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</si>
  <si>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</si>
  <si>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</si>
  <si>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</si>
  <si>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</si>
  <si>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</si>
  <si>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</si>
  <si>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</si>
  <si>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</si>
  <si>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</si>
  <si>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</si>
  <si>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</si>
  <si>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</si>
  <si>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</si>
  <si>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</si>
  <si>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</si>
  <si>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</si>
  <si>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</si>
  <si>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</si>
  <si>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</si>
  <si>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</si>
  <si>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</si>
  <si>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</si>
  <si>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</si>
  <si>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</si>
  <si>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</si>
  <si>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</si>
  <si>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</si>
  <si>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</si>
  <si>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</si>
  <si>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</si>
  <si>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</si>
  <si>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</si>
  <si>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</si>
  <si>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</si>
  <si>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</si>
  <si>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</si>
  <si>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</si>
  <si>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</si>
  <si>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</si>
  <si>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</si>
  <si>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</si>
  <si>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</si>
  <si>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</si>
  <si>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</si>
  <si>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</si>
  <si>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</si>
  <si>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</si>
  <si>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</si>
  <si>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</si>
  <si>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</si>
  <si>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</si>
  <si>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</si>
  <si>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</si>
  <si>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</si>
  <si>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</si>
  <si>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</si>
  <si>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</si>
  <si>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</si>
  <si>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</si>
  <si>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</si>
  <si>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</si>
  <si>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</si>
  <si>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</si>
  <si>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</si>
  <si>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</si>
  <si>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</si>
  <si>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</si>
  <si>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</si>
  <si>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</si>
  <si>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</si>
  <si>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</si>
  <si>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</si>
  <si>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</si>
  <si>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</si>
  <si>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</si>
  <si>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</si>
  <si>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</si>
  <si>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</si>
  <si>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</si>
  <si>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</si>
  <si>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</si>
  <si>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</si>
  <si>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</si>
  <si>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</si>
  <si>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</si>
  <si>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</si>
  <si>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</si>
  <si>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</si>
  <si>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</si>
  <si>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</si>
  <si>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</si>
  <si>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</si>
  <si>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</si>
  <si>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</si>
  <si>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</si>
  <si>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</si>
  <si>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</si>
  <si>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</si>
  <si>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</si>
  <si>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</si>
  <si>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</si>
  <si>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</si>
  <si>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</si>
  <si>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</si>
  <si>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</si>
  <si>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</si>
  <si>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</si>
  <si>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</si>
  <si>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</si>
  <si>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</si>
  <si>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</si>
  <si>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</si>
  <si>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</si>
  <si>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</si>
  <si>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</si>
  <si>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</si>
  <si>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</si>
  <si>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</si>
  <si>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</si>
  <si>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</si>
  <si>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</si>
  <si>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</si>
  <si>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</si>
  <si>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</si>
  <si>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</si>
  <si>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</si>
  <si>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</si>
  <si>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</si>
  <si>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</si>
  <si>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</si>
  <si>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</si>
  <si>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</si>
  <si>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</si>
  <si>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</si>
  <si>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</si>
  <si>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</si>
  <si>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</si>
  <si>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</si>
  <si>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</si>
  <si>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</si>
  <si>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</si>
  <si>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</si>
  <si>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</si>
  <si>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</si>
  <si>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</si>
  <si>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</si>
  <si>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</si>
  <si>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</si>
  <si>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</si>
  <si>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</si>
  <si>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</si>
  <si>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</si>
  <si>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</si>
  <si>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</si>
  <si>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</si>
  <si>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</si>
  <si>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</si>
  <si>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</si>
  <si>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</si>
  <si>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</si>
  <si>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</si>
  <si>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</si>
  <si>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</si>
  <si>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</si>
  <si>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</si>
  <si>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</si>
  <si>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</si>
  <si>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</si>
  <si>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</si>
  <si>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</si>
  <si>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</si>
  <si>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</si>
  <si>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</si>
  <si>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</si>
  <si>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</si>
  <si>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</si>
  <si>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</si>
  <si>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</si>
  <si>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</si>
  <si>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</si>
  <si>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</si>
  <si>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</si>
  <si>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</si>
  <si>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</si>
  <si>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</si>
  <si>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</si>
  <si>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</si>
  <si>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</si>
  <si>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</si>
  <si>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</si>
  <si>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</si>
  <si>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</si>
  <si>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</si>
  <si>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</si>
  <si>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</si>
  <si>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</si>
  <si>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</si>
  <si>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</si>
  <si>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</si>
  <si>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</si>
  <si>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</si>
  <si>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</si>
  <si>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</si>
  <si>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</si>
  <si>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</si>
  <si>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</si>
  <si>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</si>
  <si>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</si>
  <si>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</si>
  <si>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</si>
  <si>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</si>
  <si>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</si>
  <si>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</si>
  <si>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</si>
  <si>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</si>
  <si>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</si>
  <si>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</si>
  <si>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</si>
  <si>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</si>
  <si>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</si>
  <si>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</si>
  <si>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</si>
  <si>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</si>
  <si>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</si>
  <si>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</si>
  <si>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</si>
  <si>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</si>
  <si>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</si>
  <si>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</si>
  <si>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</si>
  <si>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</si>
  <si>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</si>
  <si>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</si>
  <si>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</si>
  <si>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</si>
  <si>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</si>
  <si>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</si>
  <si>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</si>
  <si>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</si>
  <si>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</si>
  <si>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</si>
  <si>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</si>
  <si>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</si>
  <si>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</si>
  <si>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</si>
  <si>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</si>
  <si>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</si>
  <si>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</si>
  <si>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</si>
  <si>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</si>
  <si>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</si>
  <si>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</si>
  <si>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</si>
  <si>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</si>
  <si>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</si>
  <si>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</si>
  <si>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</si>
  <si>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</si>
  <si>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</si>
  <si>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</si>
  <si>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</si>
  <si>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</si>
  <si>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</si>
  <si>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</si>
  <si>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</si>
  <si>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</si>
  <si>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</si>
  <si>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</si>
  <si>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</si>
  <si>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</si>
  <si>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</si>
  <si>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</si>
  <si>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</si>
  <si>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</si>
  <si>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</si>
  <si>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</si>
  <si>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</si>
  <si>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</si>
  <si>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</si>
  <si>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</si>
  <si>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</si>
  <si>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</si>
  <si>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</si>
  <si>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</si>
  <si>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</si>
  <si>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</si>
  <si>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</si>
  <si>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</si>
  <si>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</si>
  <si>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</si>
  <si>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</si>
  <si>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</si>
  <si>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</si>
  <si>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</si>
  <si>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</si>
  <si>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</si>
  <si>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</si>
  <si>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</si>
  <si>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</si>
  <si>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</si>
  <si>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</si>
  <si>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</si>
  <si>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</si>
  <si>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</si>
  <si>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</si>
  <si>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</si>
  <si>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</si>
  <si>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</si>
  <si>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</si>
  <si>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</si>
  <si>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</si>
  <si>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</si>
  <si>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</si>
  <si>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</si>
  <si>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</si>
  <si>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</si>
  <si>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</si>
  <si>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</si>
  <si>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</si>
  <si>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</si>
  <si>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</si>
  <si>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</si>
  <si>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</si>
  <si>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</si>
  <si>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</si>
  <si>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</si>
  <si>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</si>
  <si>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</si>
  <si>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</si>
  <si>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</si>
  <si>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</si>
  <si>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</si>
  <si>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</si>
  <si>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</si>
  <si>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</si>
  <si>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</si>
  <si>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</si>
  <si>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</si>
  <si>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</si>
  <si>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</si>
  <si>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</si>
  <si>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</si>
  <si>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</si>
  <si>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</si>
  <si>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</si>
  <si>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</si>
  <si>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</si>
  <si>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</si>
  <si>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</si>
  <si>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</si>
  <si>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</si>
  <si>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</si>
  <si>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</si>
  <si>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</si>
  <si>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</si>
  <si>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</si>
  <si>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</si>
  <si>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</si>
  <si>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</si>
  <si>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</si>
  <si>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</si>
  <si>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</si>
  <si>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</si>
  <si>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</si>
  <si>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</si>
  <si>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</si>
  <si>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</si>
  <si>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</si>
  <si>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</si>
  <si>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</si>
  <si>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</si>
  <si>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</si>
  <si>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</si>
  <si>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</si>
  <si>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</si>
  <si>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</si>
  <si>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</si>
  <si>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</si>
  <si>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</si>
  <si>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</si>
  <si>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</si>
  <si>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</si>
  <si>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</si>
  <si>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</si>
  <si>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</si>
  <si>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</si>
  <si>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</si>
  <si>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</si>
  <si>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</si>
  <si>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</si>
  <si>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</si>
  <si>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</si>
  <si>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</si>
  <si>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</si>
  <si>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</si>
  <si>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</si>
  <si>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</si>
  <si>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</si>
  <si>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</si>
  <si>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</si>
  <si>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</si>
  <si>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</si>
  <si>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</si>
  <si>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</si>
  <si>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</si>
  <si>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</si>
  <si>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</si>
  <si>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</si>
  <si>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</si>
  <si>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</si>
  <si>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</si>
  <si>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</si>
  <si>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</si>
  <si>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</si>
  <si>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</si>
  <si>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</si>
  <si>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</si>
  <si>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</si>
  <si>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</si>
  <si>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</si>
  <si>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</si>
  <si>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</si>
  <si>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</si>
  <si>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</si>
  <si>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</si>
  <si>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</si>
  <si>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</si>
  <si>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</si>
  <si>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</si>
  <si>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</si>
  <si>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</si>
  <si>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</si>
  <si>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</si>
  <si>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</si>
  <si>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</si>
  <si>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</si>
  <si>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</si>
  <si>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</si>
  <si>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</si>
  <si>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</si>
  <si>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</si>
  <si>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</si>
  <si>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</si>
  <si>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</si>
  <si>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</si>
  <si>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</si>
  <si>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</si>
  <si>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</si>
  <si>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</si>
  <si>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</si>
  <si>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</si>
  <si>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</si>
  <si>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</si>
  <si>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</si>
  <si>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</si>
  <si>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</si>
  <si>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</si>
  <si>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</si>
  <si>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</si>
  <si>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</si>
  <si>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</si>
  <si>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</si>
  <si>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</si>
  <si>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</si>
  <si>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</si>
  <si>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</si>
  <si>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</si>
  <si>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</si>
  <si>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</si>
  <si>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</si>
  <si>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</si>
  <si>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</si>
  <si>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</si>
  <si>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</si>
  <si>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</si>
  <si>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</si>
  <si>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</si>
  <si>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</si>
  <si>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</si>
  <si>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</si>
  <si>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</si>
  <si>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</si>
  <si>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</si>
  <si>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</si>
  <si>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</si>
  <si>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</si>
  <si>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</si>
  <si>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</si>
  <si>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</si>
  <si>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</si>
  <si>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</si>
  <si>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</si>
  <si>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</si>
  <si>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</si>
  <si>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</si>
  <si>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</si>
  <si>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</si>
  <si>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</si>
  <si>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</si>
  <si>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</si>
  <si>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</si>
  <si>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</si>
  <si>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</si>
  <si>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</si>
  <si>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</si>
  <si>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</si>
  <si>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</si>
  <si>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</si>
  <si>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</si>
  <si>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</si>
  <si>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</si>
  <si>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</si>
  <si>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</si>
  <si>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</si>
  <si>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</si>
  <si>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</si>
  <si>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</si>
  <si>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</si>
  <si>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</si>
  <si>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</si>
  <si>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</si>
  <si>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</si>
  <si>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</si>
  <si>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</si>
  <si>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</si>
  <si>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</si>
  <si>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</si>
  <si>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</si>
  <si>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</si>
  <si>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</si>
  <si>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</si>
  <si>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</si>
  <si>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</si>
  <si>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</si>
  <si>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</si>
  <si>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</si>
  <si>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</si>
  <si>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</si>
  <si>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</si>
  <si>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</si>
  <si>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</si>
  <si>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</si>
  <si>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</si>
  <si>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</si>
  <si>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</si>
  <si>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</si>
  <si>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</si>
  <si>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</si>
  <si>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</si>
  <si>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</si>
  <si>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</si>
  <si>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</si>
  <si>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</si>
  <si>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</si>
  <si>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</si>
  <si>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</si>
  <si>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</si>
  <si>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</si>
  <si>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</si>
  <si>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</si>
  <si>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</si>
  <si>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</si>
  <si>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</si>
  <si>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</si>
  <si>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</si>
  <si>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</si>
  <si>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</si>
  <si>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</si>
  <si>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</si>
  <si>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</si>
  <si>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</si>
  <si>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</si>
  <si>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</si>
  <si>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</si>
  <si>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</si>
  <si>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</si>
  <si>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</si>
  <si>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</si>
  <si>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</si>
  <si>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</si>
  <si>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</si>
  <si>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</si>
  <si>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</si>
  <si>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</si>
  <si>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</si>
  <si>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</si>
  <si>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</si>
  <si>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</si>
  <si>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</si>
  <si>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</si>
  <si>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</si>
  <si>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</si>
  <si>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</si>
  <si>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</si>
  <si>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</si>
  <si>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</si>
  <si>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</si>
  <si>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</si>
  <si>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</si>
  <si>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</si>
  <si>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</si>
  <si>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</si>
  <si>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</si>
  <si>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</si>
  <si>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</si>
  <si>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</si>
  <si>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</si>
  <si>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</si>
  <si>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</si>
  <si>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</si>
  <si>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</si>
  <si>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</si>
  <si>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</si>
  <si>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</si>
  <si>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</si>
  <si>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</si>
  <si>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</si>
  <si>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</si>
  <si>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</si>
  <si>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</si>
  <si>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</si>
  <si>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</si>
  <si>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</si>
  <si>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</si>
  <si>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</si>
  <si>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</si>
  <si>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</si>
  <si>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</si>
  <si>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</si>
  <si>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</si>
  <si>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</si>
  <si>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</si>
  <si>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</si>
  <si>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</si>
  <si>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</si>
  <si>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</si>
  <si>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</si>
  <si>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</si>
  <si>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</si>
  <si>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</si>
  <si>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</si>
  <si>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</si>
  <si>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</si>
  <si>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</si>
  <si>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</si>
  <si>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</si>
  <si>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</si>
  <si>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</si>
  <si>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</si>
  <si>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</si>
  <si>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</si>
  <si>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</si>
  <si>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</si>
  <si>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</si>
  <si>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</si>
  <si>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</si>
  <si>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</si>
  <si>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</si>
  <si>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</si>
  <si>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</si>
  <si>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</si>
  <si>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</si>
  <si>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</si>
  <si>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</si>
  <si>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</si>
  <si>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</si>
  <si>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</si>
  <si>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</si>
  <si>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</si>
  <si>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</si>
  <si>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</si>
  <si>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</si>
  <si>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</si>
  <si>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</si>
  <si>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</si>
  <si>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</si>
  <si>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</si>
  <si>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</si>
  <si>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</si>
  <si>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</si>
  <si>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</si>
  <si>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</si>
  <si>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</si>
  <si>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</si>
  <si>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</si>
  <si>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</si>
  <si>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</si>
  <si>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</si>
  <si>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</si>
  <si>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</si>
  <si>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</si>
  <si>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</si>
  <si>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</si>
  <si>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</si>
  <si>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</si>
  <si>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</si>
  <si>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</si>
  <si>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</si>
  <si>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</si>
  <si>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</si>
  <si>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</si>
  <si>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</si>
  <si>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</si>
  <si>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</si>
  <si>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</si>
  <si>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</si>
  <si>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</si>
  <si>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</si>
  <si>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</si>
  <si>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</si>
  <si>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</si>
  <si>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</si>
  <si>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</si>
  <si>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</si>
  <si>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</si>
  <si>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</si>
  <si>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</si>
  <si>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</si>
  <si>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</si>
  <si>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</si>
  <si>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</si>
  <si>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</si>
  <si>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</si>
  <si>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</si>
  <si>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</si>
  <si>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</si>
  <si>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</si>
  <si>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</si>
  <si>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</si>
  <si>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</si>
  <si>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</si>
  <si>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</si>
  <si>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</si>
  <si>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</si>
  <si>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</si>
  <si>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</si>
  <si>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</si>
  <si>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</si>
  <si>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</si>
  <si>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</si>
  <si>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</si>
  <si>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</si>
  <si>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</si>
  <si>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</si>
  <si>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</si>
  <si>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</si>
  <si>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</si>
  <si>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</si>
  <si>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</si>
  <si>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</si>
  <si>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</si>
  <si>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</si>
  <si>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</si>
  <si>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</si>
  <si>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</si>
  <si>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</si>
  <si>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</si>
  <si>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</si>
  <si>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</si>
  <si>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</si>
  <si>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</si>
  <si>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</si>
  <si>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</si>
  <si>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</si>
  <si>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</si>
  <si>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</si>
  <si>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</si>
  <si>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</si>
  <si>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</si>
  <si>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</si>
  <si>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</si>
  <si>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</si>
  <si>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</si>
  <si>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</si>
  <si>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</si>
  <si>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</si>
  <si>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</si>
  <si>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</si>
  <si>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</si>
  <si>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</si>
  <si>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</si>
  <si>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</si>
  <si>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</si>
  <si>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</si>
  <si>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</si>
  <si>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</si>
  <si>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</si>
  <si>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</si>
  <si>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</si>
  <si>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</si>
  <si>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</si>
  <si>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</si>
  <si>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</si>
  <si>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</si>
  <si>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</si>
  <si>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</si>
  <si>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</si>
  <si>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</si>
  <si>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</si>
  <si>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</si>
  <si>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</si>
  <si>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</si>
  <si>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</si>
  <si>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</si>
  <si>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</si>
  <si>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</si>
  <si>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</si>
  <si>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</si>
  <si>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</si>
  <si>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</si>
  <si>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</si>
  <si>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</si>
  <si>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</si>
  <si>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</si>
  <si>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</si>
  <si>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</si>
  <si>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</si>
  <si>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</si>
  <si>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</si>
  <si>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</si>
  <si>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</si>
  <si>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</si>
  <si>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</si>
  <si>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</si>
  <si>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</si>
  <si>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</si>
  <si>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</si>
  <si>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</si>
  <si>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</si>
  <si>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</si>
  <si>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</si>
  <si>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</si>
  <si>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</si>
  <si>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</si>
  <si>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</si>
  <si>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</si>
  <si>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</si>
  <si>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</si>
  <si>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</si>
  <si>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</si>
  <si>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</si>
  <si>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</si>
  <si>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</si>
  <si>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</si>
  <si>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</si>
  <si>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</si>
  <si>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</si>
  <si>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</si>
  <si>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</si>
  <si>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</si>
  <si>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</si>
  <si>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</si>
  <si>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</si>
  <si>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</si>
  <si>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</si>
  <si>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</si>
  <si>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</si>
  <si>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</si>
  <si>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</si>
  <si>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</si>
  <si>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</si>
  <si>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</si>
  <si>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</si>
  <si>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</si>
  <si>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</si>
  <si>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</si>
  <si>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</si>
  <si>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</si>
  <si>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</si>
  <si>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</si>
  <si>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</si>
  <si>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</si>
  <si>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</si>
  <si>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</si>
  <si>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</si>
  <si>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</si>
  <si>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</si>
  <si>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</si>
  <si>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</si>
  <si>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</si>
  <si>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</si>
  <si>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</si>
  <si>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</si>
  <si>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</si>
  <si>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</si>
  <si>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</si>
  <si>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</si>
  <si>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</si>
  <si>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</si>
  <si>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</si>
  <si>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</si>
  <si>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</si>
  <si>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</si>
  <si>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</si>
  <si>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</si>
  <si>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</si>
  <si>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</si>
  <si>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</si>
  <si>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</si>
  <si>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</si>
  <si>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</si>
  <si>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</si>
  <si>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</si>
  <si>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</si>
  <si>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</si>
  <si>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</si>
  <si>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</si>
  <si>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</si>
  <si>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</si>
  <si>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</si>
  <si>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</si>
  <si>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</si>
  <si>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</si>
  <si>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</si>
  <si>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</si>
  <si>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</si>
  <si>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</si>
  <si>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</si>
  <si>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</si>
  <si>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</si>
  <si>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</si>
  <si>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</si>
  <si>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</si>
  <si>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</si>
  <si>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</si>
  <si>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</si>
  <si>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</si>
  <si>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</si>
  <si>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</si>
  <si>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</si>
  <si>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</si>
  <si>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</si>
  <si>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</si>
  <si>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</si>
  <si>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</si>
  <si>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</si>
  <si>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</si>
  <si>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</si>
  <si>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</si>
  <si>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</si>
  <si>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</si>
  <si>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</si>
  <si>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</si>
  <si>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</si>
  <si>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</si>
  <si>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</si>
  <si>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</si>
  <si>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</si>
  <si>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</si>
  <si>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</si>
  <si>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</si>
  <si>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</si>
  <si>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</si>
  <si>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</si>
  <si>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</si>
  <si>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</si>
  <si>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</si>
  <si>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</si>
  <si>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</si>
  <si>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</si>
  <si>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</si>
  <si>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</si>
  <si>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</si>
  <si>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</si>
  <si>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</si>
  <si>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</si>
  <si>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</si>
  <si>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</si>
  <si>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</si>
  <si>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</si>
  <si>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</si>
  <si>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</si>
  <si>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</si>
  <si>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</si>
  <si>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</si>
  <si>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</si>
  <si>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</si>
  <si>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</si>
  <si>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</si>
  <si>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</si>
  <si>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</si>
  <si>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</si>
  <si>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</si>
  <si>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</si>
  <si>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</si>
  <si>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</si>
  <si>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</si>
  <si>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</si>
  <si>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</si>
  <si>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</si>
  <si>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</si>
  <si>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</si>
  <si>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</si>
  <si>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</si>
  <si>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</si>
  <si>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</si>
  <si>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</si>
  <si>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</si>
  <si>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</si>
  <si>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</si>
  <si>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</si>
  <si>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</si>
  <si>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</si>
  <si>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</si>
  <si>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</si>
  <si>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</si>
  <si>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</si>
  <si>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</si>
  <si>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</si>
  <si>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</si>
  <si>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</si>
  <si>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</si>
  <si>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</si>
  <si>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</si>
  <si>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</si>
  <si>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</si>
  <si>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</si>
  <si>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</si>
  <si>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</si>
  <si>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</si>
  <si>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</si>
  <si>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</si>
  <si>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</si>
  <si>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</si>
  <si>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</si>
  <si>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</si>
  <si>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</si>
  <si>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</si>
  <si>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</si>
  <si>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</si>
  <si>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</si>
  <si>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</si>
  <si>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</si>
  <si>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</si>
  <si>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</si>
  <si>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</si>
  <si>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</si>
  <si>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</si>
  <si>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</si>
  <si>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</si>
  <si>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</si>
  <si>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</si>
  <si>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</si>
  <si>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</si>
  <si>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</si>
  <si>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</si>
  <si>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</si>
  <si>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</si>
  <si>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</si>
  <si>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</si>
  <si>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</si>
  <si>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</si>
  <si>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</si>
  <si>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</si>
  <si>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</si>
  <si>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</si>
  <si>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</si>
  <si>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</si>
  <si>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</si>
  <si>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</si>
  <si>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</si>
  <si>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</si>
  <si>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</si>
  <si>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</si>
  <si>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</si>
  <si>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</si>
  <si>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</si>
  <si>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</si>
  <si>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</si>
  <si>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</si>
  <si>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</si>
  <si>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</si>
  <si>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</si>
  <si>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</si>
  <si>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</si>
  <si>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</si>
  <si>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</si>
  <si>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</si>
  <si>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</si>
  <si>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</si>
  <si>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</si>
  <si>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</si>
  <si>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</si>
  <si>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</si>
  <si>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</si>
  <si>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</si>
  <si>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</si>
  <si>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</si>
  <si>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</si>
  <si>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</si>
  <si>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</si>
  <si>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</si>
  <si>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</si>
  <si>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</si>
  <si>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</si>
  <si>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</si>
  <si>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</si>
  <si>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</si>
  <si>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</si>
  <si>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</si>
  <si>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</si>
  <si>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</si>
  <si>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</si>
  <si>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</si>
  <si>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</si>
  <si>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</si>
  <si>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</si>
  <si>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</si>
  <si>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</si>
  <si>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</si>
  <si>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</si>
  <si>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</si>
  <si>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</si>
  <si>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</si>
  <si>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</si>
  <si>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</si>
  <si>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</si>
  <si>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</si>
  <si>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</si>
  <si>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</si>
  <si>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</si>
  <si>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</si>
  <si>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</si>
  <si>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</si>
  <si>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</si>
  <si>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</si>
  <si>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</si>
  <si>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</si>
  <si>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</si>
  <si>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</si>
  <si>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</si>
  <si>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</si>
  <si>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</si>
  <si>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</si>
  <si>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</si>
  <si>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</si>
  <si>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</si>
  <si>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</si>
  <si>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</si>
  <si>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</si>
  <si>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</si>
  <si>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</si>
  <si>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</si>
  <si>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</si>
  <si>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</si>
  <si>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</si>
  <si>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</si>
  <si>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</si>
  <si>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</si>
  <si>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</si>
  <si>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</si>
  <si>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</si>
  <si>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</si>
  <si>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</si>
  <si>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</si>
  <si>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</si>
  <si>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</si>
  <si>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</si>
  <si>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</si>
  <si>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</si>
  <si>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</si>
  <si>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</si>
  <si>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</si>
  <si>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</si>
  <si>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</si>
  <si>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</si>
  <si>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</si>
  <si>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</si>
  <si>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</si>
  <si>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</si>
  <si>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</si>
  <si>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</si>
  <si>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</si>
  <si>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</si>
  <si>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</si>
  <si>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</si>
  <si>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</si>
  <si>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</si>
  <si>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</si>
  <si>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</si>
  <si>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</si>
  <si>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</si>
  <si>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</si>
  <si>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</si>
  <si>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</si>
  <si>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</si>
  <si>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</si>
  <si>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</si>
  <si>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</si>
  <si>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</si>
  <si>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</si>
  <si>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</si>
  <si>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</si>
  <si>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</si>
  <si>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</si>
  <si>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</si>
  <si>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</si>
  <si>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</si>
  <si>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</si>
  <si>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</si>
  <si>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</si>
  <si>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</si>
  <si>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</si>
  <si>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</si>
  <si>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</si>
  <si>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</si>
  <si>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</si>
  <si>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</si>
  <si>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</si>
  <si>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</si>
  <si>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</si>
  <si>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</si>
  <si>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</si>
  <si>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</si>
  <si>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</si>
  <si>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</si>
  <si>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</si>
  <si>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</si>
  <si>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</si>
  <si>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</si>
  <si>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</si>
  <si>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</si>
  <si>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</si>
  <si>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</si>
  <si>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</si>
  <si>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</si>
  <si>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</si>
  <si>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</si>
  <si>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</si>
  <si>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</si>
  <si>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</si>
  <si>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</si>
  <si>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</si>
  <si>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</si>
  <si>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</si>
  <si>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</si>
  <si>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</si>
  <si>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</si>
  <si>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</si>
  <si>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</si>
  <si>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</si>
  <si>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</si>
  <si>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</si>
  <si>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</si>
  <si>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</si>
  <si>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</si>
  <si>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</si>
  <si>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</si>
  <si>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</si>
  <si>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</si>
  <si>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</si>
  <si>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</si>
  <si>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</si>
  <si>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</si>
  <si>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</si>
  <si>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</si>
  <si>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</si>
  <si>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</si>
  <si>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</si>
  <si>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</si>
  <si>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</si>
  <si>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</si>
  <si>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</si>
  <si>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</si>
  <si>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</si>
  <si>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</si>
  <si>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</si>
  <si>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</si>
  <si>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</si>
  <si>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</si>
  <si>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</si>
  <si>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</si>
  <si>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</si>
  <si>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</si>
  <si>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</si>
  <si>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</si>
  <si>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</si>
  <si>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</si>
  <si>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</si>
  <si>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</si>
  <si>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</si>
  <si>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</si>
  <si>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</si>
  <si>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</si>
  <si>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</si>
  <si>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</si>
  <si>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</si>
  <si>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</si>
  <si>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</si>
  <si>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</si>
  <si>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</si>
  <si>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</si>
  <si>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</si>
  <si>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</si>
  <si>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</si>
  <si>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</si>
  <si>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</si>
  <si>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</si>
  <si>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</si>
  <si>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</si>
  <si>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</si>
  <si>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</si>
  <si>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</si>
  <si>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</si>
  <si>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</si>
  <si>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</si>
  <si>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</si>
  <si>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</si>
  <si>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</si>
  <si>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</si>
  <si>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</si>
  <si>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</si>
  <si>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</si>
  <si>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</si>
  <si>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</si>
  <si>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</si>
  <si>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</si>
  <si>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</si>
  <si>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</si>
  <si>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</si>
  <si>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</si>
  <si>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</si>
  <si>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</si>
  <si>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</si>
  <si>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</si>
  <si>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</si>
  <si>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</si>
  <si>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</si>
  <si>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</si>
  <si>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</si>
  <si>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</si>
  <si>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</si>
  <si>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</si>
  <si>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</si>
  <si>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</si>
  <si>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</si>
  <si>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</si>
  <si>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</si>
  <si>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</si>
  <si>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</si>
  <si>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</si>
  <si>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</si>
  <si>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</si>
  <si>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</si>
  <si>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</si>
  <si>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</si>
  <si>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</si>
  <si>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</si>
  <si>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</si>
  <si>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</si>
  <si>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</si>
  <si>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</si>
  <si>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</si>
  <si>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</si>
  <si>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</si>
  <si>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</si>
  <si>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</si>
  <si>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</si>
  <si>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</si>
  <si>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</si>
  <si>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</si>
  <si>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</si>
  <si>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</si>
  <si>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</si>
  <si>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</si>
  <si>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</si>
  <si>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</si>
  <si>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</si>
  <si>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</si>
  <si>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</si>
  <si>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</si>
  <si>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</si>
  <si>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</si>
  <si>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</si>
  <si>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</si>
  <si>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</si>
  <si>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</si>
  <si>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</si>
  <si>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</si>
  <si>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</si>
  <si>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</si>
  <si>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</si>
  <si>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</si>
  <si>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</si>
  <si>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</si>
  <si>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</si>
  <si>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</si>
  <si>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</si>
  <si>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</si>
  <si>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</si>
  <si>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</si>
  <si>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</si>
  <si>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</si>
  <si>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</si>
  <si>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</si>
  <si>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</si>
  <si>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</si>
  <si>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</si>
  <si>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</si>
  <si>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</si>
  <si>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</si>
  <si>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</si>
  <si>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</si>
  <si>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</si>
  <si>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</si>
  <si>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</si>
  <si>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</si>
  <si>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</si>
  <si>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</si>
  <si>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</si>
  <si>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</si>
  <si>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</si>
  <si>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</si>
  <si>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</si>
  <si>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</si>
  <si>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</si>
  <si>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</si>
  <si>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</si>
  <si>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</si>
  <si>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</si>
  <si>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</si>
  <si>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</si>
  <si>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</si>
  <si>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</si>
  <si>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</si>
  <si>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</si>
  <si>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</si>
  <si>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</si>
  <si>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</si>
  <si>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</si>
  <si>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</si>
  <si>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</si>
  <si>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</si>
  <si>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</si>
  <si>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</si>
  <si>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</si>
  <si>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</si>
  <si>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</si>
  <si>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</si>
  <si>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</si>
  <si>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</si>
  <si>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</si>
  <si>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</si>
  <si>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</si>
  <si>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</si>
  <si>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</si>
  <si>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</si>
  <si>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</si>
  <si>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</si>
  <si>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</si>
  <si>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</si>
  <si>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</si>
  <si>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</si>
  <si>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</si>
  <si>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</si>
  <si>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</si>
  <si>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</si>
  <si>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</si>
  <si>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</si>
  <si>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</si>
  <si>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</si>
  <si>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</si>
  <si>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</si>
  <si>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</si>
  <si>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</si>
  <si>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</si>
  <si>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</si>
  <si>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</si>
  <si>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</si>
  <si>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</si>
  <si>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</si>
  <si>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</si>
  <si>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</si>
  <si>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</si>
  <si>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</si>
  <si>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</si>
  <si>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</si>
  <si>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</si>
  <si>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</si>
  <si>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</si>
  <si>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</si>
  <si>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</si>
  <si>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</si>
  <si>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</si>
  <si>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</si>
  <si>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</si>
  <si>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</si>
  <si>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</si>
  <si>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</si>
  <si>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</si>
  <si>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</si>
  <si>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</si>
  <si>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</si>
  <si>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</si>
  <si>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</si>
  <si>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</si>
  <si>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</si>
  <si>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</si>
  <si>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</si>
  <si>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</si>
  <si>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</si>
  <si>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</si>
  <si>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</si>
  <si>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</si>
  <si>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</si>
  <si>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</si>
  <si>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</si>
  <si>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</si>
  <si>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</si>
  <si>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</si>
  <si>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</si>
  <si>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</si>
  <si>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</si>
  <si>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</si>
  <si>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</si>
  <si>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</si>
  <si>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</si>
  <si>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</si>
  <si>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</si>
  <si>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</si>
  <si>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</si>
  <si>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</si>
  <si>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</si>
  <si>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</si>
  <si>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</si>
  <si>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</si>
  <si>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</si>
  <si>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</si>
  <si>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</si>
  <si>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</si>
  <si>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</si>
  <si>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</si>
  <si>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</si>
  <si>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</si>
  <si>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</si>
  <si>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</si>
  <si>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</si>
  <si>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</si>
  <si>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</si>
  <si>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</si>
  <si>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</si>
  <si>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</si>
  <si>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</si>
  <si>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</si>
  <si>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</si>
  <si>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</si>
  <si>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</si>
  <si>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</si>
  <si>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</si>
  <si>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</si>
  <si>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</si>
  <si>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</si>
  <si>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</si>
  <si>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</si>
  <si>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</si>
  <si>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</si>
  <si>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</si>
  <si>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</si>
  <si>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</si>
  <si>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</si>
  <si>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</si>
  <si>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</si>
  <si>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</si>
  <si>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</si>
  <si>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</si>
  <si>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</si>
  <si>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</si>
  <si>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</si>
  <si>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</si>
  <si>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</si>
  <si>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</si>
  <si>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</si>
  <si>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</si>
  <si>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</si>
  <si>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</si>
  <si>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</si>
  <si>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</si>
  <si>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</si>
  <si>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</si>
  <si>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</si>
  <si>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</si>
  <si>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</si>
  <si>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</si>
  <si>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</si>
  <si>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</si>
  <si>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</si>
  <si>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</si>
  <si>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</si>
  <si>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</si>
  <si>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</si>
  <si>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</si>
  <si>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</si>
  <si>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</si>
  <si>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</si>
  <si>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</si>
  <si>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</si>
  <si>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</si>
  <si>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</si>
  <si>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</si>
  <si>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</si>
  <si>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</si>
  <si>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</si>
  <si>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</si>
  <si>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</si>
  <si>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</si>
  <si>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</si>
  <si>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</si>
  <si>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</si>
  <si>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</si>
  <si>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</si>
  <si>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</si>
  <si>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</si>
  <si>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</si>
  <si>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</si>
  <si>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</si>
  <si>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</si>
  <si>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</si>
  <si>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</si>
  <si>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</si>
  <si>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</si>
  <si>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</si>
  <si>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</si>
  <si>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</si>
  <si>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</si>
  <si>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</si>
  <si>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</si>
  <si>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</si>
  <si>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</si>
  <si>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</si>
  <si>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</si>
  <si>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</si>
  <si>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</si>
  <si>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</si>
  <si>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</si>
  <si>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</si>
  <si>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</si>
  <si>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</si>
  <si>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</si>
  <si>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</si>
  <si>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</si>
  <si>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</si>
  <si>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</si>
  <si>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</si>
  <si>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</si>
  <si>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</si>
  <si>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</si>
  <si>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</si>
  <si>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</si>
  <si>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</si>
  <si>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</si>
  <si>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</si>
  <si>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</si>
  <si>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</si>
  <si>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</si>
  <si>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</si>
  <si>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</si>
  <si>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</si>
  <si>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</si>
  <si>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</si>
  <si>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</si>
  <si>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</si>
  <si>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</si>
  <si>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</si>
  <si>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</si>
  <si>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</si>
  <si>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</si>
  <si>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</si>
  <si>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</si>
  <si>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</si>
  <si>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</si>
  <si>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</si>
  <si>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</si>
  <si>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</si>
  <si>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</si>
  <si>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</si>
  <si>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</si>
  <si>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</si>
  <si>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</si>
  <si>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</si>
  <si>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</si>
  <si>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</si>
  <si>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</si>
  <si>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</si>
  <si>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</si>
  <si>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</si>
  <si>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</si>
  <si>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</si>
  <si>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</si>
  <si>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</si>
  <si>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</si>
  <si>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</si>
  <si>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</si>
  <si>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</si>
  <si>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</si>
  <si>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</si>
  <si>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</si>
  <si>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</si>
  <si>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</si>
  <si>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</si>
  <si>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</si>
  <si>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</si>
  <si>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</si>
  <si>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</si>
  <si>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</si>
  <si>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</si>
  <si>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</si>
  <si>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</si>
  <si>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</si>
  <si>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</si>
  <si>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</si>
  <si>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</si>
  <si>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</si>
  <si>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</si>
  <si>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</si>
  <si>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</si>
  <si>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</si>
  <si>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</si>
  <si>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</si>
  <si>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</si>
  <si>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</si>
  <si>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</si>
  <si>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</si>
  <si>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</si>
  <si>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</si>
  <si>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</si>
  <si>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</si>
  <si>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</si>
  <si>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</si>
  <si>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</si>
  <si>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</si>
  <si>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</si>
  <si>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</si>
  <si>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</si>
  <si>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</si>
  <si>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</si>
  <si>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</si>
  <si>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</si>
  <si>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</si>
  <si>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</si>
  <si>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</si>
  <si>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</si>
  <si>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</si>
  <si>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</si>
  <si>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</si>
  <si>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</si>
  <si>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</si>
  <si>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</si>
  <si>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</si>
  <si>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</si>
  <si>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</si>
  <si>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</si>
  <si>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</si>
  <si>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</si>
  <si>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</si>
  <si>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</si>
  <si>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</si>
  <si>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</si>
  <si>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</si>
  <si>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</si>
  <si>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</si>
  <si>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</si>
  <si>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</si>
  <si>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</si>
  <si>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</si>
  <si>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</si>
  <si>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</si>
  <si>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</si>
  <si>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</si>
  <si>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</si>
  <si>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</si>
  <si>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</si>
  <si>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</si>
  <si>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</si>
  <si>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</si>
  <si>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</si>
  <si>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</si>
  <si>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</si>
  <si>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</si>
  <si>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</si>
  <si>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</si>
  <si>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</si>
  <si>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</si>
  <si>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</si>
  <si>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</si>
  <si>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</si>
  <si>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</si>
  <si>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</si>
  <si>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</si>
  <si>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</si>
  <si>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</si>
  <si>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</si>
  <si>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</si>
  <si>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</si>
  <si>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</si>
  <si>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</si>
  <si>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</si>
  <si>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</si>
  <si>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</si>
  <si>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</si>
  <si>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</si>
  <si>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</si>
  <si>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</si>
  <si>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</si>
  <si>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</si>
  <si>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</si>
  <si>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</si>
  <si>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</si>
  <si>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</si>
  <si>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</si>
  <si>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</si>
  <si>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</si>
  <si>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</si>
  <si>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</si>
  <si>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</si>
  <si>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</si>
  <si>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</si>
  <si>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</si>
  <si>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</si>
  <si>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</si>
  <si>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</si>
  <si>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</si>
  <si>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</si>
  <si>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</si>
  <si>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</si>
  <si>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</si>
  <si>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</si>
  <si>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</si>
  <si>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</si>
  <si>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</si>
  <si>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</si>
  <si>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</si>
  <si>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</si>
  <si>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</si>
  <si>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</si>
  <si>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</si>
  <si>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</si>
  <si>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</si>
  <si>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</si>
  <si>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</si>
  <si>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</si>
  <si>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</si>
  <si>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</si>
  <si>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</si>
  <si>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</si>
  <si>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</si>
  <si>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</si>
  <si>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</si>
  <si>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</si>
  <si>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</si>
  <si>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</si>
  <si>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</si>
  <si>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</si>
  <si>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</si>
  <si>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</si>
  <si>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</si>
  <si>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</si>
  <si>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</si>
  <si>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</si>
  <si>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</si>
  <si>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</si>
  <si>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</si>
  <si>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</si>
  <si>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</si>
  <si>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</si>
  <si>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</si>
  <si>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</si>
  <si>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</si>
  <si>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</si>
  <si>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</si>
  <si>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</si>
  <si>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</si>
  <si>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</si>
  <si>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</si>
  <si>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</si>
  <si>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</si>
  <si>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</si>
  <si>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</si>
  <si>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</si>
  <si>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</si>
  <si>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</si>
  <si>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</si>
  <si>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</si>
  <si>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</si>
  <si>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</si>
  <si>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</si>
  <si>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</si>
  <si>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</si>
  <si>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</si>
  <si>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</si>
  <si>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</si>
  <si>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</si>
  <si>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</si>
  <si>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</si>
  <si>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</si>
  <si>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</si>
  <si>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</si>
  <si>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</si>
  <si>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</si>
  <si>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</si>
  <si>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</si>
  <si>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</si>
  <si>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</si>
  <si>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</si>
  <si>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</si>
  <si>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</si>
  <si>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</si>
  <si>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</si>
  <si>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</si>
  <si>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</si>
  <si>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</si>
  <si>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</si>
  <si>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</si>
  <si>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</si>
  <si>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</si>
  <si>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</si>
  <si>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</si>
  <si>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</si>
  <si>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</si>
  <si>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</si>
  <si>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</si>
  <si>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</si>
  <si>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</si>
  <si>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</si>
  <si>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</si>
  <si>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</si>
  <si>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</si>
  <si>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</si>
  <si>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</si>
  <si>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</si>
  <si>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</si>
  <si>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</si>
  <si>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</si>
  <si>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</si>
  <si>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</si>
  <si>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</si>
  <si>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</si>
  <si>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</si>
  <si>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</si>
  <si>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</si>
  <si>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</si>
  <si>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</si>
  <si>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</si>
  <si>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</si>
  <si>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</si>
  <si>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</si>
  <si>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</si>
  <si>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</si>
  <si>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</si>
  <si>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</si>
  <si>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</si>
  <si>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</si>
  <si>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</si>
  <si>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</si>
  <si>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</si>
  <si>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</si>
  <si>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</si>
  <si>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</si>
  <si>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</si>
  <si>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</si>
  <si>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</si>
  <si>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</si>
  <si>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</si>
  <si>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</si>
  <si>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</si>
  <si>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</si>
  <si>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</si>
  <si>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</si>
  <si>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</si>
  <si>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</si>
  <si>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</si>
  <si>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</si>
  <si>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</si>
  <si>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</si>
  <si>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</si>
  <si>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</si>
  <si>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</si>
  <si>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</si>
  <si>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</si>
  <si>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</si>
  <si>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</si>
  <si>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</si>
  <si>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</si>
  <si>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</si>
  <si>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</si>
  <si>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</si>
  <si>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</si>
  <si>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</si>
  <si>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</si>
  <si>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</si>
  <si>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</si>
  <si>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</si>
  <si>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</si>
  <si>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</si>
  <si>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</si>
  <si>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</si>
  <si>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</si>
  <si>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</si>
  <si>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</si>
  <si>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</si>
  <si>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</si>
  <si>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</si>
  <si>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</si>
  <si>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</si>
  <si>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</si>
  <si>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</si>
  <si>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</si>
  <si>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</si>
  <si>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</si>
  <si>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</si>
  <si>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</si>
  <si>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</si>
  <si>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</si>
  <si>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</si>
  <si>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</si>
  <si>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</si>
  <si>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</si>
  <si>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</si>
  <si>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</si>
  <si>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</si>
  <si>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</si>
  <si>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</si>
  <si>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</si>
  <si>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</si>
  <si>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</si>
  <si>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</si>
  <si>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</si>
  <si>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</si>
  <si>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</si>
  <si>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</si>
  <si>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</si>
  <si>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</si>
  <si>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</si>
  <si>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</si>
  <si>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</si>
  <si>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</si>
  <si>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</si>
  <si>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</si>
  <si>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</si>
  <si>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</si>
  <si>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</si>
  <si>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</si>
  <si>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</si>
  <si>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</si>
  <si>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</si>
  <si>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</si>
  <si>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</si>
  <si>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</si>
  <si>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</si>
  <si>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</si>
  <si>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</si>
  <si>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</si>
  <si>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</si>
  <si>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</si>
  <si>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</si>
  <si>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</si>
  <si>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</si>
  <si>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</si>
  <si>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</si>
  <si>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</si>
  <si>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</si>
  <si>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</si>
  <si>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</si>
  <si>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</si>
  <si>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</si>
  <si>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</si>
  <si>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</si>
  <si>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</si>
  <si>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</si>
  <si>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</si>
  <si>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</si>
  <si>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</si>
  <si>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</si>
  <si>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</si>
  <si>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</si>
  <si>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</si>
  <si>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</si>
  <si>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</si>
  <si>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</si>
  <si>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</si>
  <si>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</si>
  <si>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</si>
  <si>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</si>
  <si>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</si>
  <si>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</si>
  <si>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</si>
  <si>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</si>
  <si>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</si>
  <si>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</si>
  <si>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</si>
  <si>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</si>
  <si>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</si>
  <si>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</si>
  <si>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</si>
  <si>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</si>
  <si>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</si>
  <si>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</si>
  <si>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</si>
  <si>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</si>
  <si>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</si>
  <si>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</si>
  <si>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</si>
  <si>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</si>
  <si>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</si>
  <si>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</si>
  <si>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</si>
  <si>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</si>
  <si>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</si>
  <si>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</si>
  <si>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</si>
  <si>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</si>
  <si>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</si>
  <si>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</si>
  <si>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</si>
  <si>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</si>
  <si>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</si>
  <si>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</si>
  <si>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</si>
  <si>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</si>
  <si>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</si>
  <si>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</si>
  <si>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</si>
  <si>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</si>
  <si>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</si>
  <si>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</si>
  <si>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</si>
  <si>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</si>
  <si>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</si>
  <si>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</si>
  <si>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</si>
  <si>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</si>
  <si>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</si>
  <si>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</si>
  <si>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</si>
  <si>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</si>
  <si>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</si>
  <si>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</si>
  <si>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</si>
  <si>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</si>
  <si>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</si>
  <si>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</si>
  <si>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</si>
  <si>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</si>
  <si>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</si>
  <si>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</si>
  <si>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</si>
  <si>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</si>
  <si>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</si>
  <si>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</si>
  <si>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</si>
  <si>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</si>
  <si>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</si>
  <si>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</si>
  <si>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</si>
  <si>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</si>
  <si>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</si>
  <si>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</si>
  <si>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</si>
  <si>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</si>
  <si>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</si>
  <si>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</si>
  <si>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</si>
  <si>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</si>
  <si>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</si>
  <si>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</si>
  <si>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</si>
  <si>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</si>
  <si>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</si>
  <si>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</si>
  <si>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</si>
  <si>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</si>
  <si>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</si>
  <si>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</si>
  <si>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</si>
  <si>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</si>
  <si>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</si>
  <si>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</si>
  <si>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</si>
  <si>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</si>
  <si>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</si>
  <si>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</si>
  <si>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</si>
  <si>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</si>
  <si>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</si>
  <si>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</si>
  <si>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</si>
  <si>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</si>
  <si>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</si>
  <si>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</si>
  <si>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</si>
  <si>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</si>
  <si>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</si>
  <si>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</si>
  <si>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</si>
  <si>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</si>
  <si>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</si>
  <si>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</si>
  <si>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</si>
  <si>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</si>
  <si>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</si>
  <si>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</si>
  <si>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</si>
  <si>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</si>
  <si>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</si>
  <si>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</si>
  <si>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</si>
  <si>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</si>
  <si>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</si>
  <si>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</si>
  <si>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</si>
  <si>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</si>
  <si>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</si>
  <si>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</si>
  <si>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</si>
  <si>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</si>
  <si>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</si>
  <si>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</si>
  <si>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</si>
  <si>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</si>
  <si>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</si>
  <si>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</si>
  <si>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</si>
  <si>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</si>
  <si>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</si>
  <si>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</si>
  <si>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</si>
  <si>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</si>
  <si>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</si>
  <si>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</si>
  <si>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</si>
  <si>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</si>
  <si>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</si>
  <si>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</si>
  <si>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</si>
  <si>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</si>
  <si>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</si>
  <si>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</si>
  <si>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</si>
  <si>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</si>
  <si>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</si>
  <si>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</si>
  <si>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</si>
  <si>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</si>
  <si>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</si>
  <si>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</si>
  <si>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</si>
  <si>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</si>
  <si>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</si>
  <si>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</si>
  <si>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</si>
  <si>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</si>
  <si>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</si>
  <si>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</si>
  <si>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</si>
  <si>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</si>
  <si>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</si>
  <si>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</si>
  <si>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</si>
  <si>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</si>
  <si>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</si>
  <si>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</si>
  <si>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</si>
  <si>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</si>
  <si>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</si>
  <si>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</si>
  <si>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</si>
  <si>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</si>
  <si>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</si>
  <si>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</si>
  <si>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</si>
  <si>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</si>
  <si>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</si>
  <si>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</si>
  <si>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</si>
  <si>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</si>
  <si>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</si>
  <si>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</si>
  <si>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</si>
  <si>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</si>
  <si>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</si>
  <si>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</si>
  <si>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</si>
  <si>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</si>
  <si>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</si>
  <si>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</si>
  <si>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</si>
  <si>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</si>
  <si>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</si>
  <si>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</si>
  <si>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</si>
  <si>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</si>
  <si>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</si>
  <si>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</si>
  <si>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</si>
  <si>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</si>
  <si>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</si>
  <si>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</si>
  <si>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</si>
  <si>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</si>
  <si>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</si>
  <si>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</si>
  <si>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</si>
  <si>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</si>
  <si>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</si>
  <si>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</si>
  <si>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</si>
  <si>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</si>
  <si>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</si>
  <si>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</si>
  <si>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</si>
  <si>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</si>
  <si>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</si>
  <si>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</si>
  <si>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</si>
  <si>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</si>
  <si>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</si>
  <si>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</si>
  <si>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</si>
  <si>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</si>
  <si>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</si>
  <si>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</si>
  <si>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</si>
  <si>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</si>
  <si>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</si>
  <si>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</si>
  <si>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</si>
  <si>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</si>
  <si>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</si>
  <si>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</si>
  <si>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</si>
  <si>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</si>
  <si>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</si>
  <si>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</si>
  <si>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</si>
  <si>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</si>
  <si>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</si>
  <si>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</si>
  <si>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</si>
  <si>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</si>
  <si>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</si>
  <si>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</si>
  <si>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</si>
  <si>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</si>
  <si>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</si>
  <si>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</si>
  <si>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</si>
  <si>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</si>
  <si>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</si>
  <si>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</si>
  <si>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</si>
  <si>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</si>
  <si>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</si>
  <si>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</si>
  <si>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</si>
  <si>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</si>
  <si>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</si>
  <si>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</si>
  <si>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</si>
  <si>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</si>
  <si>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</si>
  <si>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</si>
  <si>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</si>
  <si>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</si>
  <si>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</si>
  <si>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</si>
  <si>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</si>
  <si>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</si>
  <si>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</si>
  <si>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</si>
  <si>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</si>
  <si>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</si>
  <si>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</si>
  <si>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</si>
  <si>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</si>
  <si>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</si>
  <si>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</si>
  <si>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</si>
  <si>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</si>
  <si>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</si>
  <si>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</si>
  <si>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</si>
  <si>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</si>
  <si>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</si>
  <si>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</si>
  <si>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</si>
  <si>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</si>
  <si>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</si>
  <si>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</si>
  <si>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</si>
  <si>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</si>
  <si>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</si>
  <si>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</si>
  <si>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</si>
  <si>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</si>
  <si>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</si>
  <si>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</si>
  <si>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</si>
  <si>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</si>
  <si>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</si>
  <si>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</si>
  <si>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</si>
  <si>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</si>
  <si>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</si>
  <si>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</si>
  <si>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</si>
  <si>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</si>
  <si>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</si>
  <si>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</si>
  <si>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</si>
  <si>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</si>
  <si>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</si>
  <si>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</si>
  <si>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</si>
  <si>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</si>
  <si>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</si>
  <si>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</si>
  <si>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</si>
  <si>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</si>
  <si>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</si>
  <si>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</si>
  <si>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</si>
  <si>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</si>
  <si>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</si>
  <si>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</si>
  <si>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</si>
  <si>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</si>
  <si>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</si>
  <si>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</si>
  <si>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</si>
  <si>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</si>
  <si>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</si>
  <si>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</si>
  <si>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</si>
  <si>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</si>
  <si>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</si>
  <si>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</si>
  <si>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</si>
  <si>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</si>
  <si>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</si>
  <si>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</si>
  <si>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</si>
  <si>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</si>
  <si>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</si>
  <si>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</si>
  <si>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</si>
  <si>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</si>
  <si>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</si>
  <si>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</si>
  <si>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</si>
  <si>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</si>
  <si>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</si>
  <si>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</si>
  <si>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</si>
  <si>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</si>
  <si>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</si>
  <si>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</si>
  <si>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</si>
  <si>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</si>
  <si>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</si>
  <si>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</si>
  <si>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</si>
  <si>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</si>
  <si>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</si>
  <si>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</si>
  <si>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</si>
  <si>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</si>
  <si>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</si>
  <si>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</si>
  <si>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</si>
  <si>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</si>
  <si>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</si>
  <si>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</si>
  <si>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</si>
  <si>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</si>
  <si>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</si>
  <si>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</si>
  <si>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</si>
  <si>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</si>
  <si>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</si>
  <si>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</si>
  <si>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</si>
  <si>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</si>
  <si>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</si>
  <si>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</si>
  <si>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</si>
  <si>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</si>
  <si>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</si>
  <si>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</si>
  <si>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</si>
  <si>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</si>
  <si>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</si>
  <si>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</si>
  <si>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</si>
  <si>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</si>
  <si>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</si>
  <si>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</si>
  <si>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</si>
  <si>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</si>
  <si>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</si>
  <si>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</si>
  <si>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</si>
  <si>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</si>
  <si>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</si>
  <si>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</si>
  <si>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</si>
  <si>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</si>
  <si>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</si>
  <si>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</si>
  <si>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</si>
  <si>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</si>
  <si>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</si>
  <si>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</si>
  <si>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</si>
  <si>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</si>
  <si>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</si>
  <si>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</si>
  <si>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</si>
  <si>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</si>
  <si>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</si>
  <si>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</si>
  <si>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</si>
  <si>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</si>
  <si>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</si>
  <si>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</si>
  <si>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</si>
  <si>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</si>
  <si>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</si>
  <si>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</si>
  <si>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</si>
  <si>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</si>
  <si>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</si>
  <si>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</si>
  <si>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</si>
  <si>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</si>
  <si>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</si>
  <si>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</si>
  <si>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</si>
  <si>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</si>
  <si>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</si>
  <si>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</si>
  <si>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</si>
  <si>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</si>
  <si>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</si>
  <si>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</si>
  <si>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</si>
  <si>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</si>
  <si>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</si>
  <si>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</si>
  <si>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</si>
  <si>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</si>
  <si>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</si>
  <si>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</si>
  <si>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</si>
  <si>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</si>
  <si>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</si>
  <si>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</si>
  <si>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</si>
  <si>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</si>
  <si>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</si>
  <si>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</si>
  <si>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</si>
  <si>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</si>
  <si>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</si>
  <si>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</si>
  <si>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</si>
  <si>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</si>
  <si>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</si>
  <si>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</si>
  <si>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</si>
  <si>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</si>
  <si>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</si>
  <si>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</si>
  <si>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</si>
  <si>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</si>
  <si>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</si>
  <si>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</si>
  <si>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</si>
  <si>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</si>
  <si>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</si>
  <si>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</si>
  <si>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</si>
  <si>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</si>
  <si>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</si>
  <si>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</si>
  <si>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</si>
  <si>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</si>
  <si>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</si>
  <si>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</si>
  <si>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</si>
  <si>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</si>
  <si>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</si>
  <si>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</si>
  <si>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</si>
  <si>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</si>
  <si>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</si>
  <si>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</si>
  <si>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</si>
  <si>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</si>
  <si>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</si>
  <si>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</si>
  <si>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</si>
  <si>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</si>
  <si>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</si>
  <si>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</si>
  <si>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</si>
  <si>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</si>
  <si>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</si>
  <si>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</si>
  <si>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</si>
  <si>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</si>
  <si>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</si>
  <si>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</si>
  <si>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</si>
  <si>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</si>
  <si>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</si>
  <si>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</si>
  <si>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</si>
  <si>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</si>
  <si>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</si>
  <si>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</si>
  <si>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</si>
  <si>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</si>
  <si>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</si>
  <si>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</si>
  <si>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</si>
  <si>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</si>
  <si>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</si>
  <si>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</si>
  <si>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</si>
  <si>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</si>
  <si>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</si>
  <si>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</si>
  <si>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</si>
  <si>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</si>
  <si>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</si>
  <si>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</si>
  <si>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</si>
  <si>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</si>
  <si>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</si>
  <si>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</si>
  <si>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</si>
  <si>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</si>
  <si>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</si>
  <si>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</si>
  <si>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</si>
  <si>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</si>
  <si>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</si>
  <si>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</si>
  <si>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</si>
  <si>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</si>
  <si>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</si>
  <si>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</si>
  <si>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</si>
  <si>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</si>
  <si>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</si>
  <si>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</si>
  <si>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</si>
  <si>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</si>
  <si>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</si>
  <si>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</si>
  <si>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</si>
  <si>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</si>
  <si>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</si>
  <si>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</si>
  <si>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</si>
  <si>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</si>
  <si>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</si>
  <si>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</si>
  <si>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</si>
  <si>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</si>
  <si>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</si>
  <si>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</si>
  <si>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</si>
  <si>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</si>
  <si>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</si>
  <si>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</si>
  <si>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</si>
  <si>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</si>
  <si>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</si>
  <si>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</si>
  <si>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</si>
  <si>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</si>
  <si>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</si>
  <si>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</si>
  <si>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</si>
  <si>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</si>
  <si>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</si>
  <si>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</si>
  <si>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</si>
  <si>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</si>
  <si>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</si>
  <si>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</si>
  <si>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</si>
  <si>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</si>
  <si>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</si>
  <si>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</si>
  <si>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</si>
  <si>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</si>
  <si>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</si>
  <si>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</si>
  <si>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</si>
  <si>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</si>
  <si>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</si>
  <si>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</si>
  <si>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</si>
  <si>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</si>
  <si>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</si>
  <si>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</si>
  <si>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</si>
  <si>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</si>
  <si>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</si>
  <si>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</si>
  <si>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</si>
  <si>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</si>
  <si>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</si>
  <si>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</si>
  <si>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</si>
  <si>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</si>
  <si>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</si>
  <si>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</si>
  <si>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</si>
  <si>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</si>
  <si>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</si>
  <si>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</si>
  <si>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</si>
  <si>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</si>
  <si>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</si>
  <si>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</si>
  <si>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</si>
  <si>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</si>
  <si>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</si>
  <si>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</si>
  <si>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</si>
  <si>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</si>
  <si>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</si>
  <si>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</si>
  <si>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</si>
  <si>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</si>
  <si>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</si>
  <si>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</si>
  <si>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</si>
  <si>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</si>
  <si>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</si>
  <si>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</si>
  <si>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</si>
  <si>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</si>
  <si>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</si>
  <si>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</si>
  <si>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</si>
  <si>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</si>
  <si>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</si>
  <si>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</si>
  <si>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</si>
  <si>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</si>
  <si>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</si>
  <si>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</si>
  <si>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</si>
  <si>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</si>
  <si>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</si>
  <si>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</si>
  <si>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</si>
  <si>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</si>
  <si>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</si>
  <si>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</si>
  <si>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</si>
  <si>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</si>
  <si>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</si>
  <si>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</si>
  <si>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</si>
  <si>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</si>
  <si>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</si>
  <si>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</si>
  <si>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</si>
  <si>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</si>
  <si>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</si>
  <si>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</si>
  <si>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</si>
  <si>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</si>
  <si>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</si>
  <si>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</si>
  <si>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</si>
  <si>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</si>
  <si>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</si>
  <si>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</si>
  <si>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</si>
  <si>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</si>
  <si>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</si>
  <si>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</si>
  <si>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</si>
  <si>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</si>
  <si>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</si>
  <si>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</si>
  <si>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</si>
  <si>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</si>
  <si>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</si>
  <si>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</si>
  <si>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</si>
  <si>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</si>
  <si>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</si>
  <si>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</si>
  <si>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</si>
  <si>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</si>
  <si>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</si>
  <si>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</si>
  <si>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</si>
  <si>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</si>
  <si>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</si>
  <si>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</si>
  <si>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</si>
  <si>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</si>
  <si>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</si>
  <si>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</si>
  <si>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</si>
  <si>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</si>
  <si>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</si>
  <si>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</si>
  <si>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</si>
  <si>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</si>
  <si>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</si>
  <si>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</si>
  <si>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</si>
  <si>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</si>
  <si>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</si>
  <si>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</si>
  <si>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</si>
  <si>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</si>
  <si>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</si>
  <si>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</si>
  <si>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</si>
  <si>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</si>
  <si>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</si>
  <si>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</si>
  <si>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</si>
  <si>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</si>
  <si>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</si>
  <si>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</si>
  <si>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</si>
  <si>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</si>
  <si>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</si>
  <si>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</si>
  <si>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</si>
  <si>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</si>
  <si>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</si>
  <si>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</si>
  <si>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</si>
  <si>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</si>
  <si>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</si>
  <si>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</si>
  <si>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</si>
  <si>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</si>
  <si>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</si>
  <si>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</si>
  <si>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</si>
  <si>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</si>
  <si>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</si>
  <si>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</si>
  <si>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</si>
  <si>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</si>
  <si>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</si>
  <si>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</si>
  <si>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</si>
  <si>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</si>
  <si>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</si>
  <si>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</si>
  <si>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</si>
  <si>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</si>
  <si>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</si>
  <si>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</si>
  <si>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</si>
  <si>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</si>
  <si>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</si>
  <si>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</si>
  <si>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</si>
  <si>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</si>
  <si>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</si>
  <si>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</si>
  <si>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</si>
  <si>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</si>
  <si>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</si>
  <si>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</si>
  <si>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</si>
  <si>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</si>
  <si>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</si>
  <si>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</si>
  <si>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</si>
  <si>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</si>
  <si>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</si>
  <si>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</si>
  <si>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</si>
  <si>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</si>
  <si>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</si>
  <si>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</si>
  <si>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</si>
  <si>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</si>
  <si>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</si>
  <si>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</si>
  <si>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</si>
  <si>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</si>
  <si>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</si>
  <si>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</si>
  <si>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</si>
  <si>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</si>
  <si>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</si>
  <si>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</si>
  <si>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</si>
  <si>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</si>
  <si>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</si>
  <si>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</si>
  <si>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</si>
  <si>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</si>
  <si>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</si>
  <si>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</si>
  <si>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</si>
  <si>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</si>
  <si>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</si>
  <si>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</si>
  <si>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</si>
  <si>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</si>
  <si>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</si>
  <si>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</si>
  <si>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</si>
  <si>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</si>
  <si>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</si>
  <si>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</si>
  <si>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</si>
  <si>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</si>
  <si>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</si>
  <si>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</si>
  <si>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</si>
  <si>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</si>
  <si>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</si>
  <si>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</si>
  <si>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</si>
  <si>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</si>
  <si>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</si>
  <si>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</si>
  <si>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</si>
  <si>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</si>
  <si>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</si>
  <si>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</si>
  <si>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</si>
  <si>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</si>
  <si>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</si>
  <si>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</si>
  <si>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</si>
  <si>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</si>
  <si>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</si>
  <si>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</si>
  <si>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</si>
  <si>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</si>
  <si>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</si>
  <si>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</si>
  <si>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</si>
  <si>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</si>
  <si>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</si>
  <si>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</si>
  <si>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</si>
  <si>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</si>
  <si>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</si>
  <si>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</si>
  <si>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</si>
  <si>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</si>
  <si>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</si>
  <si>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</si>
  <si>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</si>
  <si>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</si>
  <si>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</si>
  <si>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</si>
  <si>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</si>
  <si>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</si>
  <si>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</si>
  <si>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</si>
  <si>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</si>
  <si>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</si>
  <si>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</si>
  <si>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</si>
  <si>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</si>
  <si>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</si>
  <si>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</si>
  <si>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</si>
  <si>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</si>
  <si>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</si>
  <si>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</si>
  <si>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</si>
  <si>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</si>
  <si>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</si>
  <si>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</si>
  <si>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</si>
  <si>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</si>
  <si>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</si>
  <si>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</si>
  <si>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</si>
  <si>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</si>
  <si>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</si>
  <si>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</si>
  <si>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</si>
  <si>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</si>
  <si>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</si>
  <si>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</si>
  <si>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</si>
  <si>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</si>
  <si>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</si>
  <si>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</si>
  <si>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</si>
  <si>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</si>
  <si>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</si>
  <si>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</si>
  <si>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</si>
  <si>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</si>
  <si>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</si>
  <si>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</si>
  <si>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</si>
  <si>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</si>
  <si>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</si>
  <si>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</si>
  <si>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</si>
  <si>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</si>
  <si>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</si>
  <si>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</si>
  <si>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</si>
  <si>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</si>
  <si>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</si>
  <si>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</si>
  <si>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</si>
  <si>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</si>
  <si>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</si>
  <si>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</si>
  <si>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</si>
  <si>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</si>
  <si>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</si>
  <si>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</si>
  <si>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</si>
  <si>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</si>
  <si>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</si>
  <si>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</si>
  <si>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</si>
  <si>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</si>
  <si>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</si>
  <si>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</si>
  <si>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</si>
  <si>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</si>
  <si>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</si>
  <si>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</si>
  <si>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</si>
  <si>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</si>
  <si>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</si>
  <si>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</si>
  <si>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</si>
  <si>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</si>
  <si>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</si>
  <si>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</si>
  <si>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</si>
  <si>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</si>
  <si>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</si>
  <si>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</si>
  <si>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</si>
  <si>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</si>
  <si>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</si>
  <si>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</si>
  <si>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</si>
  <si>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</si>
  <si>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</si>
  <si>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</si>
  <si>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</si>
  <si>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</si>
  <si>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</si>
  <si>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</si>
  <si>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</si>
  <si>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</si>
  <si>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</si>
  <si>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</si>
  <si>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</si>
  <si>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</si>
  <si>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</si>
  <si>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</si>
  <si>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</si>
  <si>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</si>
  <si>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</si>
  <si>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</si>
  <si>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</si>
  <si>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</si>
  <si>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</si>
  <si>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</si>
  <si>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</si>
  <si>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</si>
  <si>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</si>
  <si>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</si>
  <si>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</si>
  <si>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</si>
  <si>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</si>
  <si>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</si>
  <si>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</si>
  <si>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</si>
  <si>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</si>
  <si>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</si>
  <si>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</si>
  <si>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</si>
  <si>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</si>
  <si>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</si>
  <si>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</si>
  <si>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</si>
  <si>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</si>
  <si>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</si>
  <si>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</si>
  <si>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</si>
  <si>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</si>
  <si>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</si>
  <si>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</si>
  <si>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</si>
  <si>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</si>
  <si>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</si>
  <si>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</si>
  <si>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</si>
  <si>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</si>
  <si>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</si>
  <si>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</si>
  <si>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</si>
  <si>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</si>
  <si>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</si>
  <si>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</si>
  <si>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</si>
  <si>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</si>
  <si>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</si>
  <si>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</si>
  <si>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</si>
  <si>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</si>
  <si>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</si>
  <si>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</si>
  <si>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</si>
  <si>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</si>
  <si>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</si>
  <si>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</si>
  <si>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</si>
  <si>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</si>
  <si>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</si>
  <si>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</si>
  <si>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</si>
  <si>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</si>
  <si>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</si>
  <si>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</si>
  <si>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</si>
  <si>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</si>
  <si>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</si>
  <si>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</si>
  <si>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</si>
  <si>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</si>
  <si>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</si>
  <si>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</si>
  <si>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</si>
  <si>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</si>
  <si>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</si>
  <si>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</si>
  <si>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</si>
  <si>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</si>
  <si>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</si>
  <si>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</si>
  <si>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</si>
  <si>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</si>
  <si>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</si>
  <si>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</si>
  <si>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</si>
  <si>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</si>
  <si>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</si>
  <si>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</si>
  <si>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</si>
  <si>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</si>
  <si>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</si>
  <si>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</si>
  <si>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</si>
  <si>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</si>
  <si>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</si>
  <si>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</si>
  <si>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</si>
  <si>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</si>
  <si>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</si>
  <si>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</si>
  <si>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</si>
  <si>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</si>
  <si>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</si>
  <si>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</si>
  <si>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</si>
  <si>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</si>
  <si>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</si>
  <si>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</si>
  <si>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</si>
  <si>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</si>
  <si>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</si>
  <si>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</si>
  <si>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</si>
  <si>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</si>
  <si>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</si>
  <si>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</si>
  <si>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</si>
  <si>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</si>
  <si>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</si>
  <si>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</si>
  <si>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</si>
  <si>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</si>
  <si>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</si>
  <si>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</si>
  <si>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</si>
  <si>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</si>
  <si>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</si>
  <si>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</si>
  <si>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</si>
  <si>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</si>
  <si>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</si>
  <si>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</si>
  <si>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</si>
  <si>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</si>
  <si>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</si>
  <si>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</si>
  <si>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</si>
  <si>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</si>
  <si>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</si>
  <si>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</si>
  <si>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</si>
  <si>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</si>
  <si>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</si>
  <si>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</si>
  <si>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</si>
  <si>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</si>
  <si>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</si>
  <si>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</si>
  <si>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</si>
  <si>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</si>
  <si>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</si>
  <si>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</si>
  <si>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</si>
  <si>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</si>
  <si>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</si>
  <si>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</si>
  <si>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</si>
  <si>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</si>
  <si>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</si>
  <si>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</si>
  <si>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</si>
  <si>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</si>
  <si>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</si>
  <si>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</si>
  <si>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</si>
  <si>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</si>
  <si>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</si>
  <si>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</si>
  <si>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</si>
  <si>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</si>
  <si>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</si>
  <si>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</si>
  <si>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</si>
  <si>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</si>
  <si>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</si>
  <si>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</si>
  <si>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</si>
  <si>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</si>
  <si>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</si>
  <si>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</si>
  <si>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</si>
  <si>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</si>
  <si>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</si>
  <si>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</si>
  <si>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</si>
  <si>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</si>
  <si>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</si>
  <si>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</si>
  <si>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</si>
  <si>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</si>
  <si>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</si>
  <si>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</si>
  <si>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</si>
  <si>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</si>
  <si>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</si>
  <si>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</si>
  <si>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</si>
  <si>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</si>
  <si>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</si>
  <si>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</si>
  <si>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</si>
  <si>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</si>
  <si>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</si>
  <si>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</si>
  <si>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</si>
  <si>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</si>
  <si>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</si>
  <si>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</si>
  <si>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</si>
  <si>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</si>
  <si>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</si>
  <si>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</si>
  <si>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</si>
  <si>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</si>
  <si>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</si>
  <si>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</si>
  <si>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</si>
  <si>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</si>
  <si>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</si>
  <si>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</si>
  <si>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</si>
  <si>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</si>
  <si>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</si>
  <si>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</si>
  <si>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</si>
  <si>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</si>
  <si>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</si>
  <si>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</si>
  <si>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</si>
  <si>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</si>
  <si>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</si>
  <si>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</si>
  <si>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</si>
  <si>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</si>
  <si>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</si>
  <si>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</si>
  <si>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</si>
  <si>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</si>
  <si>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</si>
  <si>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</si>
  <si>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</si>
  <si>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</si>
  <si>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</si>
  <si>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</si>
  <si>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</si>
  <si>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</si>
  <si>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</si>
  <si>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</si>
  <si>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</si>
  <si>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</si>
  <si>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</si>
  <si>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</si>
  <si>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</si>
  <si>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</si>
  <si>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</si>
  <si>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</si>
  <si>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</si>
  <si>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</si>
  <si>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</si>
  <si>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</si>
  <si>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</si>
  <si>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</si>
  <si>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</si>
  <si>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</si>
  <si>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</si>
  <si>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</si>
  <si>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</si>
  <si>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</si>
  <si>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</si>
  <si>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</si>
  <si>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</si>
  <si>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</si>
  <si>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</si>
  <si>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</si>
  <si>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</si>
  <si>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</si>
  <si>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</si>
  <si>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</si>
  <si>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</si>
  <si>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</si>
  <si>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</si>
  <si>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</si>
  <si>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</si>
  <si>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</si>
  <si>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</si>
  <si>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</si>
  <si>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</si>
  <si>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</si>
  <si>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</si>
  <si>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</si>
  <si>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</si>
  <si>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</si>
  <si>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</si>
  <si>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</si>
  <si>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</si>
  <si>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</si>
  <si>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</si>
  <si>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</si>
  <si>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</si>
  <si>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</si>
  <si>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</si>
  <si>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</si>
  <si>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</si>
  <si>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</si>
  <si>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</si>
  <si>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</si>
  <si>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</si>
  <si>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</si>
  <si>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</si>
  <si>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</si>
  <si>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</si>
  <si>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</si>
  <si>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</si>
  <si>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</si>
  <si>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</si>
  <si>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</si>
  <si>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</si>
  <si>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</si>
  <si>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</si>
  <si>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</si>
  <si>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</si>
  <si>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</si>
  <si>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</si>
  <si>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</si>
  <si>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</si>
  <si>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</si>
  <si>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</si>
  <si>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</si>
  <si>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</si>
  <si>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</si>
  <si>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</si>
  <si>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</si>
  <si>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</si>
  <si>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</si>
  <si>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</si>
  <si>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</si>
  <si>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</si>
  <si>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</si>
  <si>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</si>
  <si>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</si>
  <si>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</si>
  <si>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</si>
  <si>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</si>
  <si>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</si>
  <si>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</si>
  <si>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</si>
  <si>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</si>
  <si>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</si>
  <si>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</si>
  <si>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</si>
  <si>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</si>
  <si>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</si>
  <si>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</si>
  <si>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</si>
  <si>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</si>
  <si>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</si>
  <si>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</si>
  <si>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</si>
  <si>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</si>
  <si>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</si>
  <si>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</si>
  <si>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</si>
  <si>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</si>
  <si>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</si>
  <si>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</si>
  <si>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</si>
  <si>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</si>
  <si>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</si>
  <si>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</si>
  <si>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</si>
  <si>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</si>
  <si>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</si>
  <si>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</si>
  <si>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</si>
  <si>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</si>
  <si>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</si>
  <si>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</si>
  <si>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</si>
  <si>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</si>
  <si>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</si>
  <si>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</si>
  <si>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</si>
  <si>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</si>
  <si>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</si>
  <si>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</si>
  <si>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</si>
  <si>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</si>
  <si>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</si>
  <si>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</si>
  <si>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</si>
  <si>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</si>
  <si>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</si>
  <si>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</si>
  <si>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</si>
  <si>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</si>
  <si>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</si>
  <si>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</si>
  <si>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</si>
  <si>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</si>
  <si>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</si>
  <si>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</si>
  <si>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</si>
  <si>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</si>
  <si>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</si>
  <si>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</si>
  <si>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</si>
  <si>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</si>
  <si>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</si>
  <si>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</si>
  <si>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</si>
  <si>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</si>
  <si>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</si>
  <si>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</si>
  <si>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</si>
  <si>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</si>
  <si>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</si>
  <si>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</si>
  <si>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</si>
  <si>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</si>
  <si>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</si>
  <si>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</si>
  <si>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</si>
  <si>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</si>
  <si>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</si>
  <si>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</si>
  <si>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</si>
  <si>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</si>
  <si>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</si>
  <si>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</si>
  <si>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</si>
  <si>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</si>
  <si>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</si>
  <si>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</si>
  <si>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</si>
  <si>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</si>
  <si>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</si>
  <si>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</si>
  <si>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</si>
  <si>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</si>
  <si>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</si>
  <si>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</si>
  <si>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</si>
  <si>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</si>
  <si>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</si>
  <si>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</si>
  <si>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</si>
  <si>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</si>
  <si>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</si>
  <si>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</si>
  <si>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</si>
  <si>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</si>
  <si>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</si>
  <si>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</si>
  <si>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</si>
  <si>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</si>
  <si>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</si>
  <si>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</si>
  <si>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</si>
  <si>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</si>
  <si>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</si>
  <si>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</si>
  <si>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</si>
  <si>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</si>
  <si>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</si>
  <si>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</si>
  <si>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</si>
  <si>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</si>
  <si>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</si>
  <si>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</si>
  <si>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</si>
  <si>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</si>
  <si>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</si>
  <si>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</si>
  <si>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</si>
  <si>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</si>
  <si>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</si>
  <si>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</si>
  <si>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</si>
  <si>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</si>
  <si>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</si>
  <si>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</si>
  <si>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</si>
  <si>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</si>
  <si>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</si>
  <si>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</si>
  <si>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</si>
  <si>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</si>
  <si>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</si>
  <si>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</si>
  <si>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</si>
  <si>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</si>
  <si>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</si>
  <si>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</si>
  <si>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</si>
  <si>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</si>
  <si>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</si>
  <si>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</si>
  <si>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</si>
  <si>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</si>
  <si>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</si>
  <si>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</si>
  <si>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</si>
  <si>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</si>
  <si>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</si>
  <si>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</si>
  <si>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</si>
  <si>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</si>
  <si>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</si>
  <si>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</si>
  <si>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</si>
  <si>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</si>
  <si>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</si>
  <si>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</si>
  <si>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</si>
  <si>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</si>
  <si>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</si>
  <si>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</si>
  <si>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</si>
  <si>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</si>
  <si>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</si>
  <si>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</si>
  <si>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</si>
  <si>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</si>
  <si>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</si>
  <si>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</si>
  <si>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</si>
  <si>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</si>
  <si>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</si>
  <si>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</si>
  <si>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</si>
  <si>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</si>
  <si>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</si>
  <si>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</si>
  <si>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</si>
  <si>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</si>
  <si>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</si>
  <si>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</si>
  <si>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</si>
  <si>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</si>
  <si>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</si>
  <si>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</si>
  <si>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</si>
  <si>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</si>
  <si>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</si>
  <si>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</si>
  <si>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</si>
  <si>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</si>
  <si>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</si>
  <si>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</si>
  <si>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</si>
  <si>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</si>
  <si>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</si>
  <si>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</si>
  <si>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</si>
  <si>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</si>
  <si>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</si>
  <si>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</si>
  <si>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</si>
  <si>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</si>
  <si>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</si>
  <si>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</si>
  <si>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</si>
  <si>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</si>
  <si>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</si>
  <si>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</si>
  <si>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</si>
  <si>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</si>
  <si>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</si>
  <si>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</si>
  <si>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</si>
  <si>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</si>
  <si>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</si>
  <si>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</si>
  <si>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</si>
  <si>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</si>
  <si>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</si>
  <si>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</si>
  <si>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</si>
  <si>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</si>
  <si>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</si>
  <si>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</si>
  <si>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</si>
  <si>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</si>
  <si>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</si>
  <si>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</si>
  <si>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</si>
  <si>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</si>
  <si>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</si>
  <si>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</si>
  <si>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</si>
  <si>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</si>
  <si>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</si>
  <si>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</si>
  <si>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</si>
  <si>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</si>
  <si>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</si>
  <si>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</si>
  <si>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</si>
  <si>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</si>
  <si>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</si>
  <si>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</si>
  <si>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</si>
  <si>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</si>
  <si>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</si>
  <si>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</si>
  <si>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</si>
  <si>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</si>
  <si>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</si>
  <si>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</si>
  <si>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</si>
  <si>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</si>
  <si>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</si>
  <si>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</si>
  <si>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</si>
  <si>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</si>
  <si>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</si>
  <si>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</si>
  <si>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</si>
  <si>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</si>
  <si>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</si>
  <si>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</si>
  <si>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</si>
  <si>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</si>
  <si>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</si>
  <si>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</si>
  <si>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</si>
  <si>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</si>
  <si>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</si>
  <si>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</si>
  <si>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</si>
  <si>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</si>
  <si>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</si>
  <si>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</si>
  <si>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</si>
  <si>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</si>
  <si>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</si>
  <si>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</si>
  <si>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</si>
  <si>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</si>
  <si>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</si>
  <si>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</si>
  <si>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</si>
  <si>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</si>
  <si>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</si>
  <si>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</si>
  <si>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</si>
  <si>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</si>
  <si>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</si>
  <si>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</si>
  <si>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</si>
  <si>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</si>
  <si>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</si>
  <si>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</si>
  <si>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</si>
  <si>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</si>
  <si>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</si>
  <si>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</si>
  <si>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</si>
  <si>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</si>
  <si>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</si>
  <si>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</si>
  <si>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</si>
  <si>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</si>
  <si>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</si>
  <si>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</si>
  <si>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</si>
  <si>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</si>
  <si>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</si>
  <si>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</si>
  <si>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</si>
  <si>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</si>
  <si>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</si>
  <si>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</si>
  <si>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</si>
  <si>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</si>
  <si>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</si>
  <si>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</si>
  <si>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</si>
  <si>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</si>
  <si>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</si>
  <si>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</si>
  <si>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</si>
  <si>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</si>
  <si>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</si>
  <si>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</si>
  <si>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</si>
  <si>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</si>
  <si>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</si>
  <si>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</si>
  <si>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</si>
  <si>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</si>
  <si>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</si>
  <si>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</si>
  <si>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</si>
  <si>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</si>
  <si>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</si>
  <si>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</si>
  <si>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</si>
  <si>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</si>
  <si>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</si>
  <si>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</si>
  <si>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</si>
  <si>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</si>
  <si>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</si>
  <si>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</si>
  <si>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</si>
  <si>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</si>
  <si>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</si>
  <si>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</si>
  <si>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</si>
  <si>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</si>
  <si>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</si>
  <si>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</si>
  <si>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</si>
  <si>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</si>
  <si>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</si>
  <si>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</si>
  <si>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</si>
  <si>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</si>
  <si>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</si>
  <si>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</si>
  <si>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</si>
  <si>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</si>
  <si>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</si>
  <si>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</si>
  <si>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</si>
  <si>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</si>
  <si>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</si>
  <si>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</si>
  <si>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</si>
  <si>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</si>
  <si>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</si>
  <si>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</si>
  <si>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</si>
  <si>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</si>
  <si>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</si>
  <si>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</si>
  <si>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</si>
  <si>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</si>
  <si>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</si>
  <si>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</si>
  <si>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</si>
  <si>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</si>
  <si>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</si>
  <si>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</si>
  <si>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</si>
  <si>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</si>
  <si>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</si>
  <si>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</si>
  <si>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</si>
  <si>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</si>
  <si>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</si>
  <si>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</si>
  <si>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</si>
  <si>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</si>
  <si>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</si>
  <si>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</si>
  <si>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</si>
  <si>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</si>
  <si>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</si>
  <si>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</si>
  <si>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</si>
  <si>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</si>
  <si>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</si>
  <si>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</si>
  <si>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</si>
  <si>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</si>
  <si>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</si>
  <si>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</si>
  <si>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</si>
  <si>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</si>
  <si>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</si>
  <si>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</si>
  <si>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</si>
  <si>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</si>
  <si>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</si>
  <si>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</si>
  <si>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</si>
  <si>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</si>
  <si>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</si>
  <si>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</si>
  <si>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</si>
  <si>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</si>
  <si>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</si>
  <si>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</si>
  <si>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</si>
  <si>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</si>
  <si>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</si>
  <si>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</si>
  <si>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</si>
  <si>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</si>
  <si>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</si>
  <si>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</si>
  <si>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</si>
  <si>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</si>
  <si>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</si>
  <si>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</si>
  <si>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</si>
  <si>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</si>
  <si>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</si>
  <si>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</si>
  <si>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</si>
  <si>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</si>
  <si>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</si>
  <si>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</si>
  <si>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</si>
  <si>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</si>
  <si>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</si>
  <si>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</si>
  <si>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</si>
  <si>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</si>
  <si>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</si>
  <si>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</si>
  <si>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</si>
  <si>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</si>
  <si>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</si>
  <si>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</si>
  <si>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</si>
  <si>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</si>
  <si>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</si>
  <si>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</si>
  <si>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</si>
  <si>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</si>
  <si>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</si>
  <si>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</si>
  <si>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</si>
  <si>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</si>
  <si>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</si>
  <si>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</si>
  <si>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</si>
  <si>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</si>
  <si>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</si>
  <si>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</si>
  <si>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</si>
  <si>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</si>
  <si>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</si>
  <si>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</si>
  <si>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</si>
  <si>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</si>
  <si>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</si>
  <si>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</si>
  <si>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</si>
  <si>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</si>
  <si>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</si>
  <si>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</si>
  <si>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</si>
  <si>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</si>
  <si>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</si>
  <si>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</si>
  <si>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</si>
  <si>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</si>
  <si>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</si>
  <si>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</si>
  <si>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</si>
  <si>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</si>
  <si>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</si>
  <si>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</si>
  <si>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</si>
  <si>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</si>
  <si>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</si>
  <si>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</si>
  <si>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</si>
  <si>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</si>
  <si>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</si>
  <si>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</si>
  <si>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</si>
  <si>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</si>
  <si>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</si>
  <si>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</si>
  <si>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</si>
  <si>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</si>
  <si>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</si>
  <si>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</si>
  <si>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</si>
  <si>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</si>
  <si>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</si>
  <si>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</si>
  <si>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</si>
  <si>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</si>
  <si>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</si>
  <si>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</si>
  <si>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</si>
  <si>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</si>
  <si>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</si>
  <si>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</si>
  <si>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</si>
  <si>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</si>
  <si>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</si>
  <si>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</si>
  <si>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</si>
  <si>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</si>
  <si>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</si>
  <si>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</si>
  <si>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</si>
  <si>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</si>
  <si>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</si>
  <si>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</si>
  <si>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</si>
  <si>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</si>
  <si>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</si>
  <si>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</si>
  <si>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</si>
  <si>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</si>
  <si>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</si>
  <si>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</si>
  <si>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</si>
  <si>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</si>
  <si>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</si>
  <si>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</si>
  <si>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</si>
  <si>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</si>
  <si>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</si>
  <si>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</si>
  <si>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</si>
  <si>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</si>
  <si>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</si>
  <si>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</si>
  <si>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</si>
  <si>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</si>
  <si>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</si>
  <si>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</si>
  <si>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</si>
  <si>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</si>
  <si>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</si>
  <si>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</si>
  <si>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</si>
  <si>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</si>
  <si>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</si>
  <si>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</si>
  <si>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</si>
  <si>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</si>
  <si>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</si>
  <si>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</si>
  <si>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</si>
  <si>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</si>
  <si>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</si>
  <si>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</si>
  <si>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</si>
  <si>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</si>
  <si>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</si>
  <si>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</si>
  <si>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</si>
  <si>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</si>
  <si>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</si>
  <si>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</si>
  <si>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</si>
  <si>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</si>
  <si>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</si>
  <si>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</si>
  <si>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</si>
  <si>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</si>
  <si>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</si>
  <si>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</si>
  <si>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</si>
  <si>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</si>
  <si>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</si>
  <si>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</si>
  <si>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</si>
  <si>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</si>
  <si>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</si>
  <si>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</si>
  <si>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</si>
  <si>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</si>
  <si>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</si>
  <si>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</si>
  <si>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</si>
  <si>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</si>
  <si>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</si>
  <si>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</si>
  <si>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</si>
  <si>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</si>
  <si>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</si>
  <si>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</si>
  <si>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</si>
  <si>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</si>
  <si>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</si>
  <si>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</si>
  <si>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</si>
  <si>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</si>
  <si>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</si>
  <si>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</si>
  <si>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</si>
  <si>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</si>
  <si>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</si>
  <si>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</si>
  <si>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</si>
  <si>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</si>
  <si>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</si>
  <si>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</si>
  <si>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</si>
  <si>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</si>
  <si>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</si>
  <si>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</si>
  <si>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</si>
  <si>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</si>
  <si>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</si>
  <si>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</si>
  <si>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</si>
  <si>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</si>
  <si>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</si>
  <si>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</si>
  <si>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</si>
  <si>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</si>
  <si>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</si>
  <si>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</si>
  <si>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</si>
  <si>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</si>
  <si>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</si>
  <si>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</si>
  <si>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</si>
  <si>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</si>
  <si>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</si>
  <si>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</si>
  <si>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</si>
  <si>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</si>
  <si>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</si>
  <si>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</si>
  <si>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</si>
  <si>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</si>
  <si>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</si>
  <si>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</si>
  <si>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</si>
  <si>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</si>
  <si>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</si>
  <si>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</si>
  <si>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</si>
  <si>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</si>
  <si>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</si>
  <si>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</si>
  <si>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</si>
  <si>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</si>
  <si>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</si>
  <si>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</si>
  <si>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</si>
  <si>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</si>
  <si>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</si>
  <si>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</si>
  <si>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</si>
  <si>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</si>
  <si>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</si>
  <si>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</si>
  <si>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</si>
  <si>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</si>
  <si>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</si>
  <si>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</si>
  <si>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</si>
  <si>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</si>
  <si>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</si>
  <si>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</si>
  <si>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</si>
  <si>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</si>
  <si>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</si>
  <si>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</si>
  <si>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</si>
  <si>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</si>
  <si>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</si>
  <si>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</si>
  <si>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</si>
  <si>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</si>
  <si>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</si>
  <si>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</si>
  <si>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</si>
  <si>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</si>
  <si>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</si>
  <si>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</si>
  <si>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</si>
  <si>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</si>
  <si>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</si>
  <si>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</si>
  <si>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</si>
  <si>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</si>
  <si>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</si>
  <si>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</si>
  <si>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</si>
  <si>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</si>
  <si>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</si>
  <si>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</si>
  <si>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</si>
  <si>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</si>
  <si>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</si>
  <si>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</si>
  <si>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</si>
  <si>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</si>
  <si>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</si>
  <si>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</si>
  <si>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</si>
  <si>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</si>
  <si>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</si>
  <si>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</si>
  <si>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</si>
  <si>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</si>
  <si>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</si>
  <si>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</si>
  <si>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</si>
  <si>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</si>
  <si>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</si>
  <si>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</si>
  <si>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</si>
  <si>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</si>
  <si>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</si>
  <si>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</si>
  <si>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</si>
  <si>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</si>
  <si>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</si>
  <si>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</si>
  <si>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</si>
  <si>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</si>
  <si>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</si>
  <si>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</si>
  <si>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</si>
  <si>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</si>
  <si>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</si>
  <si>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</si>
  <si>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</si>
  <si>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</si>
  <si>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</si>
  <si>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</si>
  <si>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</si>
  <si>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</si>
  <si>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</si>
  <si>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</si>
  <si>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</si>
  <si>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</si>
  <si>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</si>
  <si>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</si>
  <si>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</si>
  <si>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</si>
  <si>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</si>
  <si>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</si>
  <si>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</si>
  <si>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</si>
  <si>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</si>
  <si>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</si>
  <si>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</si>
  <si>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</si>
  <si>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</si>
  <si>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</si>
  <si>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</si>
  <si>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</si>
  <si>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</si>
  <si>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</si>
  <si>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</si>
  <si>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</si>
  <si>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</si>
  <si>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</si>
  <si>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</si>
  <si>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</si>
  <si>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</si>
  <si>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</si>
  <si>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</si>
  <si>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</si>
  <si>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</si>
  <si>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</si>
  <si>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</si>
  <si>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</si>
  <si>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</si>
  <si>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</si>
  <si>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</si>
  <si>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</si>
  <si>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</si>
  <si>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</si>
  <si>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</si>
  <si>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</si>
  <si>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</si>
  <si>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</si>
  <si>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</si>
  <si>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</si>
  <si>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</si>
  <si>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</si>
  <si>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</si>
  <si>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</si>
  <si>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</si>
  <si>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</si>
  <si>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</si>
  <si>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</si>
  <si>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</si>
  <si>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</si>
  <si>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</si>
  <si>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</si>
  <si>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</si>
  <si>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</si>
  <si>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</si>
  <si>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</si>
  <si>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</si>
  <si>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</si>
  <si>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</si>
  <si>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</si>
  <si>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</si>
  <si>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</si>
  <si>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</si>
  <si>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</si>
  <si>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</si>
  <si>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</si>
  <si>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</si>
  <si>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</si>
  <si>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</si>
  <si>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</si>
  <si>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</si>
  <si>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</si>
  <si>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</si>
  <si>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</si>
  <si>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</si>
  <si>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</si>
  <si>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</si>
  <si>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</si>
  <si>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</si>
  <si>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</si>
  <si>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</si>
  <si>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</si>
  <si>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</si>
  <si>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</si>
  <si>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</si>
  <si>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</si>
  <si>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</si>
  <si>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</si>
  <si>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</si>
  <si>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</si>
  <si>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</si>
  <si>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</si>
  <si>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</si>
  <si>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</si>
  <si>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</si>
  <si>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</si>
  <si>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</si>
  <si>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</si>
  <si>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</si>
  <si>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</si>
  <si>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</si>
  <si>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</si>
  <si>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</si>
  <si>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</si>
  <si>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</si>
  <si>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</si>
  <si>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</si>
  <si>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</si>
  <si>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</si>
  <si>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</si>
  <si>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</si>
  <si>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</si>
  <si>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</si>
  <si>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</si>
  <si>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</si>
  <si>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</si>
  <si>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</si>
  <si>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</si>
  <si>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</si>
  <si>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</si>
  <si>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</si>
  <si>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</si>
  <si>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</si>
  <si>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</si>
  <si>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</si>
  <si>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</si>
  <si>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</si>
  <si>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</si>
  <si>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</si>
  <si>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</si>
  <si>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</si>
  <si>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</si>
  <si>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</si>
  <si>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</si>
  <si>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</si>
  <si>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</si>
  <si>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</si>
  <si>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</si>
  <si>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</si>
  <si>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</si>
  <si>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</si>
  <si>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</si>
  <si>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</si>
  <si>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</si>
  <si>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</si>
  <si>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</si>
  <si>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</si>
  <si>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</si>
  <si>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</si>
  <si>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</si>
  <si>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</si>
  <si>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</si>
  <si>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</si>
  <si>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</si>
  <si>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</si>
  <si>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</si>
  <si>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</si>
  <si>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</si>
  <si>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</si>
  <si>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</si>
  <si>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</si>
  <si>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</si>
  <si>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</si>
  <si>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</si>
  <si>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</si>
  <si>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</si>
  <si>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</si>
  <si>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</si>
  <si>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</si>
  <si>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</si>
  <si>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</si>
  <si>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</si>
  <si>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</si>
  <si>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</si>
  <si>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</si>
  <si>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</si>
  <si>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</si>
  <si>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</si>
  <si>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</si>
  <si>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</si>
  <si>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</si>
  <si>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</si>
  <si>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</si>
  <si>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</si>
  <si>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</si>
  <si>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</si>
  <si>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</si>
  <si>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</si>
  <si>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</si>
  <si>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</si>
  <si>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</si>
  <si>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</si>
  <si>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</si>
  <si>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</si>
  <si>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</si>
  <si>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</si>
  <si>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</si>
  <si>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</si>
  <si>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</si>
  <si>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</si>
  <si>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</si>
  <si>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</si>
  <si>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</si>
  <si>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</si>
  <si>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</si>
  <si>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</si>
  <si>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</si>
  <si>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</si>
  <si>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</si>
  <si>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</si>
  <si>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</si>
  <si>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</si>
  <si>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</si>
  <si>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</si>
  <si>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</si>
  <si>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</si>
  <si>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</si>
  <si>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</si>
  <si>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</si>
  <si>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</si>
  <si>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</si>
  <si>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</si>
  <si>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</si>
  <si>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</si>
  <si>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</si>
  <si>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</si>
  <si>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</si>
  <si>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</si>
  <si>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</si>
  <si>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</si>
  <si>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</si>
  <si>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</si>
  <si>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</si>
  <si>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</si>
  <si>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</si>
  <si>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</si>
  <si>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</si>
  <si>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</si>
  <si>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</si>
  <si>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</si>
  <si>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</si>
  <si>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</si>
  <si>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</si>
  <si>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</si>
  <si>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</si>
  <si>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</si>
  <si>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</si>
  <si>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</si>
  <si>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</si>
  <si>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</si>
  <si>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</si>
  <si>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</si>
  <si>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</si>
  <si>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</si>
  <si>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</si>
  <si>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</si>
  <si>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</si>
  <si>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</si>
  <si>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</si>
  <si>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</si>
  <si>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</si>
  <si>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</si>
  <si>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</si>
  <si>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</si>
  <si>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</si>
  <si>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</si>
  <si>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</si>
  <si>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</si>
  <si>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</si>
  <si>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</si>
  <si>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</si>
  <si>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</si>
  <si>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</si>
  <si>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</si>
  <si>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</si>
  <si>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</si>
  <si>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</si>
  <si>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</si>
  <si>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</si>
  <si>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</si>
  <si>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</si>
  <si>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</si>
  <si>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</si>
  <si>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</si>
  <si>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</si>
  <si>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</si>
  <si>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</si>
  <si>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</si>
  <si>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</si>
  <si>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</si>
  <si>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</si>
  <si>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</si>
  <si>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</si>
  <si>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</si>
  <si>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</si>
  <si>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</si>
  <si>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</si>
  <si>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</si>
  <si>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</si>
  <si>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</si>
  <si>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</si>
  <si>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</si>
  <si>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</si>
  <si>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</si>
  <si>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</si>
  <si>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</si>
  <si>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</si>
  <si>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</si>
  <si>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</si>
  <si>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</si>
  <si>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</si>
  <si>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</si>
  <si>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</si>
  <si>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</si>
  <si>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</si>
  <si>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</si>
  <si>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</si>
  <si>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</si>
  <si>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</si>
  <si>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</si>
  <si>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</si>
  <si>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</si>
  <si>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</si>
  <si>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</si>
  <si>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</si>
  <si>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</si>
  <si>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</si>
  <si>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</si>
  <si>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</si>
  <si>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</si>
  <si>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</si>
  <si>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</si>
  <si>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</si>
  <si>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</si>
  <si>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</si>
  <si>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</si>
  <si>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</si>
  <si>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</si>
  <si>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</si>
  <si>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</si>
  <si>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</si>
  <si>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</si>
  <si>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</si>
  <si>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</si>
  <si>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</si>
  <si>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</si>
  <si>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</si>
  <si>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</si>
  <si>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</si>
  <si>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</si>
  <si>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</si>
  <si>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</si>
  <si>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</si>
  <si>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</si>
  <si>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</si>
  <si>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</si>
  <si>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</si>
  <si>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</si>
  <si>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</si>
  <si>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</si>
  <si>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</si>
  <si>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</si>
  <si>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</si>
  <si>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</si>
  <si>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</si>
  <si>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</si>
  <si>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</si>
  <si>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</si>
  <si>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</si>
  <si>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</si>
  <si>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</si>
  <si>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</si>
  <si>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</si>
  <si>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</si>
  <si>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</si>
  <si>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</si>
  <si>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</si>
  <si>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</si>
  <si>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</si>
  <si>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</si>
  <si>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</si>
  <si>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</si>
  <si>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</si>
  <si>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</si>
  <si>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</si>
  <si>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</si>
  <si>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</si>
  <si>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</si>
  <si>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</si>
  <si>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</si>
  <si>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</si>
  <si>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</si>
  <si>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</si>
  <si>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</si>
  <si>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</si>
  <si>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</si>
  <si>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</si>
  <si>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</si>
  <si>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</si>
  <si>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</si>
  <si>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</si>
  <si>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</si>
  <si>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</si>
  <si>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</si>
  <si>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</si>
  <si>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</si>
  <si>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</si>
  <si>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</si>
  <si>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</si>
  <si>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</si>
  <si>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</si>
  <si>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</si>
  <si>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</si>
  <si>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</si>
  <si>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</si>
  <si>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</si>
  <si>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</si>
  <si>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</si>
  <si>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</si>
  <si>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</si>
  <si>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</si>
  <si>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</si>
  <si>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</si>
  <si>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</si>
  <si>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</si>
  <si>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</si>
  <si>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</si>
  <si>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</si>
  <si>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</si>
  <si>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</si>
  <si>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</si>
  <si>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</si>
  <si>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</si>
  <si>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</si>
  <si>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</si>
  <si>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</si>
  <si>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</si>
  <si>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</si>
  <si>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</si>
  <si>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</si>
  <si>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</si>
  <si>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</si>
  <si>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</si>
  <si>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</si>
  <si>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</si>
  <si>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</si>
  <si>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</si>
  <si>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</si>
  <si>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</si>
  <si>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</si>
  <si>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</si>
  <si>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</si>
  <si>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</si>
  <si>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</si>
  <si>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</si>
  <si>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</si>
  <si>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</si>
  <si>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</si>
  <si>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</si>
  <si>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</si>
  <si>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</si>
  <si>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</si>
  <si>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</si>
  <si>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</si>
  <si>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</si>
  <si>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</si>
  <si>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</si>
  <si>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</si>
  <si>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</si>
  <si>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</si>
  <si>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</si>
  <si>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</si>
  <si>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</si>
  <si>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</si>
  <si>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</si>
  <si>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</si>
  <si>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</si>
  <si>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</si>
  <si>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</si>
  <si>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</si>
  <si>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</si>
  <si>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</si>
  <si>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</si>
  <si>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</si>
  <si>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</si>
  <si>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</si>
  <si>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</si>
  <si>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</si>
  <si>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</si>
  <si>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</si>
  <si>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</si>
  <si>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</si>
  <si>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</si>
  <si>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</si>
  <si>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</si>
  <si>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</si>
  <si>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</si>
  <si>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</si>
  <si>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</si>
  <si>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</si>
  <si>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</si>
  <si>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</si>
  <si>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</si>
  <si>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</si>
  <si>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</si>
  <si>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</si>
  <si>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</si>
  <si>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</si>
  <si>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</si>
  <si>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</si>
  <si>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</si>
  <si>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</si>
  <si>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</si>
  <si>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</si>
  <si>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</si>
  <si>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</si>
  <si>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</si>
  <si>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</si>
  <si>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</si>
  <si>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</si>
  <si>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</si>
  <si>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</si>
  <si>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</si>
  <si>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</si>
  <si>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</si>
  <si>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</si>
  <si>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</si>
  <si>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</si>
  <si>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</si>
  <si>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</si>
  <si>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</si>
  <si>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</si>
  <si>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</si>
  <si>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</si>
  <si>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</si>
  <si>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</si>
  <si>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</si>
  <si>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</si>
  <si>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</si>
  <si>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</si>
  <si>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</si>
  <si>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</si>
  <si>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</si>
  <si>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</si>
  <si>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</si>
  <si>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</si>
  <si>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</si>
  <si>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</si>
  <si>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</si>
  <si>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</si>
  <si>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</si>
  <si>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</si>
  <si>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</si>
  <si>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</si>
  <si>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</si>
  <si>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</si>
  <si>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</si>
  <si>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</si>
  <si>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</si>
  <si>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</si>
  <si>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</si>
  <si>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</si>
  <si>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</si>
  <si>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</si>
  <si>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</si>
  <si>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</si>
  <si>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</si>
  <si>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</si>
  <si>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</si>
  <si>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</si>
  <si>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</si>
  <si>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</si>
  <si>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</si>
  <si>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</si>
  <si>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</si>
  <si>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</si>
  <si>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</si>
  <si>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</si>
  <si>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</si>
  <si>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</si>
  <si>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</si>
  <si>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</si>
  <si>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</si>
  <si>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</si>
  <si>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</si>
  <si>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</si>
  <si>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</si>
  <si>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</si>
  <si>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</si>
  <si>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</si>
  <si>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</si>
  <si>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</si>
  <si>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</si>
  <si>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</si>
  <si>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</si>
  <si>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</si>
  <si>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</si>
  <si>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</si>
  <si>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</si>
  <si>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</si>
  <si>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</si>
  <si>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</si>
  <si>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</si>
  <si>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</si>
  <si>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</si>
  <si>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</si>
  <si>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</si>
  <si>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</si>
  <si>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</si>
  <si>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</si>
  <si>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</si>
  <si>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</si>
  <si>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</si>
  <si>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</si>
  <si>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</si>
  <si>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</si>
  <si>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</si>
  <si>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</si>
  <si>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</si>
  <si>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</si>
  <si>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</si>
  <si>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</si>
  <si>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</si>
  <si>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</si>
  <si>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</si>
  <si>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</si>
  <si>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</si>
  <si>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</si>
  <si>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</si>
  <si>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</si>
  <si>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</si>
  <si>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</si>
  <si>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</si>
  <si>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</si>
  <si>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</si>
  <si>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</si>
  <si>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</si>
  <si>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</si>
  <si>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</si>
  <si>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</si>
  <si>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</si>
  <si>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</si>
  <si>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</si>
  <si>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</si>
  <si>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</si>
  <si>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</si>
  <si>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</si>
  <si>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</si>
  <si>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</si>
  <si>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</si>
  <si>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</si>
  <si>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</si>
  <si>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</si>
  <si>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</si>
  <si>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</si>
  <si>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</si>
  <si>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</si>
  <si>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</si>
  <si>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</si>
  <si>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</si>
  <si>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</si>
  <si>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</si>
  <si>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</si>
  <si>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</si>
  <si>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</si>
  <si>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</si>
  <si>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</si>
  <si>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</si>
  <si>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</si>
  <si>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</si>
  <si>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</si>
  <si>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</si>
  <si>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</si>
  <si>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</si>
  <si>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</si>
  <si>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</si>
  <si>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</si>
  <si>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</si>
  <si>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</si>
  <si>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</si>
  <si>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</si>
  <si>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</si>
  <si>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</si>
  <si>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</si>
  <si>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</si>
  <si>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</si>
  <si>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</si>
  <si>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</si>
  <si>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</si>
  <si>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</si>
  <si>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</si>
  <si>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</si>
  <si>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</si>
  <si>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</si>
  <si>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</si>
  <si>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</si>
  <si>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</si>
  <si>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</si>
  <si>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</si>
  <si>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</si>
  <si>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</si>
  <si>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</si>
  <si>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</si>
  <si>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</si>
  <si>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</si>
  <si>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</si>
  <si>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</si>
  <si>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</si>
  <si>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</si>
  <si>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</si>
  <si>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</si>
  <si>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</si>
  <si>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</si>
  <si>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</si>
  <si>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</si>
  <si>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</si>
  <si>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</si>
  <si>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</si>
  <si>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</si>
  <si>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</si>
  <si>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</si>
  <si>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</si>
  <si>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</si>
  <si>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</si>
  <si>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</si>
  <si>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</si>
  <si>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</si>
  <si>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</si>
  <si>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</si>
  <si>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</si>
  <si>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</si>
  <si>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</si>
  <si>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</si>
  <si>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</si>
  <si>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</si>
  <si>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</si>
  <si>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</si>
  <si>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</si>
  <si>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</si>
  <si>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</si>
  <si>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</si>
  <si>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</si>
  <si>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</si>
  <si>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</si>
  <si>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</si>
  <si>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</si>
  <si>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</si>
  <si>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</si>
  <si>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</si>
  <si>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</si>
  <si>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</si>
  <si>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</si>
  <si>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</si>
  <si>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</si>
  <si>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</si>
  <si>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</si>
  <si>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</si>
  <si>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</si>
  <si>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</si>
  <si>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</si>
  <si>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</si>
  <si>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</si>
  <si>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</si>
  <si>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</si>
  <si>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</si>
  <si>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</si>
  <si>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</si>
  <si>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</si>
  <si>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</si>
  <si>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</si>
  <si>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</si>
  <si>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</si>
  <si>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</si>
  <si>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</si>
  <si>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</si>
  <si>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</si>
  <si>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</si>
  <si>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</si>
  <si>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</si>
  <si>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</si>
  <si>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</si>
  <si>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</si>
  <si>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</si>
  <si>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</si>
  <si>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</si>
  <si>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</si>
  <si>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</si>
  <si>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</si>
  <si>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</si>
  <si>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</si>
  <si>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</si>
  <si>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</si>
  <si>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</si>
  <si>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</si>
  <si>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</si>
  <si>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</si>
  <si>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</si>
  <si>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</si>
  <si>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</si>
  <si>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</si>
  <si>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</si>
  <si>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</si>
  <si>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</si>
  <si>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</si>
  <si>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</si>
  <si>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</si>
  <si>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</si>
  <si>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</si>
  <si>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</si>
  <si>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</si>
  <si>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</si>
  <si>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</si>
  <si>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</si>
  <si>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</si>
  <si>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</si>
  <si>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</si>
  <si>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</si>
  <si>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</si>
  <si>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</si>
  <si>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</si>
  <si>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</si>
  <si>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</si>
  <si>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</si>
  <si>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</si>
  <si>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</si>
  <si>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</si>
  <si>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</si>
  <si>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</si>
  <si>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</si>
  <si>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</si>
  <si>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</si>
  <si>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</si>
  <si>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</si>
  <si>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</si>
  <si>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</si>
  <si>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</si>
  <si>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</si>
  <si>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</si>
  <si>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</si>
  <si>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</si>
  <si>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</si>
  <si>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</si>
  <si>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</si>
  <si>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</si>
  <si>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</si>
  <si>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</si>
  <si>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</si>
  <si>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</si>
  <si>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</si>
  <si>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</si>
  <si>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</si>
  <si>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</si>
  <si>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</si>
  <si>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</si>
  <si>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</si>
  <si>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</si>
  <si>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</si>
  <si>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</si>
  <si>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</si>
  <si>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</si>
  <si>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</si>
  <si>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</si>
  <si>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</si>
  <si>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</si>
  <si>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</si>
  <si>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</si>
  <si>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</si>
  <si>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</si>
  <si>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</si>
  <si>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</si>
  <si>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</si>
  <si>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</si>
  <si>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</si>
  <si>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</si>
  <si>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</si>
  <si>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</si>
  <si>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</si>
  <si>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</si>
  <si>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</si>
  <si>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</si>
  <si>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</si>
  <si>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</si>
  <si>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</si>
  <si>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</si>
  <si>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</si>
  <si>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</si>
  <si>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</si>
  <si>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</si>
  <si>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</si>
  <si>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</si>
  <si>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</si>
  <si>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</si>
  <si>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</si>
  <si>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</si>
  <si>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</si>
  <si>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</si>
  <si>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</si>
  <si>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</si>
  <si>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</si>
  <si>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</si>
  <si>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</si>
  <si>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</si>
  <si>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</si>
  <si>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</si>
  <si>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</si>
  <si>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</si>
  <si>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</si>
  <si>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</si>
  <si>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</si>
  <si>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</si>
  <si>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</si>
  <si>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</si>
  <si>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</si>
  <si>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</si>
  <si>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</si>
  <si>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</si>
  <si>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</si>
  <si>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</si>
  <si>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</si>
  <si>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</si>
  <si>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</si>
  <si>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</si>
  <si>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</si>
  <si>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</si>
  <si>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</si>
  <si>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</si>
  <si>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</si>
  <si>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</si>
  <si>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</si>
  <si>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</si>
  <si>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</si>
  <si>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</si>
  <si>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</si>
  <si>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</si>
  <si>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</si>
  <si>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</si>
  <si>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</si>
  <si>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</si>
  <si>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</si>
  <si>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</si>
  <si>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</si>
  <si>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</si>
  <si>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</si>
  <si>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</si>
  <si>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</si>
  <si>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</si>
  <si>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</si>
  <si>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</si>
  <si>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</si>
  <si>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</si>
  <si>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</si>
  <si>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</si>
  <si>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</si>
  <si>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</si>
  <si>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</si>
  <si>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</si>
  <si>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</si>
  <si>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</si>
  <si>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</si>
  <si>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</si>
  <si>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</si>
  <si>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</si>
  <si>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</si>
  <si>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</si>
  <si>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</si>
  <si>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</si>
  <si>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</si>
  <si>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</si>
  <si>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</si>
  <si>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</si>
  <si>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</si>
  <si>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</si>
  <si>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</si>
  <si>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</si>
  <si>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</si>
  <si>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</si>
  <si>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</si>
  <si>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</si>
  <si>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</si>
  <si>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</si>
  <si>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</si>
  <si>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</si>
  <si>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</si>
  <si>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</si>
  <si>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</si>
  <si>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</si>
  <si>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</si>
  <si>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</si>
  <si>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</si>
  <si>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</si>
  <si>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</si>
  <si>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</si>
  <si>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</si>
  <si>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</si>
  <si>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</si>
  <si>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</si>
  <si>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</si>
  <si>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</si>
  <si>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</si>
  <si>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</si>
  <si>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</si>
  <si>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</si>
  <si>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</si>
  <si>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</si>
  <si>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</si>
  <si>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</si>
  <si>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</si>
  <si>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</si>
  <si>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</si>
  <si>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</si>
  <si>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</si>
  <si>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</si>
  <si>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</si>
  <si>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</si>
  <si>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</si>
  <si>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</si>
  <si>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</si>
  <si>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</si>
  <si>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</si>
  <si>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</si>
  <si>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</si>
  <si>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</si>
  <si>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</si>
  <si>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</si>
  <si>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</si>
  <si>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</si>
  <si>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</si>
  <si>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</si>
  <si>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</si>
  <si>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</si>
  <si>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</si>
  <si>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</si>
  <si>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</si>
  <si>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</si>
  <si>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</si>
  <si>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</si>
  <si>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</si>
  <si>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</si>
  <si>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</si>
  <si>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</si>
  <si>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</si>
  <si>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</si>
  <si>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</si>
  <si>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</si>
  <si>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</si>
  <si>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</si>
  <si>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</si>
  <si>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</si>
  <si>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</si>
  <si>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</si>
  <si>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</si>
  <si>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</si>
  <si>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</si>
  <si>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</si>
  <si>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</si>
  <si>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</si>
  <si>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</si>
  <si>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</si>
  <si>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</si>
  <si>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</si>
  <si>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</si>
  <si>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</si>
  <si>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</si>
  <si>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</si>
  <si>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</si>
  <si>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</si>
  <si>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</si>
  <si>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</si>
  <si>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</si>
  <si>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</si>
  <si>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</si>
  <si>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</si>
  <si>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</si>
  <si>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</si>
  <si>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</si>
  <si>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</si>
  <si>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</si>
  <si>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</si>
  <si>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</si>
  <si>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</si>
  <si>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</si>
  <si>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</si>
  <si>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</si>
  <si>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</si>
  <si>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</si>
  <si>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</si>
  <si>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</si>
  <si>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</si>
  <si>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</si>
  <si>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</si>
  <si>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</si>
  <si>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</si>
  <si>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</si>
  <si>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</si>
  <si>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</si>
  <si>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</si>
  <si>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</si>
  <si>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</si>
  <si>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</si>
  <si>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</si>
  <si>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</si>
  <si>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</si>
  <si>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</si>
  <si>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</si>
  <si>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</si>
  <si>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</si>
  <si>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</si>
  <si>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</si>
  <si>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</si>
  <si>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</si>
  <si>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</si>
  <si>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</si>
  <si>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</si>
  <si>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</si>
  <si>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</si>
  <si>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</si>
  <si>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</si>
  <si>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</si>
  <si>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</si>
  <si>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</si>
  <si>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</si>
  <si>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</si>
  <si>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</si>
  <si>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</si>
  <si>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</si>
  <si>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</si>
  <si>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</si>
  <si>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</si>
  <si>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</si>
  <si>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</si>
  <si>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</si>
  <si>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</si>
  <si>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</si>
  <si>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</si>
  <si>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</si>
  <si>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</si>
  <si>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</si>
  <si>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</si>
  <si>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</si>
  <si>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</si>
  <si>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</si>
  <si>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</si>
  <si>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</si>
  <si>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</si>
  <si>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</si>
  <si>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</si>
  <si>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</si>
  <si>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</si>
  <si>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</si>
  <si>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</si>
  <si>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</si>
  <si>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</si>
  <si>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</si>
  <si>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</si>
  <si>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</si>
  <si>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</si>
  <si>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</si>
  <si>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</si>
  <si>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</si>
  <si>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</si>
  <si>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</si>
  <si>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</si>
  <si>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</si>
  <si>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</si>
  <si>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</si>
  <si>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</si>
  <si>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</si>
  <si>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</si>
  <si>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</si>
  <si>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</si>
  <si>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</si>
  <si>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</si>
  <si>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</si>
  <si>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</si>
  <si>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</si>
  <si>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</si>
  <si>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</si>
  <si>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</si>
  <si>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</si>
  <si>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</si>
  <si>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</si>
  <si>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</si>
  <si>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</si>
  <si>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</si>
  <si>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</si>
  <si>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</si>
  <si>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</si>
  <si>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</si>
  <si>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</si>
  <si>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</si>
  <si>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</si>
  <si>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</si>
  <si>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</si>
  <si>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</si>
  <si>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</si>
  <si>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</si>
  <si>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</si>
  <si>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</si>
  <si>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</si>
  <si>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</si>
  <si>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</si>
  <si>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</si>
  <si>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</si>
  <si>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</si>
  <si>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</si>
  <si>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</si>
  <si>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</si>
  <si>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</si>
  <si>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</si>
  <si>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</si>
  <si>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</si>
  <si>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</si>
  <si>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</si>
  <si>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</si>
  <si>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</si>
  <si>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</si>
  <si>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</si>
  <si>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</si>
  <si>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</si>
  <si>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</si>
  <si>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</si>
  <si>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</si>
  <si>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</si>
  <si>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</si>
  <si>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</si>
  <si>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</si>
  <si>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</si>
  <si>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</si>
  <si>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</si>
  <si>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</si>
  <si>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</si>
  <si>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</si>
  <si>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</si>
  <si>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</si>
  <si>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</si>
  <si>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</si>
  <si>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</si>
  <si>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</si>
  <si>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</si>
  <si>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</si>
  <si>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</si>
  <si>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</si>
  <si>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</si>
  <si>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</si>
  <si>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</si>
  <si>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</si>
  <si>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</si>
  <si>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</si>
  <si>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</si>
  <si>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</si>
  <si>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</si>
  <si>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</si>
  <si>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</si>
  <si>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</si>
  <si>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</si>
  <si>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</si>
  <si>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</si>
  <si>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</si>
  <si>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</si>
  <si>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</si>
  <si>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</si>
  <si>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</si>
  <si>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</si>
  <si>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</si>
  <si>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</si>
  <si>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</si>
  <si>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</si>
  <si>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</si>
  <si>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</si>
  <si>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</si>
  <si>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</si>
  <si>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</si>
  <si>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</si>
  <si>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</si>
  <si>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</si>
  <si>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</si>
  <si>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</si>
  <si>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</si>
  <si>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</si>
  <si>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</si>
  <si>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</si>
  <si>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</si>
  <si>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</si>
  <si>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</si>
  <si>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</si>
  <si>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</si>
  <si>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</si>
  <si>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</si>
  <si>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</si>
  <si>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</si>
  <si>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</si>
  <si>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</si>
  <si>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</si>
  <si>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</si>
  <si>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</si>
  <si>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</si>
  <si>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</si>
  <si>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</si>
  <si>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</si>
  <si>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</si>
  <si>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</si>
  <si>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</si>
  <si>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</si>
  <si>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</si>
  <si>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</si>
  <si>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</si>
  <si>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</si>
  <si>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</si>
  <si>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</si>
  <si>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</si>
  <si>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</si>
  <si>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</si>
  <si>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</si>
  <si>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</si>
  <si>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</si>
  <si>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</si>
  <si>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</si>
  <si>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</si>
  <si>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</si>
  <si>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</si>
  <si>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</si>
  <si>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</si>
  <si>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</si>
  <si>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</si>
  <si>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</si>
  <si>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</si>
  <si>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</si>
  <si>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</si>
  <si>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</si>
  <si>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</si>
  <si>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</si>
  <si>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</si>
  <si>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</si>
  <si>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</si>
  <si>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</si>
  <si>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</si>
  <si>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</si>
  <si>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</si>
  <si>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</si>
  <si>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</si>
  <si>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</si>
  <si>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</si>
  <si>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</si>
  <si>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</si>
  <si>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</si>
  <si>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</si>
  <si>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</si>
  <si>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</si>
  <si>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</si>
  <si>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</si>
  <si>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</si>
  <si>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</si>
  <si>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</si>
  <si>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</si>
  <si>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</si>
  <si>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</si>
  <si>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</si>
  <si>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</si>
  <si>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</si>
  <si>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</si>
  <si>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</si>
  <si>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</si>
  <si>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</si>
  <si>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</si>
  <si>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</si>
  <si>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</si>
  <si>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</si>
  <si>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</si>
  <si>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</si>
  <si>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</si>
  <si>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</si>
  <si>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</si>
  <si>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</si>
  <si>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</si>
  <si>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</si>
  <si>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</si>
  <si>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</si>
  <si>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</si>
  <si>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</si>
  <si>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</si>
  <si>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</si>
  <si>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</si>
  <si>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</si>
  <si>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</si>
  <si>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</si>
  <si>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</si>
  <si>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</si>
  <si>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</si>
  <si>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</si>
  <si>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</si>
  <si>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</si>
  <si>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</si>
  <si>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</si>
  <si>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</si>
  <si>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</si>
  <si>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</si>
  <si>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</si>
  <si>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</si>
  <si>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</si>
  <si>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</si>
  <si>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</si>
  <si>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</si>
  <si>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</si>
  <si>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</si>
  <si>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</si>
  <si>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</si>
  <si>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</si>
  <si>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</si>
  <si>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</si>
  <si>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</si>
  <si>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</si>
  <si>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</si>
  <si>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</si>
  <si>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</si>
  <si>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</si>
  <si>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</si>
  <si>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</si>
  <si>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</si>
  <si>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</si>
  <si>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</si>
  <si>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</si>
  <si>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</si>
  <si>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</si>
  <si>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</si>
  <si>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</si>
  <si>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</si>
  <si>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</si>
  <si>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</si>
  <si>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</si>
  <si>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</si>
  <si>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</si>
  <si>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</si>
  <si>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</si>
  <si>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</si>
  <si>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</si>
  <si>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</si>
  <si>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</si>
  <si>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</si>
  <si>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</si>
  <si>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</si>
  <si>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</si>
  <si>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</si>
  <si>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</si>
  <si>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</si>
  <si>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</si>
  <si>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</si>
  <si>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</si>
  <si>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</si>
  <si>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</si>
  <si>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</si>
  <si>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</si>
  <si>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</si>
  <si>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</si>
  <si>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</si>
  <si>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</si>
  <si>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</si>
  <si>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</si>
  <si>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</si>
  <si>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</si>
  <si>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</si>
  <si>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</si>
  <si>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</si>
  <si>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</si>
  <si>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</si>
  <si>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</si>
  <si>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</si>
  <si>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</si>
  <si>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</si>
  <si>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</si>
  <si>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</si>
  <si>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</si>
  <si>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</si>
  <si>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</si>
  <si>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</si>
  <si>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</si>
  <si>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</si>
  <si>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</si>
  <si>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</si>
  <si>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</si>
  <si>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</si>
  <si>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</si>
  <si>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</si>
  <si>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</si>
  <si>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</si>
  <si>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</si>
  <si>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</si>
  <si>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</si>
  <si>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</si>
  <si>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</si>
  <si>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</si>
  <si>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</si>
  <si>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</si>
  <si>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</si>
  <si>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</si>
  <si>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</si>
  <si>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</si>
  <si>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</si>
  <si>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</si>
  <si>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</si>
  <si>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</si>
  <si>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</si>
  <si>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</si>
  <si>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</si>
  <si>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</si>
  <si>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</si>
  <si>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</si>
  <si>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</si>
  <si>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</si>
  <si>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</si>
  <si>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</si>
  <si>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</si>
  <si>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</si>
  <si>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</si>
  <si>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</si>
  <si>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</si>
  <si>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</si>
  <si>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</si>
  <si>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</si>
  <si>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</si>
  <si>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</si>
  <si>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</si>
  <si>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</si>
  <si>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</si>
  <si>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</si>
  <si>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</si>
  <si>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</si>
  <si>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</si>
  <si>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</si>
  <si>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</si>
  <si>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</si>
  <si>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</si>
  <si>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</si>
  <si>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</si>
  <si>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</si>
  <si>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</si>
  <si>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</si>
  <si>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</si>
  <si>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</si>
  <si>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</si>
  <si>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</si>
  <si>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</si>
  <si>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</si>
  <si>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</si>
  <si>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</si>
  <si>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</si>
  <si>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</si>
  <si>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</si>
  <si>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</si>
  <si>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</si>
  <si>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</si>
  <si>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</si>
  <si>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</si>
  <si>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</si>
  <si>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</si>
  <si>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</si>
  <si>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</si>
  <si>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</si>
  <si>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</si>
  <si>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</si>
  <si>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</si>
  <si>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</si>
  <si>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</si>
  <si>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</si>
  <si>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</si>
  <si>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</si>
  <si>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</si>
  <si>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</si>
  <si>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</si>
  <si>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</si>
  <si>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</si>
  <si>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</si>
  <si>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</si>
  <si>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</si>
  <si>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</si>
  <si>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</si>
  <si>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</si>
  <si>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</si>
  <si>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</si>
  <si>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</si>
  <si>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</si>
  <si>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</si>
  <si>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</si>
  <si>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</si>
  <si>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</si>
  <si>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</si>
  <si>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</si>
  <si>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</si>
  <si>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</si>
  <si>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</si>
  <si>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</si>
  <si>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</si>
  <si>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</si>
  <si>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</si>
  <si>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</si>
  <si>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</si>
  <si>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</si>
  <si>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</si>
  <si>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</si>
  <si>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</si>
  <si>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</si>
  <si>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</si>
  <si>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</si>
  <si>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</si>
  <si>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</si>
  <si>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</si>
  <si>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</si>
  <si>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</si>
  <si>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</si>
  <si>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</si>
  <si>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</si>
  <si>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</si>
  <si>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</si>
  <si>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</si>
  <si>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</si>
  <si>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</si>
  <si>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</si>
  <si>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</si>
  <si>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</si>
  <si>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</si>
  <si>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</si>
  <si>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</si>
  <si>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</si>
  <si>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</si>
  <si>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</si>
  <si>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</si>
  <si>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</si>
  <si>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</si>
  <si>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</si>
  <si>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</si>
  <si>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</si>
  <si>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</si>
  <si>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</si>
  <si>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</si>
  <si>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</si>
  <si>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</si>
  <si>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</si>
  <si>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</si>
  <si>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</si>
  <si>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</si>
  <si>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</si>
  <si>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</si>
  <si>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</si>
  <si>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</si>
  <si>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</si>
  <si>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</si>
  <si>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</si>
  <si>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</si>
  <si>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</si>
  <si>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</si>
  <si>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</si>
  <si>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</si>
  <si>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</si>
  <si>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</si>
  <si>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</si>
  <si>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</si>
  <si>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</si>
  <si>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</si>
  <si>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</si>
  <si>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</si>
  <si>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</si>
  <si>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</si>
  <si>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</si>
  <si>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</si>
  <si>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</si>
  <si>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</si>
  <si>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</si>
  <si>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</si>
  <si>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</si>
  <si>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</si>
  <si>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</si>
  <si>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</si>
  <si>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</si>
  <si>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</si>
  <si>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</si>
  <si>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</si>
  <si>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</si>
  <si>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</si>
  <si>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</si>
  <si>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</si>
  <si>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</si>
  <si>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</si>
  <si>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</si>
  <si>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</si>
  <si>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</si>
  <si>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</si>
  <si>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</si>
  <si>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</si>
  <si>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</si>
  <si>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</si>
  <si>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</si>
  <si>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</si>
  <si>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</si>
  <si>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</si>
  <si>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</si>
  <si>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</si>
  <si>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</si>
  <si>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</si>
  <si>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</si>
  <si>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</si>
  <si>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</si>
  <si>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</si>
  <si>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</si>
  <si>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</si>
  <si>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</si>
  <si>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</si>
  <si>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</si>
  <si>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</si>
  <si>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</si>
  <si>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</si>
  <si>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</si>
  <si>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</si>
  <si>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</si>
  <si>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</si>
  <si>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</si>
  <si>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</si>
  <si>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</si>
  <si>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</si>
  <si>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</si>
  <si>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</si>
  <si>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</si>
  <si>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</si>
  <si>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</si>
  <si>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</si>
  <si>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</si>
  <si>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</si>
  <si>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</si>
  <si>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</si>
  <si>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</si>
  <si>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</si>
  <si>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</si>
  <si>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</si>
  <si>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</si>
  <si>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</si>
  <si>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</si>
  <si>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</si>
  <si>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</si>
  <si>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</si>
  <si>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</si>
  <si>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</si>
  <si>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</si>
  <si>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</si>
  <si>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</si>
  <si>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</si>
  <si>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</si>
  <si>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</si>
  <si>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</si>
  <si>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</si>
  <si>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</si>
  <si>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</si>
  <si>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</si>
  <si>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</si>
  <si>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</si>
  <si>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</si>
  <si>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</si>
  <si>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</si>
  <si>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</si>
  <si>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</si>
  <si>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</si>
  <si>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</si>
  <si>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</si>
  <si>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</si>
  <si>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</si>
  <si>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</si>
  <si>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</si>
  <si>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</si>
  <si>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</si>
  <si>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</si>
  <si>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</si>
  <si>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</si>
  <si>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</si>
  <si>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</si>
  <si>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</si>
  <si>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</si>
  <si>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</si>
  <si>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</si>
  <si>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</si>
  <si>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</si>
  <si>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</si>
  <si>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</si>
  <si>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</si>
  <si>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</si>
  <si>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</si>
  <si>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</si>
  <si>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</si>
  <si>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</si>
  <si>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</si>
  <si>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</si>
  <si>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</si>
  <si>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</si>
  <si>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</si>
  <si>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</si>
  <si>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</si>
  <si>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</si>
  <si>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</si>
  <si>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</si>
  <si>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</si>
  <si>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</si>
  <si>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</si>
  <si>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</si>
  <si>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</si>
  <si>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</si>
  <si>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</si>
  <si>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</si>
  <si>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</si>
  <si>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</si>
  <si>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</si>
  <si>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</si>
  <si>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</si>
  <si>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</si>
  <si>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</si>
  <si>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</si>
  <si>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</si>
  <si>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</si>
  <si>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</si>
  <si>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</si>
  <si>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</si>
  <si>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</si>
  <si>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</si>
  <si>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</si>
  <si>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</si>
  <si>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</si>
  <si>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</si>
  <si>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</si>
  <si>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</si>
  <si>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</si>
  <si>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</si>
  <si>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</si>
  <si>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</si>
  <si>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</si>
  <si>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</si>
  <si>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</si>
  <si>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</si>
  <si>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</si>
  <si>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</si>
  <si>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</si>
  <si>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</si>
  <si>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</si>
  <si>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</si>
  <si>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</si>
  <si>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</si>
  <si>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</si>
  <si>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</si>
  <si>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</si>
  <si>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</si>
  <si>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</si>
  <si>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</si>
  <si>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</si>
  <si>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</si>
  <si>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</si>
  <si>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</si>
  <si>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</si>
  <si>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</si>
  <si>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</si>
  <si>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</si>
  <si>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</si>
  <si>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</si>
  <si>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</si>
  <si>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</si>
  <si>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</si>
  <si>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</si>
  <si>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</si>
  <si>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</si>
  <si>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</si>
  <si>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</si>
  <si>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</si>
  <si>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</si>
  <si>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</si>
  <si>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</si>
  <si>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</si>
  <si>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</si>
  <si>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</si>
  <si>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</si>
  <si>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</si>
  <si>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</si>
  <si>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</si>
  <si>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</si>
  <si>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</si>
  <si>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</si>
  <si>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</si>
  <si>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</si>
  <si>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</si>
  <si>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</si>
  <si>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</si>
  <si>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</si>
  <si>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</si>
  <si>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</si>
  <si>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</si>
  <si>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</si>
  <si>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</si>
  <si>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</si>
  <si>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</si>
  <si>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</si>
  <si>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</si>
  <si>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</si>
  <si>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</si>
  <si>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</si>
  <si>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</si>
  <si>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</si>
  <si>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</si>
  <si>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</si>
  <si>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</si>
  <si>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</si>
  <si>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</si>
  <si>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</si>
  <si>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</si>
  <si>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</si>
  <si>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</si>
  <si>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</si>
  <si>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</si>
  <si>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</si>
  <si>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</si>
  <si>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</si>
  <si>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</si>
  <si>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</si>
  <si>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</si>
  <si>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</si>
  <si>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</si>
  <si>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</si>
  <si>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</si>
  <si>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</si>
  <si>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</si>
  <si>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</si>
  <si>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</si>
  <si>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</si>
  <si>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</si>
  <si>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</si>
  <si>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</si>
  <si>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</si>
  <si>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</si>
  <si>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</si>
  <si>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</si>
  <si>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</si>
  <si>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</si>
  <si>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</si>
  <si>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</si>
  <si>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</si>
  <si>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</si>
  <si>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</si>
  <si>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</si>
  <si>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</si>
  <si>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</si>
  <si>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</si>
  <si>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</si>
  <si>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</si>
  <si>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</si>
  <si>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</si>
  <si>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</si>
  <si>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</si>
  <si>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</si>
  <si>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</si>
  <si>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</si>
  <si>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</si>
  <si>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</si>
  <si>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</si>
  <si>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</si>
  <si>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</si>
  <si>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</si>
  <si>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</si>
  <si>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</si>
  <si>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</si>
  <si>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</si>
  <si>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</si>
  <si>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</si>
  <si>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</si>
  <si>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</si>
  <si>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</si>
  <si>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</si>
  <si>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</si>
  <si>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</si>
  <si>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</si>
  <si>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</si>
  <si>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</si>
  <si>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</si>
  <si>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</si>
  <si>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</si>
  <si>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</si>
  <si>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</si>
  <si>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</si>
  <si>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</si>
  <si>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</si>
  <si>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</si>
  <si>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</si>
  <si>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</si>
  <si>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</si>
  <si>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</si>
  <si>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</si>
  <si>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</si>
  <si>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</si>
  <si>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</si>
  <si>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</si>
  <si>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</si>
  <si>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</si>
  <si>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</si>
  <si>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</si>
  <si>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</si>
  <si>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</si>
  <si>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</si>
  <si>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</si>
  <si>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</si>
  <si>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</si>
  <si>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</si>
  <si>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</si>
  <si>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</si>
  <si>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</si>
  <si>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</si>
  <si>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</si>
  <si>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</si>
  <si>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</si>
  <si>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</si>
  <si>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</si>
  <si>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</si>
  <si>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</si>
  <si>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</si>
  <si>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</si>
  <si>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</si>
  <si>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</si>
  <si>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</si>
  <si>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</si>
  <si>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</si>
  <si>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</si>
  <si>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</si>
  <si>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</si>
  <si>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</si>
  <si>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</si>
  <si>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</si>
  <si>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</si>
  <si>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</si>
  <si>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</si>
  <si>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</si>
  <si>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</si>
  <si>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</si>
  <si>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</si>
  <si>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</si>
  <si>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</si>
  <si>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</si>
  <si>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</si>
  <si>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</si>
  <si>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</si>
  <si>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</si>
  <si>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</si>
  <si>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</si>
  <si>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</si>
  <si>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</si>
  <si>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</si>
  <si>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</si>
  <si>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</si>
  <si>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</si>
  <si>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</si>
  <si>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</si>
  <si>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</si>
  <si>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</si>
  <si>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</si>
  <si>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</si>
  <si>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</si>
  <si>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</si>
  <si>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</si>
  <si>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</si>
  <si>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</si>
  <si>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</si>
  <si>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</si>
  <si>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</si>
  <si>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</si>
  <si>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</si>
  <si>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</si>
  <si>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</si>
  <si>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</si>
  <si>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</si>
  <si>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</si>
  <si>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</si>
  <si>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</si>
  <si>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</si>
  <si>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</si>
  <si>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</si>
  <si>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</si>
  <si>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</si>
  <si>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</si>
  <si>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</si>
  <si>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</si>
  <si>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</si>
  <si>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</si>
  <si>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</si>
  <si>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</si>
  <si>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</si>
  <si>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</si>
  <si>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</si>
  <si>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</si>
  <si>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</si>
  <si>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</si>
  <si>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</si>
  <si>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</si>
  <si>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</si>
  <si>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</si>
  <si>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</si>
  <si>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</si>
  <si>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</si>
  <si>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</si>
  <si>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</si>
  <si>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</si>
  <si>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</si>
  <si>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</si>
  <si>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</si>
  <si>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</si>
  <si>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</si>
  <si>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</si>
  <si>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</si>
  <si>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</si>
  <si>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</si>
  <si>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</si>
  <si>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</si>
  <si>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</si>
  <si>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</si>
  <si>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</si>
  <si>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</si>
  <si>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</si>
  <si>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</si>
  <si>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</si>
  <si>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</si>
  <si>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</si>
  <si>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</si>
  <si>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</si>
  <si>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</si>
  <si>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</si>
  <si>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</si>
  <si>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</si>
  <si>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</si>
  <si>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</si>
  <si>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</si>
  <si>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</si>
  <si>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</si>
  <si>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</si>
  <si>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</si>
  <si>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</si>
  <si>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</si>
  <si>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</si>
  <si>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</si>
  <si>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</si>
  <si>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</si>
  <si>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</si>
  <si>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</si>
  <si>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</si>
  <si>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</si>
  <si>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</si>
  <si>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</si>
  <si>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</si>
  <si>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</si>
  <si>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</si>
  <si>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</si>
  <si>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</si>
  <si>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</si>
  <si>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</si>
  <si>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</si>
  <si>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</si>
  <si>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</si>
  <si>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</si>
  <si>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</si>
  <si>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</si>
  <si>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</si>
  <si>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</si>
  <si>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</si>
  <si>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</si>
  <si>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</si>
  <si>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</si>
  <si>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</si>
  <si>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</si>
  <si>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</si>
  <si>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</si>
  <si>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</si>
  <si>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</si>
  <si>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</si>
  <si>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</si>
  <si>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</si>
  <si>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</si>
  <si>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</si>
  <si>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</si>
  <si>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</si>
  <si>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</si>
  <si>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</si>
  <si>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</si>
  <si>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</si>
  <si>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</si>
  <si>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</si>
  <si>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</si>
  <si>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</si>
  <si>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</si>
  <si>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</si>
  <si>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</si>
  <si>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</si>
  <si>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</si>
  <si>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</si>
  <si>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</si>
  <si>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</si>
  <si>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</si>
  <si>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</si>
  <si>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</si>
  <si>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</si>
  <si>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</si>
  <si>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</si>
  <si>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</si>
  <si>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</si>
  <si>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</si>
  <si>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</si>
  <si>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</si>
  <si>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</si>
  <si>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</si>
  <si>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</si>
  <si>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</si>
  <si>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</si>
  <si>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</si>
  <si>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</si>
  <si>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</si>
  <si>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</si>
  <si>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</si>
  <si>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</si>
  <si>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</si>
  <si>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</si>
  <si>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</si>
  <si>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</si>
  <si>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</si>
  <si>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</si>
  <si>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</si>
  <si>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</si>
  <si>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</si>
  <si>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</si>
  <si>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</si>
  <si>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</si>
  <si>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</si>
  <si>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</si>
  <si>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</si>
  <si>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</si>
  <si>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</si>
  <si>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</si>
  <si>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</si>
  <si>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</si>
  <si>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</si>
  <si>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</si>
  <si>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</si>
  <si>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</si>
  <si>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</si>
  <si>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</si>
  <si>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</si>
  <si>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</si>
  <si>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</si>
  <si>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</si>
  <si>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</si>
  <si>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</si>
  <si>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</si>
  <si>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</si>
  <si>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</si>
  <si>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</si>
  <si>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</si>
  <si>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</si>
  <si>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</si>
  <si>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</si>
  <si>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</si>
  <si>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</si>
  <si>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</si>
  <si>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</si>
  <si>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</si>
  <si>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</si>
  <si>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</si>
  <si>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</si>
  <si>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</si>
  <si>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</si>
  <si>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</si>
  <si>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</si>
  <si>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</si>
  <si>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</si>
  <si>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</si>
  <si>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</si>
  <si>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</si>
  <si>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</si>
  <si>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</si>
  <si>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</si>
  <si>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</si>
  <si>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</si>
  <si>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</si>
  <si>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</si>
  <si>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</si>
  <si>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</si>
  <si>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</si>
  <si>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</si>
  <si>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</si>
  <si>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</si>
  <si>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</si>
  <si>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</si>
  <si>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</si>
  <si>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</si>
  <si>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</si>
  <si>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</si>
  <si>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</si>
  <si>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</si>
  <si>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</si>
  <si>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</si>
  <si>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</si>
  <si>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</si>
  <si>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</si>
  <si>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</si>
  <si>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</si>
  <si>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</si>
  <si>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</si>
  <si>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</si>
  <si>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</si>
  <si>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</si>
  <si>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</si>
  <si>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</si>
  <si>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</si>
  <si>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</si>
  <si>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</si>
  <si>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</si>
  <si>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</si>
  <si>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</si>
  <si>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</si>
  <si>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</si>
  <si>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</si>
  <si>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</si>
  <si>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</si>
  <si>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</si>
  <si>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</si>
  <si>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</si>
  <si>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</si>
  <si>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</si>
  <si>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</si>
  <si>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</si>
  <si>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</si>
  <si>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</si>
  <si>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</si>
  <si>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</si>
  <si>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</si>
  <si>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</si>
  <si>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</si>
  <si>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</si>
  <si>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</si>
  <si>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</si>
  <si>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</si>
  <si>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</si>
  <si>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</si>
  <si>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</si>
  <si>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</si>
  <si>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</si>
  <si>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</si>
  <si>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</si>
  <si>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</si>
  <si>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</si>
  <si>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</si>
  <si>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</si>
  <si>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</si>
  <si>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</si>
  <si>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</si>
  <si>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</si>
  <si>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</si>
  <si>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</si>
  <si>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</si>
  <si>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</si>
  <si>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</si>
  <si>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</si>
  <si>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</si>
  <si>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</si>
  <si>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</si>
  <si>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</si>
  <si>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</si>
  <si>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</si>
  <si>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</si>
  <si>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</si>
  <si>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</si>
  <si>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</si>
  <si>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</si>
  <si>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</si>
  <si>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</si>
  <si>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</si>
  <si>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</si>
  <si>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</si>
  <si>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</si>
  <si>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</si>
  <si>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</si>
  <si>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</si>
  <si>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</si>
  <si>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</si>
  <si>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</si>
  <si>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</si>
  <si>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</si>
  <si>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</si>
  <si>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</si>
  <si>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</si>
  <si>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</si>
  <si>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</si>
  <si>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</si>
  <si>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</si>
  <si>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</si>
  <si>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</si>
  <si>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</si>
  <si>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</si>
  <si>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</si>
  <si>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</si>
  <si>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</si>
  <si>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</si>
  <si>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</si>
  <si>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</si>
  <si>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</si>
  <si>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</si>
  <si>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</si>
  <si>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</si>
  <si>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</si>
  <si>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</si>
  <si>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</si>
  <si>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</si>
  <si>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</si>
  <si>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</si>
  <si>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</si>
  <si>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</si>
  <si>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</si>
  <si>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</si>
  <si>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</si>
  <si>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</si>
  <si>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</si>
  <si>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</si>
  <si>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</si>
  <si>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</si>
  <si>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</si>
  <si>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</si>
  <si>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</si>
  <si>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</si>
  <si>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</si>
  <si>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</si>
  <si>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</si>
  <si>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</si>
  <si>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</si>
  <si>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</si>
  <si>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</si>
  <si>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</si>
  <si>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</si>
  <si>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</si>
  <si>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</si>
  <si>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</si>
  <si>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</si>
  <si>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</si>
  <si>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</si>
  <si>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</si>
  <si>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</si>
  <si>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</si>
  <si>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</si>
  <si>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</si>
  <si>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</si>
  <si>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</si>
  <si>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</si>
  <si>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</si>
  <si>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</si>
  <si>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</si>
  <si>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</si>
  <si>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</si>
  <si>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</si>
  <si>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</si>
  <si>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</si>
  <si>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</si>
  <si>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</si>
  <si>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</si>
  <si>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</si>
  <si>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</si>
  <si>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</si>
  <si>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</si>
  <si>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</si>
  <si>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</si>
  <si>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</si>
  <si>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</si>
  <si>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</si>
  <si>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</si>
  <si>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</si>
  <si>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</si>
  <si>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</si>
  <si>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</si>
  <si>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</si>
  <si>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</si>
  <si>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</si>
  <si>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</si>
  <si>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</si>
  <si>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</si>
  <si>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</si>
  <si>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</si>
  <si>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</si>
  <si>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</si>
  <si>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</si>
  <si>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</si>
  <si>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</si>
  <si>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</si>
  <si>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</si>
  <si>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</si>
  <si>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</si>
  <si>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</si>
  <si>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</si>
  <si>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</si>
  <si>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</si>
  <si>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</si>
  <si>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</si>
  <si>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</si>
  <si>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</si>
  <si>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</si>
  <si>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</si>
  <si>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</si>
  <si>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</si>
  <si>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</si>
  <si>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</si>
  <si>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</si>
  <si>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</si>
  <si>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</si>
  <si>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</si>
  <si>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</si>
  <si>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</si>
  <si>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</si>
  <si>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</si>
  <si>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</si>
  <si>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</si>
  <si>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</si>
  <si>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</si>
  <si>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</si>
  <si>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</si>
  <si>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</si>
  <si>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</si>
  <si>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</si>
  <si>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</si>
  <si>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</si>
  <si>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</si>
  <si>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</si>
  <si>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</si>
  <si>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</si>
  <si>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</si>
  <si>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</si>
  <si>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</si>
  <si>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</si>
  <si>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</si>
  <si>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</si>
  <si>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</si>
  <si>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</si>
  <si>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</si>
  <si>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</si>
  <si>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</si>
  <si>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</si>
  <si>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</si>
  <si>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</si>
  <si>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</si>
  <si>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</si>
  <si>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</si>
  <si>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</si>
  <si>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</si>
  <si>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</si>
  <si>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</si>
  <si>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</si>
  <si>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</si>
  <si>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</si>
  <si>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</si>
  <si>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</si>
  <si>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</si>
  <si>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</si>
  <si>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</si>
  <si>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</si>
  <si>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</si>
  <si>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</si>
  <si>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</si>
  <si>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</si>
  <si>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</si>
  <si>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</si>
  <si>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</si>
  <si>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</si>
  <si>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</si>
  <si>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</si>
  <si>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</si>
  <si>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</si>
  <si>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</si>
  <si>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</si>
  <si>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</si>
  <si>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</si>
  <si>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</si>
  <si>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</si>
  <si>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</si>
  <si>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</si>
  <si>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</si>
  <si>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</si>
  <si>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</si>
  <si>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</si>
  <si>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</si>
  <si>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</si>
  <si>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</si>
  <si>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</si>
  <si>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</si>
  <si>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</si>
  <si>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</si>
  <si>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</si>
  <si>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</si>
  <si>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</si>
  <si>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</si>
  <si>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</si>
  <si>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</si>
  <si>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</si>
  <si>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</si>
  <si>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</si>
  <si>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</si>
  <si>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</si>
  <si>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</si>
  <si>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</si>
  <si>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</si>
  <si>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</si>
  <si>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</si>
  <si>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</si>
  <si>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</si>
  <si>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</si>
  <si>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</si>
  <si>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</si>
  <si>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</si>
  <si>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</si>
  <si>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</si>
  <si>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</si>
  <si>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</si>
  <si>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</si>
  <si>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</si>
  <si>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</si>
  <si>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</si>
  <si>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</si>
  <si>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</si>
  <si>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</si>
  <si>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</si>
  <si>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</si>
  <si>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</si>
  <si>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</si>
  <si>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</si>
  <si>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</si>
  <si>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</si>
  <si>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</si>
  <si>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</si>
  <si>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</si>
  <si>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</si>
  <si>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</si>
  <si>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</si>
  <si>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</si>
  <si>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</si>
  <si>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</si>
  <si>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</si>
  <si>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</si>
  <si>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</si>
  <si>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</si>
  <si>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</si>
  <si>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</si>
  <si>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</si>
  <si>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</si>
  <si>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</si>
  <si>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</si>
  <si>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</si>
  <si>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</si>
  <si>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</si>
  <si>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</si>
  <si>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</si>
  <si>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</si>
  <si>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</si>
  <si>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</si>
  <si>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</si>
  <si>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</si>
  <si>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</si>
  <si>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</si>
  <si>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</si>
  <si>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</si>
  <si>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</si>
  <si>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</si>
  <si>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</si>
  <si>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</si>
  <si>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</si>
  <si>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</si>
  <si>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</si>
  <si>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</si>
  <si>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</si>
  <si>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</si>
  <si>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</si>
  <si>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</si>
  <si>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</si>
  <si>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</si>
  <si>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</si>
  <si>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</si>
  <si>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</si>
  <si>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</si>
  <si>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</si>
  <si>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</si>
  <si>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</si>
  <si>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</si>
  <si>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</si>
  <si>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</si>
  <si>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</si>
  <si>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</si>
  <si>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</si>
  <si>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</si>
  <si>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</si>
  <si>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</si>
  <si>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</si>
  <si>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</si>
  <si>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</si>
  <si>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</si>
  <si>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</si>
  <si>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</si>
  <si>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</si>
  <si>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</si>
  <si>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</si>
  <si>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</si>
  <si>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</si>
  <si>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</si>
  <si>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</si>
  <si>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</si>
  <si>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</si>
  <si>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</si>
  <si>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</si>
  <si>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</si>
  <si>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</si>
  <si>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</si>
  <si>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</si>
  <si>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</si>
  <si>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</si>
  <si>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</si>
  <si>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</si>
  <si>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</si>
  <si>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</si>
  <si>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</si>
  <si>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</si>
  <si>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</si>
  <si>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</si>
  <si>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</si>
  <si>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</si>
  <si>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</si>
  <si>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</si>
  <si>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</si>
  <si>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</si>
  <si>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</si>
  <si>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</si>
  <si>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</si>
  <si>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</si>
  <si>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</si>
  <si>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</si>
  <si>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</si>
  <si>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</si>
  <si>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</si>
  <si>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</si>
  <si>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</si>
  <si>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</si>
  <si>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</si>
  <si>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</si>
  <si>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</si>
  <si>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</si>
  <si>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</si>
  <si>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</si>
  <si>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</si>
  <si>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</si>
  <si>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</si>
  <si>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</si>
  <si>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</si>
  <si>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</si>
  <si>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</si>
  <si>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</si>
  <si>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</si>
  <si>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</si>
  <si>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</si>
  <si>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</si>
  <si>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</si>
  <si>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</si>
  <si>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</si>
  <si>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</si>
  <si>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</si>
  <si>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</si>
  <si>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</si>
  <si>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</si>
  <si>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</si>
  <si>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</si>
  <si>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</si>
  <si>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</si>
  <si>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</si>
  <si>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</si>
  <si>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</si>
  <si>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</si>
  <si>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</si>
  <si>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</si>
  <si>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</si>
  <si>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</si>
  <si>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</si>
  <si>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</si>
  <si>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</si>
  <si>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</si>
  <si>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</si>
  <si>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</si>
  <si>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</si>
  <si>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</si>
  <si>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</si>
  <si>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</si>
  <si>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</si>
  <si>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</si>
  <si>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</si>
  <si>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</si>
  <si>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</si>
  <si>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</si>
  <si>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</si>
  <si>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</si>
  <si>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</si>
  <si>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</si>
  <si>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</si>
  <si>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</si>
  <si>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</si>
  <si>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</si>
  <si>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</si>
  <si>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</si>
  <si>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</si>
  <si>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</si>
  <si>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</si>
  <si>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</si>
  <si>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</si>
  <si>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</si>
  <si>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</si>
  <si>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</si>
  <si>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</si>
  <si>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</si>
  <si>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</si>
  <si>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</si>
  <si>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</si>
  <si>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</si>
  <si>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</si>
  <si>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</si>
  <si>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</si>
  <si>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</si>
  <si>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</si>
  <si>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</si>
  <si>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</si>
  <si>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</si>
  <si>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</si>
  <si>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</si>
  <si>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</si>
  <si>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</si>
  <si>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</si>
  <si>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</si>
  <si>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</si>
  <si>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</si>
  <si>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</si>
  <si>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</si>
  <si>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</si>
  <si>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</si>
  <si>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</si>
  <si>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</si>
  <si>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</si>
  <si>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</si>
  <si>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</si>
  <si>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</si>
  <si>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</si>
  <si>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</si>
  <si>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</si>
  <si>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</si>
  <si>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</si>
  <si>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</si>
  <si>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</si>
  <si>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</si>
  <si>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</si>
  <si>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</si>
  <si>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</si>
  <si>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</si>
  <si>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</si>
  <si>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</si>
  <si>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</si>
  <si>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</si>
  <si>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</si>
  <si>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</si>
  <si>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</si>
  <si>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</si>
  <si>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</si>
  <si>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</si>
  <si>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</si>
  <si>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</si>
  <si>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</si>
  <si>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</si>
  <si>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</si>
  <si>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</si>
  <si>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</si>
  <si>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</si>
  <si>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</si>
  <si>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</si>
  <si>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</si>
  <si>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</si>
  <si>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</si>
  <si>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</si>
  <si>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</si>
  <si>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</si>
  <si>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</si>
  <si>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</si>
  <si>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</si>
  <si>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</si>
  <si>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</si>
  <si>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</si>
  <si>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</si>
  <si>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</si>
  <si>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</si>
  <si>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</si>
  <si>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</si>
  <si>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</si>
  <si>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</si>
  <si>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</si>
  <si>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</si>
  <si>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</si>
  <si>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</si>
  <si>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</si>
  <si>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</si>
  <si>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</si>
  <si>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</si>
  <si>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</si>
  <si>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</si>
  <si>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</si>
  <si>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</si>
  <si>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</si>
  <si>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</si>
  <si>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</si>
  <si>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</si>
  <si>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</si>
  <si>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</si>
  <si>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</si>
  <si>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</si>
  <si>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</si>
  <si>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</si>
  <si>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</si>
  <si>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</si>
  <si>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</si>
  <si>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</si>
  <si>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</si>
  <si>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</si>
  <si>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</si>
  <si>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</si>
  <si>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</si>
  <si>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</si>
  <si>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</si>
  <si>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</si>
  <si>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</si>
  <si>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</si>
  <si>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</si>
  <si>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</si>
  <si>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</si>
  <si>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</si>
  <si>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</si>
  <si>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</si>
  <si>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</si>
  <si>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</si>
  <si>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</si>
  <si>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</si>
  <si>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</si>
  <si>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</si>
  <si>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</si>
  <si>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</si>
  <si>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</si>
  <si>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</si>
  <si>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</si>
  <si>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</si>
  <si>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</si>
  <si>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</si>
  <si>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</si>
  <si>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</si>
  <si>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</si>
  <si>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</si>
  <si>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</si>
  <si>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</si>
  <si>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</si>
  <si>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</si>
  <si>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</si>
  <si>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</si>
  <si>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</si>
  <si>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</si>
  <si>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</si>
  <si>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</si>
  <si>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</si>
  <si>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</si>
  <si>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</si>
  <si>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</si>
  <si>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</si>
  <si>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</si>
  <si>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</si>
  <si>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</si>
  <si>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</si>
  <si>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</si>
  <si>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</si>
  <si>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</si>
  <si>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</si>
  <si>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</si>
  <si>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</si>
  <si>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</si>
  <si>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</si>
  <si>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</si>
  <si>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</si>
  <si>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</si>
  <si>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</si>
  <si>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</si>
  <si>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</si>
  <si>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</si>
  <si>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</si>
  <si>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</si>
  <si>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</si>
  <si>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</si>
  <si>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</si>
  <si>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</si>
  <si>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</si>
  <si>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</si>
  <si>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</si>
  <si>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</si>
  <si>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</si>
  <si>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</si>
  <si>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</si>
  <si>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</si>
  <si>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</si>
  <si>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</si>
  <si>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</si>
  <si>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</si>
  <si>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</si>
  <si>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</si>
  <si>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</si>
  <si>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</si>
  <si>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</si>
  <si>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</si>
  <si>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</si>
  <si>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</si>
  <si>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</si>
  <si>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</si>
  <si>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</si>
  <si>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</si>
  <si>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</si>
  <si>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</si>
  <si>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</si>
  <si>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</si>
  <si>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</si>
  <si>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</si>
  <si>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</si>
  <si>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</si>
  <si>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</si>
  <si>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</si>
  <si>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</si>
  <si>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</si>
  <si>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</si>
  <si>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</si>
  <si>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</si>
  <si>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</si>
  <si>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</si>
  <si>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</si>
  <si>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</si>
  <si>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</si>
  <si>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</si>
  <si>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</si>
  <si>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</si>
  <si>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</si>
  <si>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</si>
  <si>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</si>
  <si>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</si>
  <si>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</si>
  <si>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</si>
  <si>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</si>
  <si>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</si>
  <si>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</si>
  <si>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</si>
  <si>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</si>
  <si>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</si>
  <si>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</si>
  <si>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</si>
  <si>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</si>
  <si>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</si>
  <si>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</si>
  <si>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</si>
  <si>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</si>
  <si>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</si>
  <si>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</si>
  <si>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</si>
  <si>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</si>
  <si>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</si>
  <si>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</si>
  <si>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</si>
  <si>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</si>
  <si>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</si>
  <si>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</si>
  <si>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</si>
  <si>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</si>
  <si>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</si>
  <si>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</si>
  <si>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</si>
  <si>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</si>
  <si>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</si>
  <si>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</si>
  <si>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</si>
  <si>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</si>
  <si>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</si>
  <si>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</si>
  <si>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</si>
  <si>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</si>
  <si>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</si>
  <si>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</si>
  <si>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</si>
  <si>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</si>
  <si>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</si>
  <si>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</si>
  <si>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</si>
  <si>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</si>
  <si>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</si>
  <si>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</si>
  <si>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</si>
  <si>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</si>
  <si>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</si>
  <si>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</si>
  <si>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</si>
  <si>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</si>
  <si>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</si>
  <si>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</si>
  <si>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</si>
  <si>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</si>
  <si>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</si>
  <si>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</si>
  <si>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</si>
  <si>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</si>
  <si>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</si>
  <si>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</si>
  <si>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</si>
  <si>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</si>
  <si>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</si>
  <si>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</si>
  <si>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</si>
  <si>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</si>
  <si>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</si>
  <si>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</si>
  <si>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</si>
  <si>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</si>
  <si>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</si>
  <si>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</si>
  <si>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</si>
  <si>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</si>
  <si>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</si>
  <si>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</si>
  <si>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</si>
  <si>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</si>
  <si>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</si>
  <si>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</si>
  <si>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</si>
  <si>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</si>
  <si>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</si>
  <si>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</si>
  <si>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</si>
  <si>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</si>
  <si>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</si>
  <si>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</si>
  <si>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</si>
  <si>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</si>
  <si>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</si>
  <si>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</si>
  <si>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</si>
  <si>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</si>
  <si>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</si>
  <si>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</si>
  <si>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</si>
  <si>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</si>
  <si>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</si>
  <si>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</si>
  <si>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</si>
  <si>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</si>
  <si>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</si>
  <si>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</si>
  <si>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</si>
  <si>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</si>
  <si>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</si>
  <si>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</si>
  <si>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</si>
  <si>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</si>
  <si>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</si>
  <si>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</si>
  <si>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</si>
  <si>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</si>
  <si>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</si>
  <si>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</si>
  <si>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</si>
  <si>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</si>
  <si>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</si>
  <si>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</si>
  <si>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</si>
  <si>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</si>
  <si>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</si>
  <si>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</si>
  <si>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</si>
  <si>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</si>
  <si>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</si>
  <si>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</si>
  <si>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</si>
  <si>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</si>
  <si>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</si>
  <si>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</si>
  <si>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</si>
  <si>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</si>
  <si>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</si>
  <si>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</si>
  <si>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</si>
  <si>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</si>
  <si>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</si>
  <si>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</si>
  <si>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</si>
  <si>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</si>
  <si>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</si>
  <si>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</si>
  <si>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</si>
  <si>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</si>
  <si>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</si>
  <si>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</si>
  <si>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</si>
  <si>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</si>
  <si>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</si>
  <si>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</si>
  <si>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</si>
  <si>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</si>
  <si>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</si>
  <si>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</si>
  <si>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</si>
  <si>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</si>
  <si>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</si>
  <si>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</si>
  <si>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</si>
  <si>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</si>
  <si>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</si>
  <si>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</si>
  <si>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</si>
  <si>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</si>
  <si>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</si>
  <si>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</si>
  <si>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</si>
  <si>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</si>
  <si>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</si>
  <si>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</si>
  <si>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</si>
  <si>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</si>
  <si>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</si>
  <si>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</si>
  <si>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</si>
  <si>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</si>
  <si>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</si>
  <si>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</si>
  <si>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</si>
  <si>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</si>
  <si>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</si>
  <si>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</si>
  <si>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</si>
  <si>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</si>
  <si>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</si>
  <si>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</si>
  <si>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</si>
  <si>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</si>
  <si>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</si>
  <si>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</si>
  <si>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</si>
  <si>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</si>
  <si>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</si>
  <si>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</si>
  <si>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</si>
  <si>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</si>
  <si>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</si>
  <si>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</si>
  <si>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</si>
  <si>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</si>
  <si>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</si>
  <si>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</si>
  <si>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</si>
  <si>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</si>
  <si>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</si>
  <si>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</si>
  <si>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</si>
  <si>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</si>
  <si>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</si>
  <si>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</si>
  <si>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</si>
  <si>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</si>
  <si>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</si>
  <si>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</si>
  <si>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</si>
  <si>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</si>
  <si>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</si>
  <si>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</si>
  <si>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</si>
  <si>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</si>
  <si>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</si>
  <si>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</si>
  <si>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</si>
  <si>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</si>
  <si>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</si>
  <si>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</si>
  <si>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</si>
  <si>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</si>
  <si>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</si>
  <si>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</si>
  <si>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</si>
  <si>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</si>
  <si>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</si>
  <si>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</si>
  <si>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</si>
  <si>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</si>
  <si>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</si>
  <si>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</si>
  <si>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</si>
  <si>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</si>
  <si>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</si>
  <si>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</si>
  <si>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</si>
  <si>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</si>
  <si>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</si>
  <si>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</si>
  <si>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</si>
  <si>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</si>
  <si>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</si>
  <si>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</si>
  <si>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</si>
  <si>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</si>
  <si>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</si>
  <si>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</si>
  <si>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</si>
  <si>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</si>
  <si>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</si>
  <si>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</si>
  <si>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</si>
  <si>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</si>
  <si>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</si>
  <si>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</si>
  <si>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</si>
  <si>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</si>
  <si>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</si>
  <si>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</si>
  <si>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</si>
  <si>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</si>
  <si>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</si>
  <si>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</si>
  <si>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</si>
  <si>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</si>
  <si>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</si>
  <si>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</si>
  <si>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</si>
  <si>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</si>
  <si>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</si>
  <si>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</si>
  <si>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</si>
  <si>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</si>
  <si>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</si>
  <si>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</si>
  <si>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</si>
  <si>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</si>
  <si>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</si>
  <si>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</si>
  <si>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</si>
  <si>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</si>
  <si>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</si>
  <si>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</si>
  <si>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</si>
  <si>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</si>
  <si>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</si>
  <si>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</si>
  <si>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</si>
  <si>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</si>
  <si>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</si>
  <si>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</si>
  <si>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</si>
  <si>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</si>
  <si>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</si>
  <si>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</si>
  <si>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</si>
  <si>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</si>
  <si>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</si>
  <si>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</si>
  <si>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</si>
  <si>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</si>
  <si>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</si>
  <si>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</si>
  <si>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</si>
  <si>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</si>
  <si>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</si>
  <si>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</si>
  <si>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</si>
  <si>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</si>
  <si>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</si>
  <si>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</si>
  <si>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</si>
  <si>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</si>
  <si>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</si>
  <si>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</si>
  <si>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</si>
  <si>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</si>
  <si>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</si>
  <si>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</si>
  <si>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</si>
  <si>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</si>
  <si>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</si>
  <si>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</si>
  <si>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</si>
  <si>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</si>
  <si>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</si>
  <si>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</si>
  <si>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</si>
  <si>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</si>
  <si>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</si>
  <si>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</si>
  <si>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</si>
  <si>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</si>
  <si>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</si>
  <si>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</si>
  <si>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</si>
  <si>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</si>
  <si>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</si>
  <si>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</si>
  <si>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</si>
  <si>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</si>
  <si>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</si>
  <si>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</si>
  <si>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</si>
  <si>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</si>
  <si>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</si>
  <si>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</si>
  <si>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</si>
  <si>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</si>
  <si>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</si>
  <si>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</si>
  <si>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</si>
  <si>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</si>
  <si>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</si>
  <si>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</si>
  <si>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</si>
  <si>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</si>
  <si>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</si>
  <si>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</si>
  <si>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</si>
  <si>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</si>
  <si>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</si>
  <si>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</si>
  <si>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</si>
  <si>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</si>
  <si>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</si>
  <si>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</si>
  <si>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</si>
  <si>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</si>
  <si>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</si>
  <si>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</si>
  <si>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</si>
  <si>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</si>
  <si>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</si>
  <si>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</si>
  <si>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</si>
  <si>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</si>
  <si>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</si>
  <si>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</si>
  <si>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</si>
  <si>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</si>
  <si>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</si>
  <si>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</si>
  <si>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</si>
  <si>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</si>
  <si>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</si>
  <si>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</si>
  <si>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</si>
  <si>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</si>
  <si>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</si>
  <si>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</si>
  <si>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</si>
  <si>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</si>
  <si>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</si>
  <si>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</si>
  <si>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</si>
  <si>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</si>
  <si>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</si>
  <si>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</si>
  <si>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</si>
  <si>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</si>
  <si>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</si>
  <si>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</si>
  <si>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</si>
  <si>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</si>
  <si>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</si>
  <si>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</si>
  <si>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</si>
  <si>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</si>
  <si>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</si>
  <si>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</si>
  <si>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</si>
  <si>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</si>
  <si>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</si>
  <si>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</si>
  <si>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</si>
  <si>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</si>
  <si>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</si>
  <si>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</si>
  <si>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</si>
  <si>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</si>
  <si>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</si>
  <si>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</si>
  <si>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</si>
  <si>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</si>
  <si>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</si>
  <si>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</si>
  <si>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</si>
  <si>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</si>
  <si>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</si>
  <si>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</si>
  <si>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</si>
  <si>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</si>
  <si>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</si>
  <si>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</si>
  <si>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</si>
  <si>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</si>
  <si>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</si>
  <si>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</si>
  <si>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</si>
  <si>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</si>
  <si>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</si>
  <si>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</si>
  <si>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</si>
  <si>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</si>
  <si>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</si>
  <si>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</si>
  <si>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</si>
  <si>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</si>
  <si>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</si>
  <si>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</si>
  <si>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</si>
  <si>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</si>
  <si>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</si>
  <si>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</si>
  <si>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</si>
  <si>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</si>
  <si>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</si>
  <si>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</si>
  <si>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</si>
  <si>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</si>
  <si>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</si>
  <si>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</si>
  <si>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</si>
  <si>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</si>
  <si>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</si>
  <si>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</si>
  <si>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</si>
  <si>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</si>
  <si>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</si>
  <si>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</si>
  <si>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</si>
  <si>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</si>
  <si>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</si>
  <si>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</si>
  <si>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</si>
  <si>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</si>
  <si>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</si>
  <si>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</si>
  <si>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</si>
  <si>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</si>
  <si>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</si>
  <si>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</si>
  <si>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</si>
  <si>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</si>
  <si>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</si>
  <si>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</si>
  <si>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</si>
  <si>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</si>
  <si>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</si>
  <si>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</si>
  <si>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</si>
  <si>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</si>
  <si>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</si>
  <si>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</si>
  <si>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</si>
  <si>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</si>
  <si>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</si>
  <si>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</si>
  <si>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</si>
  <si>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</si>
  <si>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</si>
  <si>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</si>
  <si>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</si>
  <si>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</si>
  <si>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</si>
  <si>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</si>
  <si>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</si>
  <si>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</si>
  <si>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</si>
  <si>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</si>
  <si>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</si>
  <si>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</si>
  <si>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</si>
  <si>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</si>
  <si>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</si>
  <si>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</si>
  <si>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</si>
  <si>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</si>
  <si>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</si>
  <si>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</si>
  <si>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</si>
  <si>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</si>
  <si>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</si>
  <si>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</si>
  <si>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</si>
  <si>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</si>
  <si>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</si>
  <si>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</si>
  <si>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</si>
  <si>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</si>
  <si>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</si>
  <si>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</si>
  <si>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</si>
  <si>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</si>
  <si>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</si>
  <si>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</si>
  <si>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</si>
  <si>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</si>
  <si>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</si>
  <si>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</si>
  <si>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</si>
  <si>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</si>
  <si>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</si>
  <si>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</si>
  <si>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</si>
  <si>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</si>
  <si>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</si>
  <si>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</si>
  <si>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</si>
  <si>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</si>
  <si>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</si>
  <si>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</si>
  <si>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</si>
  <si>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</si>
  <si>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</si>
  <si>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</si>
  <si>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</si>
  <si>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</si>
  <si>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</si>
  <si>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</si>
  <si>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</si>
  <si>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</si>
  <si>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</si>
  <si>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</si>
  <si>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</si>
  <si>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</si>
  <si>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</si>
  <si>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</si>
  <si>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</si>
  <si>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</si>
  <si>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</si>
  <si>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</si>
  <si>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</si>
  <si>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</si>
  <si>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</si>
  <si>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</si>
  <si>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</si>
  <si>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</si>
  <si>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</si>
  <si>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</si>
  <si>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</si>
  <si>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</si>
  <si>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</si>
  <si>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</si>
  <si>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</si>
  <si>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</si>
  <si>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</si>
  <si>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</si>
  <si>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</si>
  <si>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</si>
  <si>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</si>
  <si>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</si>
  <si>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</si>
  <si>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</si>
  <si>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</si>
  <si>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</si>
  <si>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</si>
  <si>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</si>
  <si>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</si>
  <si>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</si>
  <si>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</si>
  <si>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</si>
  <si>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</si>
  <si>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</si>
  <si>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</si>
  <si>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</si>
  <si>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</si>
  <si>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</si>
  <si>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</si>
  <si>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</si>
  <si>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</si>
  <si>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</si>
  <si>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</si>
  <si>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</si>
  <si>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</si>
  <si>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</si>
  <si>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</si>
  <si>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</si>
  <si>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</si>
  <si>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</si>
  <si>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</si>
  <si>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</si>
  <si>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</si>
  <si>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</si>
  <si>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</si>
  <si>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</si>
  <si>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</si>
  <si>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</si>
  <si>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</si>
  <si>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</si>
  <si>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</si>
  <si>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</si>
  <si>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</si>
  <si>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</si>
  <si>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</si>
  <si>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</si>
  <si>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</si>
  <si>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</si>
  <si>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</si>
  <si>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</si>
  <si>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</si>
  <si>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</si>
  <si>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</si>
  <si>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</si>
  <si>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</si>
  <si>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</si>
  <si>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</si>
  <si>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</si>
  <si>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</si>
  <si>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</si>
  <si>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</si>
  <si>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</si>
  <si>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</si>
  <si>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</si>
  <si>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</si>
  <si>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</si>
  <si>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</si>
  <si>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</si>
  <si>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</si>
  <si>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</si>
  <si>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</si>
  <si>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</si>
  <si>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</si>
  <si>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</si>
  <si>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</si>
  <si>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</si>
  <si>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</si>
  <si>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</si>
  <si>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</si>
  <si>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</si>
  <si>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</si>
  <si>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</si>
  <si>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</si>
  <si>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</si>
  <si>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</si>
  <si>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</si>
  <si>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</si>
  <si>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</si>
  <si>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</si>
  <si>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</si>
  <si>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</si>
  <si>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</si>
  <si>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</si>
  <si>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</si>
  <si>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</si>
  <si>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</si>
  <si>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</si>
  <si>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</si>
  <si>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</si>
  <si>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</si>
  <si>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</si>
  <si>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</si>
  <si>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</si>
  <si>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</si>
  <si>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</si>
  <si>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</si>
  <si>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</si>
  <si>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</si>
  <si>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</si>
  <si>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</si>
  <si>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</si>
  <si>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</si>
  <si>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</si>
  <si>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</si>
  <si>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</si>
  <si>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</si>
  <si>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</si>
  <si>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</si>
  <si>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</si>
  <si>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</si>
  <si>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</si>
  <si>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</si>
  <si>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</si>
  <si>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</si>
  <si>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</si>
  <si>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</si>
  <si>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</si>
  <si>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</si>
  <si>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</si>
  <si>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</si>
  <si>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</si>
  <si>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</si>
  <si>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</si>
  <si>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</si>
  <si>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</si>
  <si>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</si>
  <si>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</si>
  <si>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</si>
  <si>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</si>
  <si>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</si>
  <si>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</si>
  <si>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</si>
  <si>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</si>
  <si>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</si>
  <si>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</si>
  <si>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</si>
  <si>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</si>
  <si>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</si>
  <si>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</si>
  <si>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</si>
  <si>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</si>
  <si>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</si>
  <si>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</si>
  <si>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</si>
  <si>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</si>
  <si>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</si>
  <si>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</si>
  <si>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</si>
  <si>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</si>
  <si>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</si>
  <si>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</si>
  <si>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</si>
  <si>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</si>
  <si>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</si>
  <si>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</si>
  <si>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</si>
  <si>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</si>
  <si>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</si>
  <si>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</si>
  <si>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</si>
  <si>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</si>
  <si>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</si>
  <si>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</si>
  <si>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</si>
  <si>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</si>
  <si>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</si>
  <si>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</si>
  <si>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</si>
  <si>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</si>
  <si>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</si>
  <si>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</si>
  <si>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</si>
  <si>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</si>
  <si>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</si>
  <si>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</si>
  <si>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</si>
  <si>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</si>
  <si>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</si>
  <si>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</si>
  <si>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</si>
  <si>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</si>
  <si>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</si>
  <si>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</si>
  <si>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</si>
  <si>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</si>
  <si>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</si>
  <si>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</si>
  <si>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</si>
  <si>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</si>
  <si>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</si>
  <si>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</si>
  <si>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</si>
  <si>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</si>
  <si>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</si>
  <si>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</si>
  <si>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</si>
  <si>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</si>
  <si>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</si>
  <si>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</si>
  <si>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</si>
  <si>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</si>
  <si>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</si>
  <si>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</si>
  <si>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</si>
  <si>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</si>
  <si>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</si>
  <si>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</si>
  <si>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</si>
  <si>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</si>
  <si>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</si>
  <si>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</si>
  <si>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</si>
  <si>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</si>
  <si>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</si>
  <si>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</si>
  <si>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</si>
  <si>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</si>
  <si>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</si>
  <si>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</si>
  <si>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</si>
  <si>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</si>
  <si>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</si>
  <si>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</si>
  <si>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</si>
  <si>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</si>
  <si>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</si>
  <si>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</si>
  <si>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</si>
  <si>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</si>
  <si>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</si>
  <si>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</si>
  <si>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</si>
  <si>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</si>
  <si>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</si>
  <si>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</si>
  <si>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</si>
  <si>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</si>
  <si>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</si>
  <si>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</si>
  <si>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</si>
  <si>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</si>
  <si>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</si>
  <si>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</si>
  <si>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</si>
  <si>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</si>
  <si>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</si>
  <si>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</si>
  <si>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</si>
  <si>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</si>
  <si>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</si>
  <si>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</si>
  <si>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</si>
  <si>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</si>
  <si>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</si>
  <si>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</si>
  <si>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</si>
  <si>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</si>
  <si>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</si>
  <si>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</si>
  <si>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</si>
  <si>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</si>
  <si>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</si>
  <si>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</si>
  <si>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</si>
  <si>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</si>
  <si>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</si>
  <si>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</si>
  <si>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</si>
  <si>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</si>
  <si>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</si>
  <si>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</si>
  <si>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</si>
  <si>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</si>
  <si>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</si>
  <si>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</si>
  <si>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</si>
  <si>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</si>
  <si>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</si>
  <si>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</si>
  <si>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</si>
  <si>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</si>
  <si>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</si>
  <si>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</si>
  <si>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</si>
  <si>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</si>
  <si>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</si>
  <si>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</si>
  <si>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</si>
  <si>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</si>
  <si>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</si>
  <si>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</si>
  <si>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</si>
  <si>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</si>
  <si>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</si>
  <si>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</si>
  <si>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</si>
  <si>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</si>
  <si>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</si>
  <si>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</si>
  <si>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</si>
  <si>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</si>
  <si>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</si>
  <si>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</si>
  <si>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</si>
  <si>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</si>
  <si>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</si>
  <si>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</si>
  <si>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</si>
  <si>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</si>
  <si>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</si>
  <si>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</si>
  <si>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</si>
  <si>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</si>
  <si>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</si>
  <si>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</si>
  <si>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</si>
  <si>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</si>
  <si>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</si>
  <si>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</si>
  <si>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</si>
  <si>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</si>
  <si>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</si>
  <si>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</si>
  <si>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</si>
  <si>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</si>
  <si>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</si>
  <si>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</si>
  <si>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</si>
  <si>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</si>
  <si>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</si>
  <si>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</si>
  <si>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</si>
  <si>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</si>
  <si>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</si>
  <si>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</si>
  <si>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</si>
  <si>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</si>
  <si>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</si>
  <si>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</si>
  <si>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</si>
  <si>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</si>
  <si>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</si>
  <si>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</si>
  <si>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</si>
  <si>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</si>
  <si>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</si>
  <si>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</si>
  <si>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</si>
  <si>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</si>
  <si>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</si>
  <si>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</si>
  <si>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</si>
  <si>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</si>
  <si>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</si>
  <si>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</si>
  <si>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</si>
  <si>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</si>
  <si>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</si>
  <si>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</si>
  <si>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</si>
  <si>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</si>
  <si>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</si>
  <si>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</si>
  <si>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</si>
  <si>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</si>
  <si>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</si>
  <si>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</si>
  <si>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</si>
  <si>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</si>
  <si>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</si>
  <si>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</si>
  <si>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</si>
  <si>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</si>
  <si>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</si>
  <si>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</si>
  <si>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</si>
  <si>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</si>
  <si>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</si>
  <si>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</si>
  <si>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</si>
  <si>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</si>
  <si>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</si>
  <si>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</si>
  <si>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</si>
  <si>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</si>
  <si>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</si>
  <si>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</si>
  <si>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</si>
  <si>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</si>
  <si>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</si>
  <si>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</si>
  <si>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</si>
  <si>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</si>
  <si>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</si>
  <si>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</si>
  <si>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</si>
  <si>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</si>
  <si>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</si>
  <si>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</si>
  <si>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</si>
  <si>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</si>
  <si>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</si>
  <si>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</si>
  <si>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</si>
  <si>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</si>
  <si>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</si>
  <si>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</si>
  <si>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</si>
  <si>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</si>
  <si>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</si>
  <si>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</si>
  <si>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</si>
  <si>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</si>
  <si>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</si>
  <si>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</si>
  <si>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</si>
  <si>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</si>
  <si>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</si>
  <si>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</si>
  <si>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</si>
  <si>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</si>
  <si>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</si>
  <si>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</si>
  <si>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</si>
  <si>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</si>
  <si>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</si>
  <si>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</si>
  <si>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</si>
  <si>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</si>
  <si>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</si>
  <si>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</si>
  <si>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</si>
  <si>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</si>
  <si>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</si>
  <si>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</si>
  <si>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</si>
  <si>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</si>
  <si>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</si>
  <si>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</si>
  <si>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</si>
  <si>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</si>
  <si>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</si>
  <si>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</si>
  <si>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</si>
  <si>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</si>
  <si>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</si>
  <si>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</si>
  <si>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</si>
  <si>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</si>
  <si>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</si>
  <si>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</si>
  <si>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</si>
  <si>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</si>
  <si>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</si>
  <si>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</si>
  <si>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</si>
  <si>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</si>
  <si>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</si>
  <si>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</si>
  <si>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</si>
  <si>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</si>
  <si>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</si>
  <si>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</si>
  <si>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</si>
  <si>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</si>
  <si>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</si>
  <si>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</si>
  <si>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</si>
  <si>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</si>
  <si>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</si>
  <si>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</si>
  <si>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</si>
  <si>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</si>
  <si>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</si>
  <si>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</si>
  <si>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</si>
  <si>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</si>
  <si>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</si>
  <si>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</si>
  <si>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</si>
  <si>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</si>
  <si>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</si>
  <si>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</si>
  <si>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</si>
  <si>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</si>
  <si>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</si>
  <si>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</si>
  <si>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</si>
  <si>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</si>
  <si>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</si>
  <si>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</si>
  <si>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</si>
  <si>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</si>
  <si>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</si>
  <si>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</si>
  <si>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</si>
  <si>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</si>
  <si>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</si>
  <si>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</si>
  <si>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</si>
  <si>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</si>
  <si>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</si>
  <si>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</si>
  <si>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</si>
  <si>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</si>
  <si>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</si>
  <si>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</si>
  <si>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</si>
  <si>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</si>
  <si>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</si>
  <si>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</si>
  <si>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</si>
  <si>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</si>
  <si>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</si>
  <si>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</si>
  <si>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</si>
  <si>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</si>
  <si>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</si>
  <si>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</si>
  <si>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</si>
  <si>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</si>
  <si>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</si>
  <si>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</si>
  <si>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</si>
  <si>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</si>
  <si>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</si>
  <si>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</si>
  <si>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</si>
  <si>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</si>
  <si>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</si>
  <si>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</si>
  <si>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</si>
  <si>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</si>
  <si>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</si>
  <si>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</si>
  <si>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</si>
  <si>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</si>
  <si>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</si>
  <si>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</si>
  <si>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</si>
  <si>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</si>
  <si>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</si>
  <si>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</si>
  <si>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</si>
  <si>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</si>
  <si>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</si>
  <si>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</si>
  <si>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</si>
  <si>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</si>
  <si>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</si>
  <si>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</si>
  <si>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</si>
  <si>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</si>
  <si>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</si>
  <si>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</si>
  <si>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</si>
  <si>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</si>
  <si>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</si>
  <si>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</si>
  <si>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</si>
  <si>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</si>
  <si>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</si>
  <si>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</si>
  <si>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</si>
  <si>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</si>
  <si>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</si>
  <si>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</si>
  <si>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</si>
  <si>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</si>
  <si>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</si>
  <si>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</si>
  <si>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</si>
  <si>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</si>
  <si>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</si>
  <si>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</si>
  <si>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</si>
  <si>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</si>
  <si>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</si>
  <si>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</si>
  <si>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</si>
  <si>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</si>
  <si>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</si>
  <si>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</si>
  <si>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</si>
  <si>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</si>
  <si>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</si>
  <si>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</si>
  <si>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</si>
  <si>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</si>
  <si>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</si>
  <si>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</si>
  <si>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</si>
  <si>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</si>
  <si>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</si>
  <si>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</si>
  <si>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</si>
  <si>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</si>
  <si>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</si>
  <si>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</si>
  <si>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</si>
  <si>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</si>
  <si>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</si>
  <si>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</si>
  <si>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</si>
  <si>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</si>
  <si>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</si>
  <si>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</si>
  <si>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</si>
  <si>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</si>
  <si>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</si>
  <si>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</si>
  <si>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</si>
  <si>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</si>
  <si>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</si>
  <si>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</si>
  <si>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</si>
  <si>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</si>
  <si>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</si>
  <si>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</si>
  <si>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</si>
  <si>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</si>
  <si>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</si>
  <si>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</si>
  <si>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</si>
  <si>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</si>
  <si>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</si>
  <si>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</si>
  <si>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</si>
  <si>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</si>
  <si>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</si>
  <si>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</si>
  <si>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</si>
  <si>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</si>
  <si>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</si>
  <si>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</si>
  <si>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</si>
  <si>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</si>
  <si>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</si>
  <si>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</si>
  <si>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</si>
  <si>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</si>
  <si>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</si>
  <si>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</si>
  <si>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</si>
  <si>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</si>
  <si>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</si>
  <si>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</si>
  <si>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</si>
  <si>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</si>
  <si>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</si>
  <si>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</si>
  <si>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</si>
  <si>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</si>
  <si>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</si>
  <si>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</si>
  <si>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</si>
  <si>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</si>
  <si>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</si>
  <si>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</si>
  <si>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</si>
  <si>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</si>
  <si>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</si>
  <si>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</si>
  <si>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</si>
  <si>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</si>
  <si>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</si>
  <si>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</si>
  <si>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</si>
  <si>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</si>
  <si>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</si>
  <si>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</si>
  <si>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</si>
  <si>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</si>
  <si>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</si>
  <si>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</si>
  <si>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</si>
  <si>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</si>
  <si>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</si>
  <si>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</si>
  <si>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</si>
  <si>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</si>
  <si>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</si>
  <si>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</si>
  <si>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</si>
  <si>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</si>
  <si>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</si>
  <si>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</si>
  <si>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</si>
  <si>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</si>
  <si>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</si>
  <si>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</si>
  <si>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</si>
  <si>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</si>
  <si>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</si>
  <si>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</si>
  <si>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</si>
  <si>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</si>
  <si>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</si>
  <si>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</si>
  <si>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</si>
  <si>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</si>
  <si>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</si>
  <si>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</si>
  <si>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</si>
  <si>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</si>
  <si>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</si>
  <si>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</si>
  <si>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</si>
  <si>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</si>
  <si>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</si>
  <si>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</si>
  <si>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</si>
  <si>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</si>
  <si>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</si>
  <si>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</si>
  <si>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</si>
  <si>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</si>
  <si>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</si>
  <si>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</si>
  <si>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</si>
  <si>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</si>
  <si>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</si>
  <si>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</si>
  <si>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</si>
  <si>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</si>
  <si>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</si>
  <si>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</si>
  <si>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</si>
  <si>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</si>
  <si>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</si>
  <si>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</si>
  <si>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</si>
  <si>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</si>
  <si>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</si>
  <si>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</si>
  <si>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</si>
  <si>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</si>
  <si>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</si>
  <si>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</si>
  <si>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</si>
  <si>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</si>
  <si>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</si>
  <si>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</si>
  <si>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</si>
  <si>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</si>
  <si>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</si>
  <si>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</si>
  <si>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</si>
  <si>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</si>
  <si>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</si>
  <si>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</si>
  <si>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</si>
  <si>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</si>
  <si>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</si>
  <si>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</si>
  <si>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</si>
  <si>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</si>
  <si>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</si>
  <si>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</si>
  <si>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</si>
  <si>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</si>
  <si>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</si>
  <si>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</si>
  <si>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</si>
  <si>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</si>
  <si>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</si>
  <si>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</si>
  <si>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</si>
  <si>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</si>
  <si>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</si>
  <si>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</si>
  <si>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</si>
  <si>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</si>
  <si>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</si>
  <si>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</si>
  <si>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</si>
  <si>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</si>
  <si>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</si>
  <si>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</si>
  <si>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</si>
  <si>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</si>
  <si>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</si>
  <si>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</si>
  <si>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</si>
  <si>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</si>
  <si>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</si>
  <si>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</si>
  <si>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</si>
  <si>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</si>
  <si>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</si>
  <si>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</si>
  <si>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</si>
  <si>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</si>
  <si>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</si>
  <si>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</si>
  <si>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</si>
  <si>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</si>
  <si>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</si>
  <si>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</si>
  <si>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</si>
  <si>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</si>
  <si>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</si>
  <si>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</si>
  <si>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</si>
  <si>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</si>
  <si>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</si>
  <si>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</si>
  <si>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</si>
  <si>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</si>
  <si>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</si>
  <si>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</si>
  <si>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</si>
  <si>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</si>
  <si>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</si>
  <si>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</si>
  <si>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</si>
  <si>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</si>
  <si>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</si>
  <si>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</si>
  <si>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</si>
  <si>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</si>
  <si>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</si>
  <si>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</si>
  <si>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</si>
  <si>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</si>
  <si>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</si>
  <si>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</si>
  <si>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</si>
  <si>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</si>
  <si>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</si>
  <si>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</si>
  <si>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</si>
  <si>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</si>
  <si>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</si>
  <si>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</si>
  <si>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</si>
  <si>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</si>
  <si>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</si>
  <si>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</si>
  <si>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</si>
  <si>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</si>
  <si>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</si>
  <si>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</si>
  <si>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</si>
  <si>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</si>
  <si>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</si>
  <si>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</si>
  <si>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</si>
  <si>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</si>
  <si>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</si>
  <si>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</si>
  <si>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</si>
  <si>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</si>
  <si>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</si>
  <si>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</si>
  <si>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</si>
  <si>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</si>
  <si>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</si>
  <si>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</si>
  <si>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</si>
  <si>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</si>
  <si>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</si>
  <si>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</si>
  <si>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</si>
  <si>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</si>
  <si>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</si>
  <si>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</si>
  <si>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</si>
  <si>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</si>
  <si>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</si>
  <si>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</si>
  <si>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</si>
  <si>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</si>
  <si>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</si>
  <si>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</si>
  <si>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</si>
  <si>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</si>
  <si>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</si>
  <si>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</si>
  <si>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</si>
  <si>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</si>
  <si>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</si>
  <si>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</si>
  <si>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</si>
  <si>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</si>
  <si>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</si>
  <si>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</si>
  <si>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</si>
  <si>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</si>
  <si>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</si>
  <si>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</si>
  <si>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</si>
  <si>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</si>
  <si>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</si>
  <si>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</si>
  <si>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</si>
  <si>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</si>
  <si>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</si>
  <si>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</si>
  <si>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</si>
  <si>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</si>
  <si>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</si>
  <si>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</si>
  <si>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</si>
  <si>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</si>
  <si>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</si>
  <si>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</si>
  <si>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</si>
  <si>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</si>
  <si>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</si>
  <si>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</si>
  <si>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</si>
  <si>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</si>
  <si>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</si>
  <si>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</si>
  <si>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</si>
  <si>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</si>
  <si>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</si>
  <si>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</si>
  <si>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</si>
  <si>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</si>
  <si>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</si>
  <si>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</si>
  <si>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</si>
  <si>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</si>
  <si>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</si>
  <si>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</si>
  <si>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</si>
  <si>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</si>
  <si>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</si>
  <si>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</si>
  <si>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</si>
  <si>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</si>
  <si>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</si>
  <si>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</si>
  <si>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</si>
  <si>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</si>
  <si>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</si>
  <si>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</si>
  <si>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</si>
  <si>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</si>
  <si>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</si>
  <si>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</si>
  <si>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</si>
  <si>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</si>
  <si>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</si>
  <si>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</si>
  <si>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</si>
  <si>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</si>
  <si>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</si>
  <si>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</si>
  <si>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</si>
  <si>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</si>
  <si>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</si>
  <si>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</si>
  <si>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</si>
  <si>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</si>
  <si>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</si>
  <si>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</si>
  <si>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</si>
  <si>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</si>
  <si>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</si>
  <si>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</si>
  <si>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</si>
  <si>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</si>
  <si>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</si>
  <si>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</si>
  <si>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</si>
  <si>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</si>
  <si>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</si>
  <si>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</si>
  <si>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</si>
  <si>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</si>
  <si>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</si>
  <si>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</si>
  <si>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</si>
  <si>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</si>
  <si>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</si>
  <si>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</si>
  <si>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</si>
  <si>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</si>
  <si>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</si>
  <si>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</si>
  <si>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</si>
  <si>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</si>
  <si>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</si>
  <si>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</si>
  <si>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</si>
  <si>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</si>
  <si>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</si>
  <si>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</si>
  <si>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</si>
  <si>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</si>
  <si>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</si>
  <si>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</si>
  <si>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</si>
  <si>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</si>
  <si>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</si>
  <si>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</si>
  <si>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</si>
  <si>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</si>
  <si>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</si>
  <si>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</si>
  <si>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</si>
  <si>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</si>
  <si>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</si>
  <si>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</si>
  <si>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</si>
  <si>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</si>
  <si>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</si>
  <si>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</si>
  <si>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</si>
  <si>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</si>
  <si>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</si>
  <si>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</si>
  <si>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</si>
  <si>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</si>
  <si>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</si>
  <si>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</si>
  <si>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</si>
  <si>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</si>
  <si>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</si>
  <si>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</si>
  <si>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</si>
  <si>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</si>
  <si>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</si>
  <si>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</si>
  <si>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</si>
  <si>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</si>
  <si>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</si>
  <si>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</si>
  <si>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</si>
  <si>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</si>
  <si>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</si>
  <si>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</si>
  <si>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</si>
  <si>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</si>
  <si>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</si>
  <si>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</si>
  <si>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</si>
  <si>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</si>
  <si>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</si>
  <si>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</si>
  <si>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</si>
  <si>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</si>
  <si>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</si>
  <si>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</si>
  <si>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</si>
  <si>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</si>
  <si>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</si>
  <si>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</si>
  <si>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</si>
  <si>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</si>
  <si>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</si>
  <si>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</si>
  <si>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</si>
  <si>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</si>
  <si>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</si>
  <si>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</si>
  <si>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</si>
  <si>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</si>
  <si>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</si>
  <si>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</si>
  <si>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</si>
  <si>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</si>
  <si>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</si>
  <si>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</si>
  <si>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</si>
  <si>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</si>
  <si>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</si>
  <si>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</si>
  <si>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</si>
  <si>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</si>
  <si>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</si>
  <si>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</si>
  <si>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</si>
  <si>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</si>
  <si>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</si>
  <si>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</si>
  <si>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</si>
  <si>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</si>
  <si>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</si>
  <si>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</si>
  <si>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</si>
  <si>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</si>
  <si>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</si>
  <si>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</si>
  <si>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</si>
  <si>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</si>
  <si>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</si>
  <si>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</si>
  <si>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</si>
  <si>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</si>
  <si>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</si>
  <si>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</si>
  <si>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</si>
  <si>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</si>
  <si>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</si>
  <si>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</si>
  <si>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</si>
  <si>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</si>
  <si>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</si>
  <si>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</si>
  <si>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</si>
  <si>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</si>
  <si>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</si>
  <si>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</si>
  <si>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</si>
  <si>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</si>
  <si>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</si>
  <si>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</si>
  <si>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</si>
  <si>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</si>
  <si>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</si>
  <si>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</si>
  <si>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</si>
  <si>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</si>
  <si>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</si>
  <si>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</si>
  <si>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</si>
  <si>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</si>
  <si>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</si>
  <si>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</si>
  <si>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</si>
  <si>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</si>
  <si>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</si>
  <si>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</si>
  <si>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</si>
  <si>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</si>
  <si>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</si>
  <si>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</si>
  <si>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</si>
  <si>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</si>
  <si>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</si>
  <si>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</si>
  <si>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</si>
  <si>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</si>
  <si>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</si>
  <si>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</si>
  <si>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</si>
  <si>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</si>
  <si>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</si>
  <si>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</si>
  <si>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</si>
  <si>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</si>
  <si>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</si>
  <si>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</si>
  <si>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</si>
  <si>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</si>
  <si>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</si>
  <si>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</si>
  <si>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</si>
  <si>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</si>
  <si>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</si>
  <si>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</si>
  <si>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</si>
  <si>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</si>
  <si>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</si>
  <si>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</si>
  <si>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</si>
  <si>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</si>
  <si>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</si>
  <si>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</si>
  <si>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</si>
  <si>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</si>
  <si>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</si>
  <si>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</si>
  <si>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</si>
  <si>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</si>
  <si>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</si>
  <si>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</si>
  <si>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</si>
  <si>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</si>
  <si>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</si>
  <si>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</si>
  <si>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</si>
  <si>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</si>
  <si>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</si>
  <si>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</si>
  <si>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</si>
  <si>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</si>
  <si>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</si>
  <si>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</si>
  <si>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</si>
  <si>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</si>
  <si>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</si>
  <si>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</si>
  <si>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</si>
  <si>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</si>
  <si>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</si>
  <si>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</si>
  <si>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</si>
  <si>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</si>
  <si>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</si>
  <si>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</si>
  <si>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</si>
  <si>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</si>
  <si>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</si>
  <si>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</si>
  <si>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</si>
  <si>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</si>
  <si>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</si>
  <si>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</si>
  <si>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</si>
  <si>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</si>
  <si>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</si>
  <si>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</si>
  <si>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</si>
  <si>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</si>
  <si>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</si>
  <si>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</si>
  <si>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</si>
  <si>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</si>
  <si>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</si>
  <si>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</si>
  <si>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</si>
  <si>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</si>
  <si>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</si>
  <si>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</si>
  <si>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</si>
  <si>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</si>
  <si>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</si>
  <si>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</si>
  <si>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</si>
  <si>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</si>
  <si>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</si>
  <si>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</si>
  <si>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</si>
  <si>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</si>
  <si>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</si>
  <si>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</si>
  <si>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</si>
  <si>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</si>
  <si>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</si>
  <si>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</si>
  <si>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</si>
  <si>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</si>
  <si>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</si>
  <si>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</si>
  <si>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</si>
  <si>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</si>
  <si>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</si>
  <si>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</si>
  <si>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</si>
  <si>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</si>
  <si>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</si>
  <si>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</si>
  <si>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</si>
  <si>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</si>
  <si>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</si>
  <si>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</si>
  <si>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</si>
  <si>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</si>
  <si>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</si>
  <si>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</si>
  <si>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</si>
  <si>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</si>
  <si>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</si>
  <si>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</si>
  <si>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</si>
  <si>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</si>
  <si>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</si>
  <si>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</si>
  <si>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</si>
  <si>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</si>
  <si>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</si>
  <si>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</si>
  <si>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</si>
  <si>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</si>
  <si>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</si>
  <si>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</si>
  <si>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</si>
  <si>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</si>
  <si>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</si>
  <si>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</si>
  <si>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</si>
  <si>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</si>
  <si>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</si>
  <si>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</si>
  <si>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</si>
  <si>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</si>
  <si>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</si>
  <si>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</si>
  <si>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</si>
  <si>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</si>
  <si>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</si>
  <si>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</si>
  <si>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</si>
  <si>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</si>
  <si>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</si>
  <si>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</si>
  <si>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</si>
  <si>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</si>
  <si>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</si>
  <si>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</si>
  <si>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</si>
  <si>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</si>
  <si>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</si>
  <si>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</si>
  <si>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</si>
  <si>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</si>
  <si>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</si>
  <si>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</si>
  <si>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</si>
  <si>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</si>
  <si>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</si>
  <si>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</si>
  <si>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</si>
  <si>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</si>
  <si>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</si>
  <si>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</si>
  <si>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</si>
  <si>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</si>
  <si>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</si>
  <si>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</si>
  <si>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</si>
  <si>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</si>
  <si>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</si>
  <si>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</si>
  <si>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</si>
  <si>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</si>
  <si>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</si>
  <si>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</si>
  <si>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</si>
  <si>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</si>
  <si>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</si>
  <si>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</si>
  <si>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</si>
  <si>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</si>
  <si>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</si>
  <si>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</si>
  <si>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</si>
  <si>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</si>
  <si>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</si>
  <si>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</si>
  <si>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</si>
  <si>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</si>
  <si>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</si>
  <si>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</si>
  <si>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</si>
  <si>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</si>
  <si>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</si>
  <si>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</si>
  <si>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</si>
  <si>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</si>
  <si>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</si>
  <si>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</si>
  <si>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</si>
  <si>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</si>
  <si>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</si>
  <si>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</si>
  <si>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</si>
  <si>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</si>
  <si>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</si>
  <si>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</si>
  <si>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</si>
  <si>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</si>
  <si>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</si>
  <si>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</si>
  <si>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</si>
  <si>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</si>
  <si>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</si>
  <si>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</si>
  <si>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</si>
  <si>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</si>
  <si>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</si>
  <si>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</si>
  <si>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</si>
  <si>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</si>
  <si>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</si>
  <si>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</si>
  <si>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</si>
  <si>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</si>
  <si>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</si>
  <si>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</si>
  <si>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</si>
  <si>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</si>
  <si>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</si>
  <si>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</si>
  <si>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</si>
  <si>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</si>
  <si>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</si>
  <si>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</si>
  <si>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</si>
  <si>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</si>
  <si>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</si>
  <si>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</si>
  <si>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</si>
  <si>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</si>
  <si>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</si>
  <si>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</si>
  <si>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</si>
  <si>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</si>
  <si>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</si>
  <si>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</si>
  <si>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</si>
  <si>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</si>
  <si>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</si>
  <si>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</si>
  <si>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</si>
  <si>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</si>
  <si>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</si>
  <si>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</si>
  <si>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</si>
  <si>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</si>
  <si>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</si>
  <si>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</si>
  <si>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</si>
  <si>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</si>
  <si>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</si>
  <si>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</si>
  <si>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</si>
  <si>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</si>
  <si>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</si>
  <si>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</si>
  <si>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</si>
  <si>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</si>
  <si>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</si>
  <si>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</si>
  <si>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</si>
  <si>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</si>
  <si>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</si>
  <si>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</si>
  <si>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</si>
  <si>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</si>
  <si>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</si>
  <si>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</si>
  <si>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</si>
  <si>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</si>
  <si>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</si>
  <si>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</si>
  <si>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</si>
  <si>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</si>
  <si>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</si>
  <si>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</si>
  <si>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</si>
  <si>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</si>
  <si>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</si>
  <si>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</si>
  <si>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</si>
  <si>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</si>
  <si>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</si>
  <si>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</si>
  <si>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</si>
  <si>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</si>
  <si>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</si>
  <si>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</si>
  <si>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</si>
  <si>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</si>
  <si>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</si>
  <si>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</si>
  <si>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</si>
  <si>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</si>
  <si>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</si>
  <si>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</si>
  <si>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</si>
  <si>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</si>
  <si>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</si>
  <si>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</si>
  <si>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</si>
  <si>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</si>
  <si>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</si>
  <si>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</si>
  <si>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</si>
  <si>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</si>
  <si>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</si>
  <si>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</si>
  <si>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</si>
  <si>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</si>
  <si>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</si>
  <si>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</si>
  <si>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</si>
  <si>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</si>
  <si>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</si>
  <si>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</si>
  <si>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</si>
  <si>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</si>
  <si>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</si>
  <si>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</si>
  <si>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</si>
  <si>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</si>
  <si>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</si>
  <si>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</si>
  <si>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</si>
  <si>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</si>
  <si>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</si>
  <si>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</si>
  <si>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</si>
  <si>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</si>
  <si>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</si>
  <si>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</si>
  <si>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</si>
  <si>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</si>
  <si>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</si>
  <si>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</si>
  <si>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</si>
  <si>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</si>
  <si>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</si>
  <si>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</si>
  <si>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</si>
  <si>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</si>
  <si>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</si>
  <si>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</si>
  <si>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</si>
  <si>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</si>
  <si>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</si>
  <si>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</si>
  <si>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</si>
  <si>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</si>
  <si>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</si>
  <si>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</si>
  <si>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</si>
  <si>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</si>
  <si>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</si>
  <si>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</si>
  <si>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</si>
  <si>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</si>
  <si>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</si>
  <si>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</si>
  <si>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</si>
  <si>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</si>
  <si>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</si>
  <si>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</si>
  <si>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</si>
  <si>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</si>
  <si>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</si>
  <si>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</si>
  <si>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</si>
  <si>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</si>
  <si>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</si>
  <si>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</si>
  <si>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</si>
  <si>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</si>
  <si>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</si>
  <si>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</si>
  <si>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</si>
  <si>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</si>
  <si>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</si>
  <si>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</si>
  <si>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</si>
  <si>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</si>
  <si>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</si>
  <si>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</si>
  <si>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</si>
  <si>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</si>
  <si>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</si>
  <si>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</si>
  <si>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</si>
  <si>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</si>
  <si>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</si>
  <si>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</si>
  <si>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</si>
  <si>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</si>
  <si>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</si>
  <si>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</si>
  <si>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</si>
  <si>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</si>
  <si>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</si>
  <si>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</si>
  <si>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</si>
  <si>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</si>
  <si>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</si>
  <si>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</si>
  <si>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</si>
  <si>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</si>
  <si>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</si>
  <si>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</si>
  <si>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</si>
  <si>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</si>
  <si>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</si>
  <si>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</si>
  <si>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</si>
  <si>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</si>
  <si>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</si>
  <si>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</si>
  <si>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</si>
  <si>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</si>
  <si>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</si>
  <si>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</si>
  <si>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</si>
  <si>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</si>
  <si>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</si>
  <si>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</si>
  <si>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</si>
  <si>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</si>
  <si>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</si>
  <si>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</si>
  <si>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</si>
  <si>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</si>
  <si>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</si>
  <si>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</si>
  <si>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</si>
  <si>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</si>
  <si>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</si>
  <si>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</si>
  <si>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</si>
  <si>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</si>
  <si>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</si>
  <si>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</si>
  <si>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</si>
  <si>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</si>
  <si>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</si>
  <si>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</si>
  <si>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</si>
  <si>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</si>
  <si>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</si>
  <si>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</si>
  <si>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</si>
  <si>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</si>
  <si>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</si>
  <si>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</si>
  <si>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</si>
  <si>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</si>
  <si>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</si>
  <si>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</si>
  <si>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</si>
  <si>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</si>
  <si>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</si>
  <si>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</si>
  <si>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</si>
  <si>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</si>
  <si>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</si>
  <si>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</si>
  <si>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</si>
  <si>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</si>
  <si>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</si>
  <si>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</si>
  <si>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</si>
  <si>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</si>
  <si>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</si>
  <si>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</si>
  <si>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</si>
  <si>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</si>
  <si>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</si>
  <si>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</si>
  <si>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</si>
  <si>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</si>
  <si>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</si>
  <si>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</si>
  <si>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</si>
  <si>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</si>
  <si>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</si>
  <si>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</si>
  <si>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</si>
  <si>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</si>
  <si>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</si>
  <si>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</si>
  <si>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</si>
  <si>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</si>
  <si>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</si>
  <si>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</si>
  <si>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</si>
  <si>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</si>
  <si>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</si>
  <si>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</si>
  <si>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</si>
  <si>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</si>
  <si>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</si>
  <si>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</si>
  <si>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</si>
  <si>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</si>
  <si>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</si>
  <si>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</si>
  <si>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</si>
  <si>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</si>
  <si>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</si>
  <si>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</si>
  <si>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</si>
  <si>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</si>
  <si>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</si>
  <si>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</si>
  <si>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</si>
  <si>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</si>
  <si>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</si>
  <si>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</si>
  <si>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</si>
  <si>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</si>
  <si>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</si>
  <si>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</si>
  <si>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</si>
  <si>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</si>
  <si>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</si>
  <si>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</si>
  <si>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</si>
  <si>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</si>
  <si>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</si>
  <si>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</si>
  <si>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</si>
  <si>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</si>
  <si>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</si>
  <si>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</si>
  <si>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</si>
  <si>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</si>
  <si>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</si>
  <si>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</si>
  <si>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</si>
  <si>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</si>
  <si>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</si>
  <si>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</si>
  <si>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</si>
  <si>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</si>
  <si>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</si>
  <si>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</si>
  <si>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</si>
  <si>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</si>
  <si>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</si>
  <si>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</si>
  <si>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</si>
  <si>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</si>
  <si>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</si>
  <si>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</si>
  <si>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</si>
  <si>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</si>
  <si>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</si>
  <si>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</si>
  <si>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</si>
  <si>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</si>
  <si>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</si>
  <si>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</si>
  <si>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</si>
  <si>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</si>
  <si>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</si>
  <si>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</si>
  <si>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</si>
  <si>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</si>
  <si>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</si>
  <si>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</si>
  <si>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</si>
  <si>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</si>
  <si>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</si>
  <si>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</si>
  <si>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</si>
  <si>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</si>
  <si>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</si>
  <si>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</si>
  <si>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</si>
  <si>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</si>
  <si>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</si>
  <si>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</si>
  <si>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</si>
  <si>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</si>
  <si>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</si>
  <si>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</si>
  <si>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</si>
  <si>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</si>
  <si>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</si>
  <si>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</si>
  <si>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</si>
  <si>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</si>
  <si>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</si>
  <si>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</si>
  <si>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</si>
  <si>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</si>
  <si>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</si>
  <si>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</si>
  <si>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</si>
  <si>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</si>
  <si>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</si>
  <si>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</si>
  <si>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</si>
  <si>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</si>
  <si>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</si>
  <si>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</si>
  <si>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</si>
  <si>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</si>
  <si>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</si>
  <si>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</si>
  <si>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</si>
  <si>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</si>
  <si>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</si>
  <si>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</si>
  <si>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</si>
  <si>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</si>
  <si>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</si>
  <si>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</si>
  <si>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</si>
  <si>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</si>
  <si>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</si>
  <si>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</si>
  <si>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</si>
  <si>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</si>
  <si>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</si>
  <si>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</si>
  <si>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</si>
  <si>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</si>
  <si>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</si>
  <si>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</si>
  <si>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</si>
  <si>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</si>
  <si>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</si>
  <si>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</si>
  <si>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</si>
  <si>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</si>
  <si>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</si>
  <si>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</si>
  <si>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</si>
  <si>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</si>
  <si>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</si>
  <si>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</si>
  <si>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</si>
  <si>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</si>
  <si>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</si>
  <si>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</si>
  <si>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</si>
  <si>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</si>
  <si>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</si>
  <si>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</si>
  <si>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</si>
  <si>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</si>
  <si>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</si>
  <si>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</si>
  <si>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</si>
  <si>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</si>
  <si>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</si>
  <si>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</si>
  <si>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</si>
  <si>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</si>
  <si>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</si>
  <si>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</si>
  <si>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</si>
  <si>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</si>
  <si>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</si>
  <si>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</si>
  <si>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</si>
  <si>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</si>
  <si>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</si>
  <si>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</si>
  <si>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</si>
  <si>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</si>
  <si>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</si>
  <si>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</si>
  <si>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</si>
  <si>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</si>
  <si>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</si>
  <si>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</si>
  <si>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</si>
  <si>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</si>
  <si>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</si>
  <si>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</si>
  <si>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</si>
  <si>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</si>
  <si>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</si>
  <si>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</si>
  <si>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</si>
  <si>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</si>
  <si>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</si>
  <si>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</si>
  <si>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</si>
  <si>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</si>
  <si>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</si>
  <si>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</si>
  <si>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</si>
  <si>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</si>
  <si>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</si>
  <si>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</si>
  <si>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</si>
  <si>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</si>
  <si>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</si>
  <si>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</si>
  <si>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</si>
  <si>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</si>
  <si>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</si>
  <si>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</si>
  <si>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</si>
  <si>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</si>
  <si>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</si>
  <si>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</si>
  <si>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</si>
  <si>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</si>
  <si>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</si>
  <si>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</si>
  <si>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</si>
  <si>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</si>
  <si>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</si>
  <si>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</si>
  <si>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</si>
  <si>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</si>
  <si>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</si>
  <si>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</si>
  <si>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</si>
  <si>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</si>
  <si>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</si>
  <si>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</si>
  <si>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</si>
  <si>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</si>
  <si>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</si>
  <si>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</si>
  <si>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</si>
  <si>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</si>
  <si>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</si>
  <si>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</si>
  <si>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</si>
  <si>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</si>
  <si>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</si>
  <si>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</si>
  <si>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</si>
  <si>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</si>
  <si>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</si>
  <si>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</si>
  <si>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</si>
  <si>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</si>
  <si>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</si>
  <si>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</si>
  <si>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</si>
  <si>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</si>
  <si>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</si>
  <si>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</si>
  <si>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</si>
  <si>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</si>
  <si>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</si>
  <si>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</si>
  <si>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</si>
  <si>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</si>
  <si>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</si>
  <si>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</si>
  <si>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</si>
  <si>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</si>
  <si>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</si>
  <si>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</si>
  <si>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</si>
  <si>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</si>
  <si>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</si>
  <si>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</si>
  <si>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</si>
  <si>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</si>
  <si>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</si>
  <si>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</si>
  <si>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</si>
  <si>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</si>
  <si>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</si>
  <si>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</si>
  <si>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</si>
  <si>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</si>
  <si>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</si>
  <si>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</si>
  <si>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</si>
  <si>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</si>
  <si>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</si>
  <si>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</si>
  <si>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</si>
  <si>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</si>
  <si>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</si>
  <si>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</si>
  <si>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</si>
  <si>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</si>
  <si>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</si>
  <si>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</si>
  <si>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</si>
  <si>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</si>
  <si>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</si>
  <si>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</si>
  <si>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</si>
  <si>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</si>
  <si>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</si>
  <si>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</si>
  <si>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</si>
  <si>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</si>
  <si>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</si>
  <si>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</si>
  <si>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</si>
  <si>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</si>
  <si>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</si>
  <si>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</si>
  <si>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</si>
  <si>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</si>
  <si>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</si>
  <si>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</si>
  <si>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</si>
  <si>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</si>
  <si>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</si>
  <si>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</si>
  <si>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</si>
  <si>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</si>
  <si>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</si>
  <si>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</si>
  <si>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</si>
  <si>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</si>
  <si>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</si>
  <si>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</si>
  <si>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</si>
  <si>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</si>
  <si>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</si>
  <si>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</si>
  <si>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</si>
  <si>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</si>
  <si>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</si>
  <si>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</si>
  <si>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</si>
  <si>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</si>
  <si>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</si>
  <si>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</si>
  <si>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</si>
  <si>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</si>
  <si>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</si>
  <si>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</si>
  <si>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</si>
  <si>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</si>
  <si>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</si>
  <si>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</si>
  <si>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</si>
  <si>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</si>
  <si>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</si>
  <si>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</si>
  <si>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</si>
  <si>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</si>
  <si>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</si>
  <si>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</si>
  <si>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</si>
  <si>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</si>
  <si>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</si>
  <si>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</si>
  <si>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</si>
  <si>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</si>
  <si>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</si>
  <si>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</si>
  <si>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</si>
  <si>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</si>
  <si>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</si>
  <si>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</si>
  <si>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</si>
  <si>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</si>
  <si>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</si>
  <si>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</si>
  <si>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</si>
  <si>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</si>
  <si>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</si>
  <si>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</si>
  <si>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</si>
  <si>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</si>
  <si>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</si>
  <si>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</si>
  <si>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</si>
  <si>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</si>
  <si>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</si>
  <si>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</si>
  <si>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</si>
  <si>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</si>
  <si>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</si>
  <si>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</si>
  <si>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</si>
  <si>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</si>
  <si>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</si>
  <si>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</si>
  <si>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</si>
  <si>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</si>
  <si>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</si>
  <si>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</si>
  <si>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</si>
  <si>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</si>
  <si>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</si>
  <si>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</si>
  <si>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</si>
  <si>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</si>
  <si>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</si>
  <si>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</si>
  <si>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</si>
  <si>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</si>
  <si>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</si>
  <si>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</si>
  <si>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</si>
  <si>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</si>
  <si>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</si>
  <si>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</si>
  <si>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</si>
  <si>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</si>
  <si>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</si>
  <si>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</si>
  <si>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</si>
  <si>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</si>
  <si>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</si>
  <si>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</si>
  <si>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</si>
  <si>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</si>
  <si>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</si>
  <si>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</si>
  <si>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</si>
  <si>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</si>
  <si>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</si>
  <si>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</si>
  <si>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</si>
  <si>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</si>
  <si>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</si>
  <si>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</si>
  <si>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</si>
  <si>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</si>
  <si>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</si>
  <si>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</si>
  <si>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</si>
  <si>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</si>
  <si>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</si>
  <si>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</si>
  <si>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</si>
  <si>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</si>
  <si>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</si>
  <si>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</si>
  <si>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</si>
  <si>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</si>
  <si>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</si>
  <si>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</si>
  <si>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</si>
  <si>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</si>
  <si>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</si>
  <si>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</si>
  <si>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</si>
  <si>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</si>
  <si>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</si>
  <si>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</si>
  <si>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</si>
  <si>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</si>
  <si>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</si>
  <si>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</si>
  <si>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</si>
  <si>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</si>
  <si>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</si>
  <si>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</si>
  <si>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</si>
  <si>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</si>
  <si>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</si>
  <si>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</si>
  <si>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</si>
  <si>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</si>
  <si>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</si>
  <si>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</si>
  <si>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</si>
  <si>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</si>
  <si>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</si>
  <si>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</si>
  <si>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</si>
  <si>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</si>
  <si>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</si>
  <si>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</si>
  <si>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</si>
  <si>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</si>
  <si>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</si>
  <si>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</si>
  <si>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</si>
  <si>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</si>
  <si>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</si>
  <si>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</si>
  <si>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</si>
  <si>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</si>
  <si>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</si>
  <si>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</si>
  <si>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</si>
  <si>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</si>
  <si>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</si>
  <si>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</si>
  <si>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</si>
  <si>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</si>
  <si>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</si>
  <si>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</si>
  <si>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</si>
  <si>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</si>
  <si>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</si>
  <si>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</si>
  <si>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</si>
  <si>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</si>
  <si>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</si>
  <si>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</si>
  <si>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</si>
  <si>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</si>
  <si>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</si>
  <si>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</si>
  <si>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</si>
  <si>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</si>
  <si>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</si>
  <si>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</si>
  <si>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</si>
  <si>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</si>
  <si>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</si>
  <si>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</si>
  <si>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</si>
  <si>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</si>
  <si>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</si>
  <si>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</si>
  <si>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</si>
  <si>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</si>
  <si>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</si>
  <si>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</si>
  <si>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</si>
  <si>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</si>
  <si>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</si>
  <si>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</si>
  <si>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</si>
  <si>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</si>
  <si>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</si>
  <si>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</si>
  <si>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</si>
  <si>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</si>
  <si>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</si>
  <si>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</si>
  <si>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</si>
  <si>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</si>
  <si>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</si>
  <si>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</si>
  <si>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</si>
  <si>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</si>
  <si>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</si>
  <si>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</si>
  <si>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</si>
  <si>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</si>
  <si>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</si>
  <si>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</si>
  <si>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</si>
  <si>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</si>
  <si>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</si>
  <si>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</si>
  <si>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</si>
  <si>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</si>
  <si>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</si>
  <si>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</si>
  <si>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</si>
  <si>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</si>
  <si>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</si>
  <si>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</si>
  <si>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</si>
  <si>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</si>
  <si>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</si>
  <si>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</si>
  <si>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</si>
  <si>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</si>
  <si>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</si>
  <si>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</si>
  <si>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</si>
  <si>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</si>
  <si>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</si>
  <si>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</si>
  <si>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</si>
  <si>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</si>
  <si>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</si>
  <si>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</si>
  <si>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</si>
  <si>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</si>
  <si>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</si>
  <si>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</si>
  <si>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</si>
  <si>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</si>
  <si>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</si>
  <si>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</si>
  <si>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</si>
  <si>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</si>
  <si>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</si>
  <si>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</si>
  <si>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</si>
  <si>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</si>
  <si>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</si>
  <si>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</si>
  <si>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</si>
  <si>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</si>
  <si>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</si>
  <si>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</si>
  <si>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</si>
  <si>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</si>
  <si>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</si>
  <si>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</si>
  <si>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</si>
  <si>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</si>
  <si>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</si>
  <si>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</si>
  <si>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</si>
  <si>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</si>
  <si>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</si>
  <si>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</si>
  <si>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</si>
  <si>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</si>
  <si>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</si>
  <si>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</si>
  <si>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</si>
  <si>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</si>
  <si>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</si>
  <si>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</si>
  <si>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</si>
  <si>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</si>
  <si>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</si>
  <si>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</si>
  <si>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</si>
  <si>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</si>
  <si>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</si>
  <si>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</si>
  <si>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</si>
  <si>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</si>
  <si>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</si>
  <si>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</si>
  <si>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</si>
  <si>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</si>
  <si>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</si>
  <si>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</si>
  <si>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</si>
  <si>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</si>
  <si>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</si>
  <si>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</si>
  <si>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</si>
  <si>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</si>
  <si>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</si>
  <si>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</si>
  <si>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</si>
  <si>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</si>
  <si>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</si>
  <si>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</si>
  <si>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</si>
  <si>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</si>
  <si>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</si>
  <si>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</si>
  <si>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</si>
  <si>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</si>
  <si>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</si>
  <si>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</si>
  <si>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</si>
  <si>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</si>
  <si>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</si>
  <si>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</si>
  <si>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</si>
  <si>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</si>
  <si>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</si>
  <si>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</si>
  <si>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</si>
  <si>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</si>
  <si>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</si>
  <si>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</si>
  <si>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</si>
  <si>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</si>
  <si>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</si>
  <si>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</si>
  <si>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</si>
  <si>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</si>
  <si>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</si>
  <si>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</si>
  <si>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</si>
  <si>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</si>
  <si>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</si>
  <si>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</si>
  <si>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</si>
  <si>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</si>
  <si>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</si>
  <si>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</si>
  <si>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</si>
  <si>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</si>
  <si>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</si>
  <si>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</si>
  <si>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</si>
  <si>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</si>
  <si>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</si>
  <si>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</si>
  <si>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</si>
  <si>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</si>
  <si>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</si>
  <si>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</si>
  <si>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</si>
  <si>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</si>
  <si>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</si>
  <si>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</si>
  <si>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</si>
  <si>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</si>
  <si>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</si>
  <si>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</si>
  <si>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</si>
  <si>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</si>
  <si>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</si>
  <si>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</si>
  <si>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</si>
  <si>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</si>
  <si>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</si>
  <si>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</si>
  <si>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</si>
  <si>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</si>
  <si>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</si>
  <si>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</si>
  <si>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</si>
  <si>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</si>
  <si>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</si>
  <si>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</si>
  <si>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</si>
  <si>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</si>
  <si>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</si>
  <si>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</si>
  <si>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</si>
  <si>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</si>
  <si>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</si>
  <si>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</si>
  <si>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</si>
  <si>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</si>
  <si>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</si>
  <si>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</si>
  <si>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</si>
  <si>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</si>
  <si>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</si>
  <si>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</si>
  <si>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</si>
  <si>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</si>
  <si>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</si>
  <si>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</si>
  <si>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</si>
  <si>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</si>
  <si>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</si>
  <si>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</si>
  <si>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</si>
  <si>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</si>
  <si>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</si>
  <si>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</si>
  <si>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</si>
  <si>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</si>
  <si>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</si>
  <si>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</si>
  <si>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</si>
  <si>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</si>
  <si>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</si>
  <si>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</si>
  <si>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</si>
  <si>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</si>
  <si>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</si>
  <si>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</si>
  <si>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</si>
  <si>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</si>
  <si>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</si>
  <si>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</si>
  <si>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</si>
  <si>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</si>
  <si>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</si>
  <si>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</si>
  <si>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</si>
  <si>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</si>
  <si>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</si>
  <si>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</si>
  <si>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</si>
  <si>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</si>
  <si>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</si>
  <si>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</si>
  <si>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</si>
  <si>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</si>
  <si>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</si>
  <si>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</si>
  <si>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</si>
  <si>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</si>
  <si>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</si>
  <si>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</si>
  <si>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</si>
  <si>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</si>
  <si>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</si>
  <si>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</si>
  <si>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</si>
  <si>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</si>
  <si>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</si>
  <si>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</si>
  <si>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</si>
  <si>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</si>
  <si>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</si>
  <si>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</si>
  <si>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</si>
  <si>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</si>
  <si>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</si>
  <si>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</si>
  <si>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</si>
  <si>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</si>
  <si>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</si>
  <si>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</si>
  <si>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</si>
  <si>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</si>
  <si>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</si>
  <si>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</si>
  <si>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</si>
  <si>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</si>
  <si>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</si>
  <si>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</si>
  <si>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</si>
  <si>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</si>
  <si>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</si>
  <si>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</si>
  <si>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</si>
  <si>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</si>
  <si>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</si>
  <si>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</si>
  <si>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</si>
  <si>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</si>
  <si>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</si>
  <si>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</si>
  <si>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</si>
  <si>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</si>
  <si>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</si>
  <si>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</si>
  <si>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</si>
  <si>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</si>
  <si>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</si>
  <si>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</si>
  <si>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</si>
  <si>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</si>
  <si>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</si>
  <si>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</si>
  <si>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</si>
  <si>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</si>
  <si>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</si>
  <si>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</si>
  <si>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</si>
  <si>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</si>
  <si>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</si>
  <si>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</si>
  <si>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</si>
  <si>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</si>
  <si>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</si>
  <si>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</si>
  <si>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</si>
  <si>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</si>
  <si>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</si>
  <si>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</si>
  <si>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</si>
  <si>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</si>
  <si>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</si>
  <si>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</si>
  <si>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</si>
  <si>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</si>
  <si>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</si>
  <si>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</si>
  <si>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</si>
  <si>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</si>
  <si>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</si>
  <si>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</si>
  <si>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</si>
  <si>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</si>
  <si>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</si>
  <si>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</si>
  <si>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</si>
  <si>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</si>
  <si>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</si>
  <si>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</si>
  <si>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</si>
  <si>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</si>
  <si>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</si>
  <si>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</si>
  <si>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</si>
  <si>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</si>
  <si>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</si>
  <si>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</si>
  <si>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</si>
  <si>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</si>
  <si>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</si>
  <si>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</si>
  <si>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</si>
  <si>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</si>
  <si>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</si>
  <si>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</si>
  <si>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</si>
  <si>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</si>
  <si>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</si>
  <si>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</si>
  <si>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</si>
  <si>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</si>
  <si>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</si>
  <si>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</si>
  <si>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</si>
  <si>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</si>
  <si>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</si>
  <si>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</si>
  <si>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</si>
  <si>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</si>
  <si>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</si>
  <si>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</si>
  <si>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</si>
  <si>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</si>
  <si>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</si>
  <si>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</si>
  <si>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</si>
  <si>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</si>
  <si>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</si>
  <si>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</si>
  <si>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</si>
  <si>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</si>
  <si>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</si>
  <si>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</si>
  <si>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</si>
  <si>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</si>
  <si>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</si>
  <si>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</si>
  <si>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</si>
  <si>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</si>
  <si>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</si>
  <si>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</si>
  <si>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</si>
  <si>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</si>
  <si>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</si>
  <si>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</si>
  <si>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</si>
  <si>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</si>
  <si>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</si>
  <si>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</si>
  <si>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</si>
  <si>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</si>
  <si>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</si>
  <si>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</si>
  <si>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</si>
  <si>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</si>
  <si>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</si>
  <si>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</si>
  <si>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</si>
  <si>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</si>
  <si>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</si>
  <si>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</si>
  <si>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</si>
  <si>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</si>
  <si>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</si>
  <si>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</si>
  <si>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</si>
  <si>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</si>
  <si>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</si>
  <si>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</si>
  <si>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</si>
  <si>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</si>
  <si>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</si>
  <si>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</si>
  <si>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</si>
  <si>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</si>
  <si>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</si>
  <si>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</si>
  <si>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</si>
  <si>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</si>
  <si>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</si>
  <si>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</si>
  <si>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</si>
  <si>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</si>
  <si>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</si>
  <si>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</si>
  <si>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</si>
  <si>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</si>
  <si>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</si>
  <si>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</si>
  <si>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</si>
  <si>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</si>
  <si>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</si>
  <si>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</si>
  <si>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</si>
  <si>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</si>
  <si>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</si>
  <si>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</si>
  <si>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</si>
  <si>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</si>
  <si>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</si>
  <si>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</si>
  <si>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</si>
  <si>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</si>
  <si>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</si>
  <si>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</si>
  <si>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</si>
  <si>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</si>
  <si>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</si>
  <si>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</si>
  <si>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</si>
  <si>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</si>
  <si>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</si>
  <si>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</si>
  <si>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</si>
  <si>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</si>
  <si>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</si>
  <si>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</si>
  <si>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</si>
  <si>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</si>
  <si>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</si>
  <si>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</si>
  <si>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</si>
  <si>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</si>
  <si>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</si>
  <si>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</si>
  <si>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</si>
  <si>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</si>
  <si>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</si>
  <si>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</si>
  <si>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</si>
  <si>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</si>
  <si>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</si>
  <si>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</si>
  <si>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</si>
  <si>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</si>
  <si>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</si>
  <si>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</si>
  <si>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</si>
  <si>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</si>
  <si>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</si>
  <si>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</si>
  <si>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</si>
  <si>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</si>
  <si>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</si>
  <si>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</si>
  <si>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</si>
  <si>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</si>
  <si>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</si>
  <si>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</si>
  <si>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</si>
  <si>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</si>
  <si>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</si>
  <si>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</si>
  <si>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</si>
  <si>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</si>
  <si>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</si>
  <si>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</si>
  <si>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</si>
  <si>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</si>
  <si>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</si>
  <si>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</si>
  <si>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</si>
  <si>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</si>
  <si>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</si>
  <si>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</si>
  <si>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</si>
  <si>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</si>
  <si>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</si>
  <si>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</si>
  <si>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</si>
  <si>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</si>
  <si>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</si>
  <si>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</si>
  <si>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</si>
  <si>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</si>
  <si>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</si>
  <si>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</si>
  <si>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</si>
  <si>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</si>
  <si>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</si>
  <si>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</si>
  <si>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</si>
  <si>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</si>
  <si>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</si>
  <si>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</si>
  <si>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</si>
  <si>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</si>
  <si>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</si>
  <si>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</si>
  <si>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</si>
  <si>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</si>
  <si>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</si>
  <si>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</si>
  <si>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</si>
  <si>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</si>
  <si>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</si>
  <si>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</si>
  <si>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</si>
  <si>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</si>
  <si>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</si>
  <si>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</si>
  <si>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</si>
  <si>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</si>
  <si>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</si>
  <si>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</si>
  <si>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</si>
  <si>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</si>
  <si>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</si>
  <si>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</si>
  <si>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</si>
  <si>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</si>
  <si>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</si>
  <si>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</si>
  <si>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</si>
  <si>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</si>
  <si>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</si>
  <si>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</si>
  <si>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</si>
  <si>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</si>
  <si>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</si>
  <si>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</si>
  <si>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</si>
  <si>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</si>
  <si>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</si>
  <si>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</si>
  <si>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</si>
  <si>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</si>
  <si>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</si>
  <si>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</si>
  <si>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</si>
  <si>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</si>
  <si>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</si>
  <si>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</si>
  <si>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</si>
  <si>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</si>
  <si>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</si>
  <si>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</si>
  <si>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</si>
  <si>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</si>
  <si>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</si>
  <si>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</si>
  <si>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</si>
  <si>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</si>
  <si>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</si>
  <si>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</si>
  <si>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</si>
  <si>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</si>
  <si>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</si>
  <si>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</si>
  <si>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</si>
  <si>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</si>
  <si>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</si>
  <si>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</si>
  <si>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</si>
  <si>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</si>
  <si>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</si>
  <si>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</si>
  <si>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</si>
  <si>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</si>
  <si>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</si>
  <si>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</si>
  <si>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</si>
  <si>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</si>
  <si>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</si>
  <si>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</si>
  <si>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</si>
  <si>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</si>
  <si>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</si>
  <si>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</si>
  <si>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</si>
  <si>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</si>
  <si>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</si>
  <si>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</si>
  <si>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</si>
  <si>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</si>
  <si>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</si>
  <si>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</si>
  <si>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</si>
  <si>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</si>
  <si>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</si>
  <si>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</si>
  <si>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</si>
  <si>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</si>
  <si>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</si>
  <si>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</si>
  <si>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</si>
  <si>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</si>
  <si>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</si>
  <si>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</si>
  <si>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</si>
  <si>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</si>
  <si>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</si>
  <si>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</si>
  <si>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</si>
  <si>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</si>
  <si>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</si>
  <si>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</si>
  <si>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</si>
  <si>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</si>
  <si>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</si>
  <si>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</si>
  <si>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</si>
  <si>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</si>
  <si>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</si>
  <si>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</si>
  <si>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</si>
  <si>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</si>
  <si>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</si>
  <si>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</si>
  <si>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</si>
  <si>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</si>
  <si>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</si>
  <si>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</si>
  <si>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</si>
  <si>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</si>
  <si>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</si>
  <si>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</si>
  <si>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</si>
  <si>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</si>
  <si>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</si>
  <si>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</si>
  <si>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</si>
  <si>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</si>
  <si>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</si>
  <si>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</si>
  <si>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</si>
  <si>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</si>
  <si>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</si>
  <si>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</si>
  <si>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</si>
  <si>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</si>
  <si>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</si>
  <si>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</si>
  <si>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</si>
  <si>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</si>
  <si>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</si>
  <si>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</si>
  <si>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</si>
  <si>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</si>
  <si>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</si>
  <si>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</si>
  <si>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</si>
  <si>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</si>
  <si>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</si>
  <si>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</si>
  <si>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</si>
  <si>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</si>
  <si>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</si>
  <si>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</si>
  <si>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</si>
  <si>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</si>
  <si>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</si>
  <si>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</si>
  <si>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</si>
  <si>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</si>
  <si>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</si>
  <si>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</si>
  <si>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</si>
  <si>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</si>
  <si>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</si>
  <si>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</si>
  <si>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</si>
  <si>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</si>
  <si>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</si>
  <si>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</si>
  <si>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</si>
  <si>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</si>
  <si>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</si>
  <si>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</si>
  <si>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</si>
  <si>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</si>
  <si>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</si>
  <si>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</si>
  <si>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</si>
  <si>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</si>
  <si>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</si>
  <si>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</si>
  <si>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</si>
  <si>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</si>
  <si>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</si>
  <si>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</si>
  <si>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</si>
  <si>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</si>
  <si>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</si>
  <si>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</si>
  <si>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</si>
  <si>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</si>
  <si>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</si>
  <si>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</si>
  <si>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</si>
  <si>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</si>
  <si>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</si>
  <si>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</si>
  <si>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</si>
  <si>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</si>
  <si>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</si>
  <si>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</si>
  <si>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</si>
  <si>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</si>
  <si>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</si>
  <si>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</si>
  <si>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</si>
  <si>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</si>
  <si>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</si>
  <si>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</si>
  <si>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</si>
  <si>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</si>
  <si>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</si>
  <si>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</si>
  <si>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</si>
  <si>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</si>
  <si>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</si>
  <si>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</si>
  <si>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</si>
  <si>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</si>
  <si>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</si>
  <si>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</si>
  <si>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</si>
  <si>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</si>
  <si>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</si>
  <si>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</si>
  <si>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</si>
  <si>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</si>
  <si>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</si>
  <si>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</si>
  <si>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</si>
  <si>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</si>
  <si>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</si>
  <si>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</si>
  <si>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</si>
  <si>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</si>
  <si>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</si>
  <si>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</si>
  <si>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</si>
  <si>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</si>
  <si>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</si>
  <si>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</si>
  <si>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</si>
  <si>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</si>
  <si>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</si>
  <si>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</si>
  <si>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</si>
  <si>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</si>
  <si>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</si>
  <si>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</si>
  <si>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</si>
  <si>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</si>
  <si>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</si>
  <si>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</si>
  <si>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</si>
  <si>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</si>
  <si>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</si>
  <si>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</si>
  <si>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</si>
  <si>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</si>
  <si>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</si>
  <si>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</si>
  <si>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</si>
  <si>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</si>
  <si>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</si>
  <si>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</si>
  <si>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</si>
  <si>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</si>
  <si>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</si>
  <si>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</si>
  <si>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</si>
  <si>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</si>
  <si>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</si>
  <si>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</si>
  <si>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</si>
  <si>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</si>
  <si>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</si>
  <si>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</si>
  <si>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</si>
  <si>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</si>
  <si>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</si>
  <si>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</si>
  <si>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</si>
  <si>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</si>
  <si>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</si>
  <si>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</si>
  <si>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</si>
  <si>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</si>
  <si>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</si>
  <si>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</si>
  <si>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</si>
  <si>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</si>
  <si>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</si>
  <si>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</si>
  <si>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</si>
  <si>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</si>
  <si>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</si>
  <si>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</si>
  <si>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</si>
  <si>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</si>
  <si>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</si>
  <si>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</si>
  <si>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</si>
  <si>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</si>
  <si>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</si>
  <si>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</si>
  <si>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</si>
  <si>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</si>
  <si>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</si>
  <si>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</si>
  <si>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</si>
  <si>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</si>
  <si>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</si>
  <si>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</si>
  <si>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</si>
  <si>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</si>
  <si>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</si>
  <si>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</si>
  <si>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</si>
  <si>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</si>
  <si>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</si>
  <si>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</si>
  <si>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</si>
  <si>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</si>
  <si>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</si>
  <si>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</si>
  <si>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</si>
  <si>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</si>
  <si>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</si>
  <si>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</si>
  <si>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</si>
  <si>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</si>
  <si>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</si>
  <si>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</si>
  <si>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</si>
  <si>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</si>
  <si>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</si>
  <si>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</si>
  <si>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</si>
  <si>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</si>
  <si>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</si>
  <si>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</si>
  <si>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</si>
  <si>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</si>
  <si>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</si>
  <si>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</si>
  <si>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</si>
  <si>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</si>
  <si>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</si>
  <si>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</si>
  <si>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</si>
  <si>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</si>
  <si>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</si>
  <si>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</si>
  <si>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</si>
  <si>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</si>
  <si>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</si>
  <si>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</si>
  <si>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</si>
  <si>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</si>
  <si>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</si>
  <si>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</si>
  <si>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</si>
  <si>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</si>
  <si>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</si>
  <si>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</si>
  <si>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</si>
  <si>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</si>
  <si>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</si>
  <si>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</si>
  <si>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</si>
  <si>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</si>
  <si>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</si>
  <si>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</si>
  <si>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</si>
  <si>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</si>
  <si>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</si>
  <si>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</si>
  <si>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</si>
  <si>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</si>
  <si>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</si>
  <si>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</si>
  <si>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</si>
  <si>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</si>
  <si>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</si>
  <si>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</si>
  <si>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</si>
  <si>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</si>
  <si>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</si>
  <si>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</si>
  <si>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</si>
  <si>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</si>
  <si>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</si>
  <si>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</si>
  <si>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</si>
  <si>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</si>
  <si>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</si>
  <si>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</si>
  <si>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</si>
  <si>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</si>
  <si>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</si>
  <si>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</si>
  <si>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</si>
  <si>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</si>
  <si>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</si>
  <si>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</si>
  <si>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</si>
  <si>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</si>
  <si>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</si>
  <si>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</si>
  <si>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</si>
  <si>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</si>
  <si>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</si>
  <si>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</si>
  <si>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</si>
  <si>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</si>
  <si>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</si>
  <si>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</si>
  <si>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</si>
  <si>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</si>
  <si>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</si>
  <si>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</si>
  <si>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</si>
  <si>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</si>
  <si>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</si>
  <si>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</si>
  <si>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</si>
  <si>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</si>
  <si>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</si>
  <si>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</si>
  <si>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</si>
  <si>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</si>
  <si>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</si>
  <si>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</si>
  <si>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</si>
  <si>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</si>
  <si>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</si>
  <si>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</si>
  <si>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</si>
  <si>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</si>
  <si>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</si>
  <si>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</si>
  <si>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</si>
  <si>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</si>
  <si>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</si>
  <si>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</si>
  <si>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</si>
  <si>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</si>
  <si>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</si>
  <si>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</si>
  <si>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</si>
  <si>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</si>
  <si>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</si>
  <si>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</si>
  <si>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</si>
  <si>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</si>
  <si>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</si>
  <si>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</si>
  <si>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</si>
  <si>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</si>
  <si>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</si>
  <si>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</si>
  <si>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</si>
  <si>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</si>
  <si>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</si>
  <si>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</si>
  <si>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</si>
  <si>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</si>
  <si>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</si>
  <si>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</si>
  <si>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</si>
  <si>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</si>
  <si>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</si>
  <si>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</si>
  <si>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</si>
  <si>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</si>
  <si>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</si>
  <si>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</si>
  <si>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</si>
  <si>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</si>
  <si>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</si>
  <si>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</si>
  <si>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</si>
  <si>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</si>
  <si>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</si>
  <si>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</si>
  <si>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</si>
  <si>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</si>
  <si>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</si>
  <si>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</si>
  <si>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</si>
  <si>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</si>
  <si>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</si>
  <si>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</si>
  <si>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</si>
  <si>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</si>
  <si>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</si>
  <si>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</si>
  <si>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</si>
  <si>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</si>
  <si>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</si>
  <si>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</si>
  <si>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</si>
  <si>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</si>
  <si>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</si>
  <si>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</si>
  <si>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</si>
  <si>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</si>
  <si>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</si>
  <si>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</si>
  <si>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</si>
  <si>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</si>
  <si>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</si>
  <si>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</si>
  <si>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</si>
  <si>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</si>
  <si>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</si>
  <si>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</si>
  <si>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</si>
  <si>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</si>
  <si>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</si>
  <si>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</si>
  <si>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</si>
  <si>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</si>
  <si>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</si>
  <si>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</si>
  <si>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</si>
  <si>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</si>
  <si>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</si>
  <si>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</si>
  <si>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</si>
  <si>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</si>
  <si>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</si>
  <si>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</si>
  <si>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</si>
  <si>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</si>
  <si>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</si>
  <si>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</si>
  <si>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</si>
  <si>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</si>
  <si>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</si>
  <si>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</si>
  <si>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</si>
  <si>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</si>
  <si>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</si>
  <si>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</si>
  <si>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</si>
  <si>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</si>
  <si>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</si>
  <si>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</si>
  <si>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</si>
  <si>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</si>
  <si>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</si>
  <si>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</si>
  <si>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</si>
  <si>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</si>
  <si>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</si>
  <si>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</si>
  <si>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</si>
  <si>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</si>
  <si>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</si>
  <si>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</si>
  <si>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</si>
  <si>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</si>
  <si>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</si>
  <si>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</si>
  <si>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</si>
  <si>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</si>
  <si>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</si>
  <si>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</si>
  <si>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</si>
  <si>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</si>
  <si>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</si>
  <si>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</si>
  <si>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</si>
  <si>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</si>
  <si>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</si>
  <si>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</si>
  <si>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</si>
  <si>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</si>
  <si>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</si>
  <si>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</si>
  <si>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</si>
  <si>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</si>
  <si>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</si>
  <si>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</si>
  <si>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</si>
  <si>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</si>
  <si>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</si>
  <si>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</si>
  <si>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</si>
  <si>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</si>
  <si>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</si>
  <si>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</si>
  <si>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</si>
  <si>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</si>
  <si>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</si>
  <si>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</si>
  <si>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</si>
  <si>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</si>
  <si>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</si>
  <si>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</si>
  <si>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</si>
  <si>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</si>
  <si>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</si>
  <si>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</si>
  <si>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</si>
  <si>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</si>
  <si>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</si>
  <si>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</si>
  <si>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</si>
  <si>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</si>
  <si>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</si>
  <si>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</si>
  <si>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</si>
  <si>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</si>
  <si>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</si>
  <si>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</si>
  <si>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</si>
  <si>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</si>
  <si>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</si>
  <si>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</si>
  <si>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</si>
  <si>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</si>
  <si>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</si>
  <si>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</si>
  <si>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</si>
  <si>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</si>
  <si>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</si>
  <si>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</si>
  <si>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</si>
  <si>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</si>
  <si>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</si>
  <si>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</si>
  <si>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</si>
  <si>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</si>
  <si>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</si>
  <si>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</si>
  <si>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</si>
  <si>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</si>
  <si>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</si>
  <si>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</si>
  <si>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</si>
  <si>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</si>
  <si>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</si>
  <si>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</si>
  <si>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</si>
  <si>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</si>
  <si>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</si>
  <si>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</si>
  <si>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</si>
  <si>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</si>
  <si>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</si>
  <si>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</si>
  <si>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</si>
  <si>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</si>
  <si>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</si>
  <si>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</si>
  <si>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</si>
  <si>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</si>
  <si>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</si>
  <si>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</si>
  <si>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</si>
  <si>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</si>
  <si>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</si>
  <si>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</si>
  <si>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</si>
  <si>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</si>
  <si>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</si>
  <si>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</si>
  <si>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</si>
  <si>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</si>
  <si>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</si>
  <si>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</si>
  <si>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</si>
  <si>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</si>
  <si>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</si>
  <si>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</si>
  <si>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</si>
  <si>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</si>
  <si>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</si>
  <si>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</si>
  <si>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</si>
  <si>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</si>
  <si>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</si>
  <si>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</si>
  <si>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</si>
  <si>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</si>
  <si>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</si>
  <si>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</si>
  <si>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</si>
  <si>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</si>
  <si>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</si>
  <si>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</si>
  <si>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</si>
  <si>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</si>
  <si>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</si>
  <si>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</si>
  <si>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</si>
  <si>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</si>
  <si>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</si>
  <si>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</si>
  <si>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</si>
  <si>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</si>
  <si>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</si>
  <si>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</si>
  <si>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</si>
  <si>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</si>
  <si>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</si>
  <si>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</si>
  <si>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</si>
  <si>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</si>
  <si>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</si>
  <si>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</si>
  <si>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</si>
  <si>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</si>
  <si>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</si>
  <si>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</si>
  <si>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</si>
  <si>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</si>
  <si>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</si>
  <si>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</si>
  <si>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</si>
  <si>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</si>
  <si>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</si>
  <si>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</si>
  <si>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</si>
  <si>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</si>
  <si>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</si>
  <si>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</si>
  <si>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</si>
  <si>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</si>
  <si>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</si>
  <si>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</si>
  <si>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</si>
  <si>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</si>
  <si>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</si>
  <si>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</si>
  <si>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</si>
  <si>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</si>
  <si>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</si>
  <si>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</si>
  <si>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</si>
  <si>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</si>
  <si>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</si>
  <si>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</si>
  <si>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</si>
  <si>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</si>
  <si>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</si>
  <si>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</si>
  <si>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</si>
  <si>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</si>
  <si>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</si>
  <si>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</si>
  <si>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</si>
  <si>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</si>
  <si>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</si>
  <si>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</si>
  <si>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</si>
  <si>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</si>
  <si>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</si>
  <si>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</si>
  <si>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</si>
  <si>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</si>
  <si>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</si>
  <si>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</si>
  <si>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</si>
  <si>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</si>
  <si>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</si>
  <si>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</si>
  <si>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</si>
  <si>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</si>
  <si>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</si>
  <si>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</si>
  <si>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</si>
  <si>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</si>
  <si>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</si>
  <si>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</si>
  <si>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</si>
  <si>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</si>
  <si>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</si>
  <si>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</si>
  <si>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</si>
  <si>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</si>
  <si>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</si>
  <si>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</si>
  <si>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</si>
  <si>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</si>
  <si>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</si>
  <si>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</si>
  <si>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</si>
  <si>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</si>
  <si>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</si>
  <si>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</si>
  <si>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</si>
  <si>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</si>
  <si>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</si>
  <si>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</si>
  <si>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</si>
  <si>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</si>
  <si>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</si>
  <si>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</si>
  <si>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</si>
  <si>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</si>
  <si>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</si>
  <si>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</si>
  <si>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</si>
  <si>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</si>
  <si>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</si>
  <si>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</si>
  <si>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</si>
  <si>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</si>
  <si>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</si>
  <si>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</si>
  <si>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</si>
  <si>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</si>
  <si>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</si>
  <si>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</si>
  <si>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</si>
  <si>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</si>
  <si>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</si>
  <si>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</si>
  <si>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</si>
  <si>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</si>
  <si>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</si>
  <si>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</si>
  <si>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</si>
  <si>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</si>
  <si>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</si>
  <si>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</si>
  <si>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</si>
  <si>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</si>
  <si>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</si>
  <si>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</si>
  <si>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</si>
  <si>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</si>
  <si>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</si>
  <si>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</si>
  <si>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</si>
  <si>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</si>
  <si>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</si>
  <si>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</si>
  <si>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</si>
  <si>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</si>
  <si>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</si>
  <si>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</si>
  <si>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</si>
  <si>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</si>
  <si>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</si>
  <si>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</si>
  <si>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</si>
  <si>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</si>
  <si>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</si>
  <si>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</si>
  <si>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</si>
  <si>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</si>
  <si>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</si>
  <si>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</si>
  <si>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</si>
  <si>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</si>
  <si>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</si>
  <si>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</si>
  <si>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</si>
  <si>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</si>
  <si>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</si>
  <si>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</si>
  <si>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</si>
  <si>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</si>
  <si>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</si>
  <si>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</si>
  <si>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</si>
  <si>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</si>
  <si>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</si>
  <si>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</si>
  <si>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</si>
  <si>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</si>
  <si>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</si>
  <si>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</si>
  <si>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</si>
  <si>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</si>
  <si>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</si>
  <si>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</si>
  <si>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</si>
  <si>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</si>
  <si>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</si>
  <si>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</si>
  <si>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</si>
  <si>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</si>
  <si>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</si>
  <si>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</si>
  <si>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</si>
  <si>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</si>
  <si>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</si>
  <si>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</si>
  <si>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</si>
  <si>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</si>
  <si>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</si>
  <si>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</si>
  <si>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</si>
  <si>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</si>
  <si>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</si>
  <si>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</si>
  <si>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</si>
  <si>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</si>
  <si>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</si>
  <si>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</si>
  <si>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</si>
  <si>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</si>
  <si>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</si>
  <si>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</si>
  <si>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</si>
  <si>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</si>
  <si>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</si>
  <si>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</si>
  <si>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</si>
  <si>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</si>
  <si>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</si>
  <si>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</si>
  <si>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</si>
  <si>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</si>
  <si>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</si>
  <si>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</si>
  <si>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</si>
  <si>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</si>
  <si>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</si>
  <si>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</si>
  <si>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</si>
  <si>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</si>
  <si>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</si>
  <si>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</si>
  <si>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</si>
  <si>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</si>
  <si>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</si>
  <si>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</si>
  <si>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</si>
  <si>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</si>
  <si>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</si>
  <si>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</si>
  <si>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</si>
  <si>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</si>
  <si>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</si>
  <si>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</si>
  <si>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</si>
  <si>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</si>
  <si>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</si>
  <si>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</si>
  <si>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</si>
  <si>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</si>
  <si>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</si>
  <si>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</si>
  <si>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</si>
  <si>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</si>
  <si>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</si>
  <si>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</si>
  <si>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</si>
  <si>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</si>
  <si>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</si>
  <si>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</si>
  <si>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</si>
  <si>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</si>
  <si>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</si>
  <si>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</si>
  <si>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</si>
  <si>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</si>
  <si>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</si>
  <si>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</si>
  <si>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</si>
  <si>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</si>
  <si>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</si>
  <si>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</si>
  <si>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</si>
  <si>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</si>
  <si>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</si>
  <si>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</si>
  <si>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</si>
  <si>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</si>
  <si>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</si>
  <si>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</si>
  <si>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</si>
  <si>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</si>
  <si>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</si>
  <si>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</si>
  <si>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</si>
  <si>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</si>
  <si>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</si>
  <si>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</si>
  <si>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</si>
  <si>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</si>
  <si>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</si>
  <si>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</si>
  <si>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</si>
  <si>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</si>
  <si>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</si>
  <si>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</si>
  <si>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</si>
  <si>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</si>
  <si>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</si>
  <si>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</si>
  <si>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</si>
  <si>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</si>
  <si>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</si>
  <si>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</si>
  <si>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</si>
  <si>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</si>
  <si>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</si>
  <si>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</si>
  <si>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</si>
  <si>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</si>
  <si>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</si>
  <si>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</si>
  <si>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</si>
  <si>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</si>
  <si>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</si>
  <si>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</si>
  <si>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</si>
  <si>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</si>
  <si>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</si>
  <si>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</si>
  <si>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</si>
  <si>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</si>
  <si>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</si>
  <si>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</si>
  <si>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</si>
  <si>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</si>
  <si>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</si>
  <si>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</si>
  <si>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</si>
  <si>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</si>
  <si>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</si>
  <si>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</si>
  <si>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</si>
  <si>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</si>
  <si>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</si>
  <si>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</si>
  <si>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</si>
  <si>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</si>
  <si>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</si>
  <si>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</si>
  <si>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</si>
  <si>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</si>
  <si>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</si>
  <si>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</si>
  <si>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</si>
  <si>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</si>
  <si>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</si>
  <si>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</si>
  <si>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</si>
  <si>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</si>
  <si>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</si>
  <si>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</si>
  <si>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</si>
  <si>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</si>
  <si>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</si>
  <si>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</si>
  <si>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</si>
  <si>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</si>
  <si>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</si>
  <si>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</si>
  <si>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</si>
  <si>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</si>
  <si>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</si>
  <si>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</si>
  <si>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</si>
  <si>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</si>
  <si>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</si>
  <si>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</si>
  <si>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</si>
  <si>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</si>
  <si>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</si>
  <si>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</si>
  <si>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</si>
  <si>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</si>
  <si>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</si>
  <si>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</si>
  <si>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</si>
  <si>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</si>
  <si>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</si>
  <si>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</si>
  <si>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</si>
  <si>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</si>
  <si>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</si>
  <si>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</si>
  <si>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</si>
  <si>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</si>
  <si>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</si>
  <si>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</si>
  <si>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</si>
  <si>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</si>
  <si>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</si>
  <si>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</si>
  <si>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</si>
  <si>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</si>
  <si>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</si>
  <si>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</si>
  <si>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</si>
  <si>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</si>
  <si>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</si>
  <si>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</si>
  <si>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</si>
  <si>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</si>
  <si>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</si>
  <si>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</si>
  <si>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</si>
  <si>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</si>
  <si>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</si>
  <si>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</si>
  <si>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</si>
  <si>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</si>
  <si>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</si>
  <si>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</si>
  <si>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</si>
  <si>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</si>
  <si>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</si>
  <si>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</si>
  <si>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</si>
  <si>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</si>
  <si>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</si>
  <si>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</si>
  <si>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</si>
  <si>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</si>
  <si>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</si>
  <si>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</si>
  <si>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</si>
  <si>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</si>
  <si>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</si>
  <si>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</si>
  <si>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</si>
  <si>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</si>
  <si>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</si>
  <si>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</si>
  <si>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</si>
  <si>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</si>
  <si>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</si>
  <si>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</si>
  <si>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</si>
  <si>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</si>
  <si>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</si>
  <si>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</si>
  <si>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</si>
  <si>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</si>
  <si>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</si>
  <si>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</si>
  <si>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</si>
  <si>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</si>
  <si>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</si>
  <si>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</si>
  <si>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</si>
  <si>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</si>
  <si>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</si>
  <si>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</si>
  <si>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</si>
  <si>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</si>
  <si>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</si>
  <si>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</si>
  <si>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</si>
  <si>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</si>
  <si>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</si>
  <si>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</si>
  <si>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</si>
  <si>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</si>
  <si>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</si>
  <si>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</si>
  <si>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</si>
  <si>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</si>
  <si>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</si>
  <si>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</si>
  <si>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</si>
  <si>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</si>
  <si>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</si>
  <si>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</si>
  <si>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</si>
  <si>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</si>
  <si>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</si>
  <si>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</si>
  <si>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</si>
  <si>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</si>
  <si>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</si>
  <si>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</si>
  <si>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</si>
  <si>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</si>
  <si>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</si>
  <si>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</si>
  <si>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</si>
  <si>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</si>
  <si>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</si>
  <si>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</si>
  <si>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</si>
  <si>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</si>
  <si>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</si>
  <si>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</si>
  <si>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</si>
  <si>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</si>
  <si>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</si>
  <si>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</si>
  <si>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</si>
  <si>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</si>
  <si>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</si>
  <si>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</si>
  <si>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</si>
  <si>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</si>
  <si>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</si>
  <si>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</si>
  <si>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</si>
  <si>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</si>
  <si>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</si>
  <si>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</si>
  <si>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</si>
  <si>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</si>
  <si>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</si>
  <si>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</si>
  <si>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</si>
  <si>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</si>
  <si>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</si>
  <si>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</si>
  <si>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</si>
  <si>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</si>
  <si>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</si>
  <si>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</si>
  <si>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</si>
  <si>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</si>
  <si>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</si>
  <si>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</si>
  <si>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</si>
  <si>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</si>
  <si>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</si>
  <si>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</si>
  <si>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</si>
  <si>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</si>
  <si>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</si>
  <si>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</si>
  <si>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</si>
  <si>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</si>
  <si>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</si>
  <si>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</si>
  <si>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</si>
  <si>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</si>
  <si>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</si>
  <si>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</si>
  <si>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</si>
  <si>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</si>
  <si>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</si>
  <si>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</si>
  <si>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</si>
  <si>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</si>
  <si>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</si>
  <si>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</si>
  <si>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</si>
  <si>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</si>
  <si>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</si>
  <si>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</si>
  <si>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</si>
  <si>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</si>
  <si>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</si>
  <si>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</si>
  <si>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</si>
  <si>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</si>
  <si>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</si>
  <si>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</si>
  <si>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</si>
  <si>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</si>
  <si>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</si>
  <si>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</si>
  <si>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</si>
  <si>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</si>
  <si>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</si>
  <si>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</si>
  <si>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</si>
  <si>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</si>
  <si>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</si>
  <si>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</si>
  <si>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</si>
  <si>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</si>
  <si>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</si>
  <si>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</si>
  <si>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</si>
  <si>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</si>
  <si>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</si>
  <si>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</si>
  <si>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</si>
  <si>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</si>
  <si>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</si>
  <si>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</si>
  <si>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</si>
  <si>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</si>
  <si>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</si>
  <si>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</si>
  <si>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</si>
  <si>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</si>
  <si>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</si>
  <si>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</si>
  <si>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</si>
  <si>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</si>
  <si>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</si>
  <si>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</si>
  <si>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</si>
  <si>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</si>
  <si>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</si>
  <si>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</si>
  <si>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</si>
  <si>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</si>
  <si>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</si>
  <si>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</si>
  <si>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</si>
  <si>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</si>
  <si>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</si>
  <si>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</si>
  <si>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</si>
  <si>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</si>
  <si>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</si>
  <si>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</si>
  <si>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</si>
  <si>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</si>
  <si>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</si>
  <si>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</si>
  <si>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</si>
  <si>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</si>
  <si>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</si>
  <si>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</si>
  <si>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</si>
  <si>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</si>
  <si>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</si>
  <si>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</si>
  <si>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</si>
  <si>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</si>
  <si>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</si>
  <si>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</si>
  <si>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</si>
  <si>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</si>
  <si>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</si>
  <si>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</si>
  <si>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</si>
  <si>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</si>
  <si>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</si>
  <si>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</si>
  <si>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</si>
  <si>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</si>
  <si>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</si>
  <si>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</si>
  <si>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</si>
  <si>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</si>
  <si>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</si>
  <si>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</si>
  <si>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</si>
  <si>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</si>
  <si>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</si>
  <si>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</si>
  <si>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</si>
  <si>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</si>
  <si>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</si>
  <si>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</si>
  <si>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</si>
  <si>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</si>
  <si>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</si>
  <si>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</si>
  <si>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</si>
  <si>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</si>
  <si>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</si>
  <si>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</si>
  <si>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</si>
  <si>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</si>
  <si>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</si>
  <si>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</si>
  <si>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</si>
  <si>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</si>
  <si>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</si>
  <si>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</si>
  <si>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</si>
  <si>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</si>
  <si>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</si>
  <si>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</si>
  <si>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</si>
  <si>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</si>
  <si>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</si>
  <si>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</si>
  <si>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</si>
  <si>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</si>
  <si>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</si>
  <si>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</si>
  <si>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</si>
  <si>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</si>
  <si>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</si>
  <si>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</si>
  <si>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</si>
  <si>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</si>
  <si>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</si>
  <si>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</si>
  <si>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</si>
  <si>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</si>
  <si>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</si>
  <si>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</si>
  <si>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</si>
  <si>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</si>
  <si>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</si>
  <si>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</si>
  <si>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</si>
  <si>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</si>
  <si>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</si>
  <si>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</si>
  <si>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</si>
  <si>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</si>
  <si>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</si>
  <si>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</si>
  <si>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</si>
  <si>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</si>
  <si>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</si>
  <si>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</si>
  <si>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</si>
  <si>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</si>
  <si>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</si>
  <si>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</si>
  <si>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</si>
  <si>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</si>
  <si>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</si>
  <si>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</si>
  <si>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</si>
  <si>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</si>
  <si>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</si>
  <si>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</si>
  <si>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</si>
  <si>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</si>
  <si>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</si>
  <si>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</si>
  <si>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</si>
  <si>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</si>
  <si>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</si>
  <si>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</si>
  <si>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</si>
  <si>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</si>
  <si>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</si>
  <si>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</si>
  <si>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</si>
  <si>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</si>
  <si>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</si>
  <si>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</si>
  <si>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</si>
  <si>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</si>
  <si>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</si>
  <si>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</si>
  <si>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</si>
  <si>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</si>
  <si>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</si>
  <si>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</si>
  <si>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</si>
  <si>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</si>
  <si>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</si>
  <si>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</si>
  <si>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</si>
  <si>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</si>
  <si>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</si>
  <si>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</si>
  <si>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</si>
  <si>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</si>
  <si>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</si>
  <si>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</si>
  <si>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</si>
  <si>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</si>
  <si>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</si>
  <si>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</si>
  <si>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</si>
  <si>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</si>
  <si>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</si>
  <si>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</si>
  <si>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</si>
  <si>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</si>
  <si>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</si>
  <si>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</si>
  <si>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</si>
  <si>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</si>
  <si>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</si>
  <si>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</si>
  <si>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</si>
  <si>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</si>
  <si>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</si>
  <si>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</si>
  <si>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</si>
  <si>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</si>
  <si>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</si>
  <si>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</si>
  <si>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</si>
  <si>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</si>
  <si>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</si>
  <si>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</si>
  <si>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</si>
  <si>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</si>
  <si>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</si>
  <si>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</si>
  <si>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</si>
  <si>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</si>
  <si>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</si>
  <si>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</si>
  <si>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</si>
  <si>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</si>
  <si>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</si>
  <si>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</si>
  <si>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</si>
  <si>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</si>
  <si>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</si>
  <si>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</si>
  <si>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</si>
  <si>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</si>
  <si>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</si>
  <si>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</si>
  <si>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</si>
  <si>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</si>
  <si>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</si>
  <si>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</si>
  <si>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</si>
  <si>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</si>
  <si>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</si>
  <si>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</si>
  <si>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</si>
  <si>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</si>
  <si>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</si>
  <si>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</si>
  <si>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</si>
  <si>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</si>
  <si>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</si>
  <si>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</si>
  <si>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</si>
  <si>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</si>
  <si>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</si>
  <si>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</si>
  <si>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</si>
  <si>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</si>
  <si>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</si>
  <si>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</si>
  <si>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</si>
  <si>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</si>
  <si>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</si>
  <si>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</si>
  <si>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</si>
  <si>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</si>
  <si>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</si>
  <si>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</si>
  <si>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</si>
  <si>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</si>
  <si>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</si>
  <si>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</si>
  <si>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</si>
  <si>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</si>
  <si>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</si>
  <si>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</si>
  <si>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</si>
  <si>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</si>
  <si>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</si>
  <si>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</si>
  <si>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</si>
  <si>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</si>
  <si>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</si>
  <si>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</si>
  <si>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</si>
  <si>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</si>
  <si>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</si>
  <si>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</si>
  <si>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</si>
  <si>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</si>
  <si>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</si>
  <si>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</si>
  <si>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</si>
  <si>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</si>
  <si>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</si>
  <si>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</si>
  <si>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</si>
  <si>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</si>
  <si>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</si>
  <si>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</si>
  <si>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</si>
  <si>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</si>
  <si>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</si>
  <si>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</si>
  <si>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</si>
  <si>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</si>
  <si>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</si>
  <si>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</si>
  <si>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</si>
  <si>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</si>
  <si>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</si>
  <si>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</si>
  <si>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</si>
  <si>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</si>
  <si>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</si>
  <si>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</si>
  <si>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</si>
  <si>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</si>
  <si>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</si>
  <si>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</si>
  <si>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</si>
  <si>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</si>
  <si>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</si>
  <si>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</si>
  <si>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</si>
  <si>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</si>
  <si>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</si>
  <si>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</si>
  <si>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</si>
  <si>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</si>
  <si>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</si>
  <si>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</si>
  <si>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</si>
  <si>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</si>
  <si>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</si>
  <si>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</si>
  <si>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</si>
  <si>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</si>
  <si>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</si>
  <si>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</si>
  <si>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</si>
  <si>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</si>
  <si>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</si>
  <si>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</si>
  <si>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</si>
  <si>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</si>
  <si>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</si>
  <si>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</si>
  <si>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</si>
  <si>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</si>
  <si>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</si>
  <si>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</si>
  <si>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</si>
  <si>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</si>
  <si>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</si>
  <si>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</si>
  <si>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</si>
  <si>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</si>
  <si>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</si>
  <si>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</si>
  <si>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</si>
  <si>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</si>
  <si>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</si>
  <si>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</si>
  <si>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</si>
  <si>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</si>
  <si>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</si>
  <si>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</si>
  <si>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</si>
  <si>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</si>
  <si>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</si>
  <si>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</si>
  <si>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</si>
  <si>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</si>
  <si>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</si>
  <si>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</si>
  <si>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</si>
  <si>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</si>
  <si>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</si>
  <si>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</si>
  <si>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</si>
  <si>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</si>
  <si>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</si>
  <si>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</si>
  <si>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</si>
  <si>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</si>
  <si>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</si>
  <si>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</si>
  <si>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</si>
  <si>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</si>
  <si>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</si>
  <si>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</si>
  <si>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</si>
  <si>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</si>
  <si>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</si>
  <si>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</si>
  <si>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</si>
  <si>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</si>
  <si>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</si>
  <si>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</si>
  <si>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</si>
  <si>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</si>
  <si>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</si>
  <si>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</si>
  <si>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</si>
  <si>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</si>
  <si>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</si>
  <si>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</si>
  <si>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</si>
  <si>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</si>
  <si>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</si>
  <si>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</si>
  <si>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</si>
  <si>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</si>
  <si>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</si>
  <si>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</si>
  <si>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</si>
  <si>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</si>
  <si>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</si>
  <si>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</si>
  <si>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</si>
  <si>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</si>
  <si>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</si>
  <si>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</si>
  <si>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</si>
  <si>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</si>
  <si>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</si>
  <si>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</si>
  <si>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</si>
  <si>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</si>
  <si>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</si>
  <si>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</si>
  <si>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</si>
  <si>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</si>
  <si>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</si>
  <si>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</si>
  <si>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</si>
  <si>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</si>
  <si>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</si>
  <si>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</si>
  <si>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</si>
  <si>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</si>
  <si>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</si>
  <si>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</si>
  <si>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</si>
  <si>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</si>
  <si>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</si>
  <si>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</si>
  <si>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</si>
  <si>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</si>
  <si>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</si>
  <si>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</si>
  <si>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</si>
  <si>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</si>
  <si>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</si>
  <si>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</si>
  <si>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</si>
  <si>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</si>
  <si>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</si>
  <si>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</si>
  <si>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</si>
  <si>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</si>
  <si>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</si>
  <si>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</si>
  <si>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</si>
  <si>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</si>
  <si>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</si>
  <si>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</si>
  <si>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</si>
  <si>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</si>
  <si>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</si>
  <si>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</si>
  <si>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</si>
  <si>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</si>
  <si>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</si>
  <si>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</si>
  <si>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</si>
  <si>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</si>
  <si>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</si>
  <si>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</si>
  <si>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</si>
  <si>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</si>
  <si>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</si>
  <si>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</si>
  <si>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</si>
  <si>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</si>
  <si>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</si>
  <si>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</si>
  <si>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</si>
  <si>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</si>
  <si>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</si>
  <si>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</si>
  <si>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</si>
  <si>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</si>
  <si>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</si>
  <si>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</si>
  <si>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</si>
  <si>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</si>
  <si>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</si>
  <si>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</si>
  <si>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</si>
  <si>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</si>
  <si>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</si>
  <si>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</si>
  <si>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</si>
  <si>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</si>
  <si>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</si>
  <si>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</si>
  <si>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</si>
  <si>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</si>
  <si>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</si>
  <si>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</si>
  <si>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</si>
  <si>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</si>
  <si>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</si>
  <si>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</si>
  <si>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</si>
  <si>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</si>
  <si>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</si>
  <si>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</si>
  <si>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</si>
  <si>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</si>
  <si>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</si>
  <si>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</si>
  <si>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</si>
  <si>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</si>
  <si>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</si>
  <si>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</si>
  <si>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</si>
  <si>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</si>
  <si>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</si>
  <si>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</si>
  <si>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</si>
  <si>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</si>
  <si>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</si>
  <si>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</si>
  <si>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</si>
  <si>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</si>
  <si>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</si>
  <si>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</si>
  <si>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</si>
  <si>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</si>
  <si>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</si>
  <si>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</si>
  <si>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</si>
  <si>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</si>
  <si>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</si>
  <si>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</si>
  <si>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</si>
  <si>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</si>
  <si>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</si>
  <si>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</si>
  <si>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</si>
  <si>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</si>
  <si>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</si>
  <si>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</si>
  <si>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</si>
  <si>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</si>
  <si>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</si>
  <si>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</si>
  <si>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</si>
  <si>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</si>
  <si>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</si>
  <si>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</si>
  <si>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</si>
  <si>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</si>
  <si>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</si>
  <si>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</si>
  <si>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</si>
  <si>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</si>
  <si>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</si>
  <si>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</si>
  <si>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</si>
  <si>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</si>
  <si>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</si>
  <si>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</si>
  <si>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</si>
  <si>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</si>
  <si>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</si>
  <si>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</si>
  <si>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</si>
  <si>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</si>
  <si>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</si>
  <si>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</si>
  <si>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</si>
  <si>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</si>
  <si>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</si>
  <si>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</si>
  <si>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</si>
  <si>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</si>
  <si>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</si>
  <si>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</si>
  <si>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</si>
  <si>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</si>
  <si>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</si>
  <si>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</si>
  <si>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</si>
  <si>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</si>
  <si>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</si>
  <si>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</si>
  <si>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</si>
  <si>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</si>
  <si>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</si>
  <si>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</si>
  <si>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</si>
  <si>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</si>
  <si>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</si>
  <si>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</si>
  <si>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</si>
  <si>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</si>
  <si>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</si>
  <si>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</si>
  <si>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</si>
  <si>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</si>
  <si>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</si>
  <si>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</si>
  <si>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</si>
  <si>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</si>
  <si>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</si>
  <si>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</si>
  <si>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</si>
  <si>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</si>
  <si>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</si>
  <si>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</si>
  <si>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</si>
  <si>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</si>
  <si>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</si>
  <si>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</si>
  <si>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</si>
  <si>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</si>
  <si>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</si>
  <si>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</si>
  <si>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</si>
  <si>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</si>
  <si>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</si>
  <si>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</si>
  <si>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</si>
  <si>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</si>
  <si>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</si>
  <si>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</si>
  <si>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</si>
  <si>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</si>
  <si>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</si>
  <si>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</si>
  <si>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</si>
  <si>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</si>
  <si>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</si>
  <si>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</si>
  <si>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</si>
  <si>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</si>
  <si>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</si>
  <si>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</si>
  <si>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</si>
  <si>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</si>
  <si>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</si>
  <si>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</si>
  <si>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</si>
  <si>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</si>
  <si>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</si>
  <si>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</si>
  <si>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</si>
  <si>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</si>
  <si>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</si>
  <si>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</si>
  <si>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</si>
  <si>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</si>
  <si>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</si>
  <si>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</si>
  <si>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</si>
  <si>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</si>
  <si>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</si>
  <si>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</si>
  <si>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</si>
  <si>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</si>
  <si>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</si>
  <si>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</si>
  <si>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</si>
  <si>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</si>
  <si>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</si>
  <si>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</si>
  <si>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</si>
  <si>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</si>
  <si>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</si>
  <si>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</si>
  <si>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</si>
  <si>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</si>
  <si>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</si>
  <si>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</si>
  <si>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</si>
  <si>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</si>
  <si>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</si>
  <si>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</si>
  <si>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</si>
  <si>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</si>
  <si>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</si>
  <si>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</si>
  <si>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</si>
  <si>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</si>
  <si>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</si>
  <si>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</si>
  <si>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</si>
  <si>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</si>
  <si>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</si>
  <si>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</si>
  <si>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</si>
  <si>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</si>
  <si>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</si>
  <si>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</si>
  <si>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</si>
  <si>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</si>
  <si>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</si>
  <si>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</si>
  <si>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</si>
  <si>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</si>
  <si>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</si>
  <si>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</si>
  <si>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</si>
  <si>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</si>
  <si>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</si>
  <si>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</si>
  <si>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</si>
  <si>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</si>
  <si>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</si>
  <si>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</si>
  <si>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</si>
  <si>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</si>
  <si>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</si>
  <si>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</si>
  <si>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</si>
  <si>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</si>
  <si>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</si>
  <si>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</si>
  <si>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</si>
  <si>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</si>
  <si>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</si>
  <si>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</si>
  <si>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</si>
  <si>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</si>
  <si>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</si>
  <si>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</si>
  <si>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</si>
  <si>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</si>
  <si>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</si>
  <si>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</si>
  <si>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</si>
  <si>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</si>
  <si>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</si>
  <si>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</si>
  <si>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</si>
  <si>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</si>
  <si>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</si>
  <si>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</si>
  <si>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</si>
  <si>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</si>
  <si>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</si>
  <si>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</si>
  <si>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</si>
  <si>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</si>
  <si>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</si>
  <si>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</si>
  <si>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</si>
  <si>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</si>
  <si>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</si>
  <si>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</si>
  <si>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</si>
  <si>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</si>
  <si>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</si>
  <si>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</si>
  <si>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</si>
  <si>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</si>
  <si>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</si>
  <si>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</si>
  <si>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</si>
  <si>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</si>
  <si>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</si>
  <si>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</si>
  <si>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</si>
  <si>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</si>
  <si>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</si>
  <si>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</si>
  <si>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</si>
  <si>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</si>
  <si>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</si>
  <si>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</si>
  <si>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</si>
  <si>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</si>
  <si>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</si>
  <si>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</si>
  <si>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</si>
  <si>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</si>
  <si>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</si>
  <si>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</si>
  <si>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</si>
  <si>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</si>
  <si>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</si>
  <si>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</si>
  <si>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</si>
  <si>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</si>
  <si>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</si>
  <si>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</si>
  <si>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</si>
  <si>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</si>
  <si>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</si>
  <si>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</si>
  <si>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</si>
  <si>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</si>
  <si>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</si>
  <si>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</si>
  <si>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</si>
  <si>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</si>
  <si>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</si>
  <si>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</si>
  <si>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</si>
  <si>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</si>
  <si>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</si>
  <si>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</si>
  <si>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</si>
  <si>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</si>
  <si>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</si>
  <si>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</si>
  <si>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</si>
  <si>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</si>
  <si>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</si>
  <si>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</si>
  <si>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</si>
  <si>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</si>
  <si>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</si>
  <si>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</si>
  <si>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</si>
  <si>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</si>
  <si>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</si>
  <si>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</si>
  <si>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</si>
  <si>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</si>
  <si>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</si>
  <si>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</si>
  <si>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</si>
  <si>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</si>
  <si>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</si>
  <si>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</si>
  <si>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</si>
  <si>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</si>
  <si>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</si>
  <si>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</si>
  <si>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</si>
  <si>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</si>
  <si>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</si>
  <si>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</si>
  <si>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</si>
  <si>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</si>
  <si>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</si>
  <si>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</si>
  <si>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</si>
  <si>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</si>
  <si>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</si>
  <si>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</si>
  <si>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</si>
  <si>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</si>
  <si>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</si>
  <si>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</si>
  <si>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</si>
  <si>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</si>
  <si>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</si>
  <si>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</si>
  <si>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</si>
  <si>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</si>
  <si>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</si>
  <si>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</si>
  <si>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</si>
  <si>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</si>
  <si>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</si>
  <si>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</si>
  <si>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</si>
  <si>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</si>
  <si>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</si>
  <si>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</si>
  <si>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</si>
  <si>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</si>
  <si>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</si>
  <si>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</si>
  <si>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</si>
  <si>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</si>
  <si>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</si>
  <si>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</si>
  <si>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</si>
  <si>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</si>
  <si>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</si>
  <si>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</si>
  <si>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</si>
  <si>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</si>
  <si>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</si>
  <si>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</si>
  <si>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</si>
  <si>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</si>
  <si>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</si>
  <si>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</si>
  <si>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</si>
  <si>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</si>
  <si>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</si>
  <si>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</si>
  <si>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</si>
  <si>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</si>
  <si>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</si>
  <si>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</si>
  <si>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</si>
  <si>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</si>
  <si>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</si>
  <si>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</si>
  <si>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</si>
  <si>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</si>
  <si>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</si>
  <si>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</si>
  <si>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</si>
  <si>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</si>
  <si>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</si>
  <si>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</si>
  <si>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</si>
  <si>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</si>
  <si>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</si>
  <si>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</si>
  <si>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</si>
  <si>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</si>
  <si>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</si>
  <si>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</si>
  <si>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</si>
  <si>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</si>
  <si>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</si>
  <si>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</si>
  <si>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</si>
  <si>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</si>
  <si>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</si>
  <si>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</si>
  <si>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</si>
  <si>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</si>
  <si>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</si>
  <si>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</si>
  <si>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</si>
  <si>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</si>
  <si>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</si>
  <si>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</si>
  <si>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</si>
  <si>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</si>
  <si>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</si>
  <si>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</si>
  <si>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</si>
  <si>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</si>
  <si>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</si>
  <si>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</si>
  <si>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</si>
  <si>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</si>
  <si>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</si>
  <si>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</si>
  <si>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</si>
  <si>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</si>
  <si>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</si>
  <si>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</si>
  <si>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</si>
  <si>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</si>
  <si>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</si>
  <si>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</si>
  <si>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</si>
  <si>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</si>
  <si>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</si>
  <si>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</si>
  <si>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</si>
  <si>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</si>
  <si>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</si>
  <si>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</si>
  <si>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</si>
  <si>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</si>
  <si>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</si>
  <si>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</si>
  <si>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</si>
  <si>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</si>
  <si>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</si>
  <si>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</si>
  <si>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</si>
  <si>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</si>
  <si>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</si>
  <si>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</si>
  <si>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</si>
  <si>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</si>
  <si>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</si>
  <si>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</si>
  <si>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</si>
  <si>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</si>
  <si>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</si>
  <si>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</si>
  <si>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</si>
  <si>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</si>
  <si>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</si>
  <si>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</si>
  <si>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</si>
  <si>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</si>
  <si>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</si>
  <si>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</si>
  <si>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</si>
  <si>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</si>
  <si>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</si>
  <si>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</si>
  <si>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</si>
  <si>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</si>
  <si>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</si>
  <si>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</si>
  <si>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</si>
  <si>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</si>
  <si>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</si>
  <si>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</si>
  <si>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</si>
  <si>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</si>
  <si>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</si>
  <si>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</si>
  <si>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</si>
  <si>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</si>
  <si>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</si>
  <si>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</si>
  <si>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</si>
  <si>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</si>
  <si>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</si>
  <si>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</si>
  <si>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</si>
  <si>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</si>
  <si>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</si>
  <si>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</si>
  <si>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</si>
  <si>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</si>
  <si>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</si>
  <si>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</si>
  <si>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</si>
  <si>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</si>
  <si>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</si>
  <si>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</si>
  <si>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</si>
  <si>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</si>
  <si>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</si>
  <si>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</si>
  <si>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</si>
  <si>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</si>
  <si>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</si>
  <si>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</si>
  <si>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</si>
  <si>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</si>
  <si>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</si>
  <si>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</si>
  <si>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</si>
  <si>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</si>
  <si>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</si>
  <si>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</si>
  <si>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</si>
  <si>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</si>
  <si>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</si>
  <si>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</si>
  <si>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</si>
  <si>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</si>
  <si>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</si>
  <si>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</si>
  <si>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</si>
  <si>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</si>
  <si>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</si>
  <si>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</si>
  <si>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</si>
  <si>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</si>
  <si>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</si>
  <si>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</si>
  <si>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</si>
  <si>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</si>
  <si>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</si>
  <si>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</si>
  <si>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</si>
  <si>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</si>
  <si>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</si>
  <si>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</si>
  <si>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</si>
  <si>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</si>
  <si>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</si>
  <si>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</si>
  <si>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</si>
  <si>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</si>
  <si>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</si>
  <si>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</si>
  <si>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</si>
  <si>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</si>
  <si>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</si>
  <si>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</si>
  <si>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</si>
  <si>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</si>
  <si>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</si>
  <si>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</si>
  <si>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</si>
  <si>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</si>
  <si>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</si>
  <si>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</si>
  <si>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</si>
  <si>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</si>
  <si>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</si>
  <si>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</si>
  <si>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</si>
  <si>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</si>
  <si>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</si>
  <si>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</si>
  <si>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</si>
  <si>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</si>
  <si>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</si>
  <si>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</si>
  <si>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</si>
  <si>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</si>
  <si>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</si>
  <si>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</si>
  <si>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</si>
  <si>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</si>
  <si>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</si>
  <si>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</si>
  <si>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</si>
  <si>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</si>
  <si>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</si>
  <si>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</si>
  <si>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</si>
  <si>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</si>
  <si>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</si>
  <si>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</si>
  <si>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</si>
  <si>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</si>
  <si>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</si>
  <si>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</si>
  <si>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</si>
  <si>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</si>
  <si>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</si>
  <si>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</si>
  <si>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</si>
  <si>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</si>
  <si>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</si>
  <si>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</si>
  <si>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</si>
  <si>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</si>
  <si>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</si>
  <si>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</si>
  <si>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</si>
  <si>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</si>
  <si>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</si>
  <si>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</si>
  <si>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</si>
  <si>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</si>
  <si>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</si>
  <si>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</si>
  <si>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</si>
  <si>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</si>
  <si>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</si>
  <si>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</si>
  <si>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</si>
  <si>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</si>
  <si>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</si>
  <si>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</si>
  <si>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</si>
  <si>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</si>
  <si>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</si>
  <si>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</si>
  <si>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</si>
  <si>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</si>
  <si>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</si>
  <si>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</si>
  <si>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</si>
  <si>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</si>
  <si>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</si>
  <si>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</si>
  <si>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</si>
  <si>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</si>
  <si>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</si>
  <si>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</si>
  <si>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</si>
  <si>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</si>
  <si>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</si>
  <si>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</si>
  <si>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</si>
  <si>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</si>
  <si>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</si>
  <si>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</si>
  <si>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</si>
  <si>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</si>
  <si>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</si>
  <si>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</si>
  <si>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</si>
  <si>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</si>
  <si>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</si>
  <si>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</si>
  <si>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</si>
  <si>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</si>
  <si>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</si>
  <si>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</si>
  <si>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</si>
  <si>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</si>
  <si>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</si>
  <si>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</si>
  <si>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</si>
  <si>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</si>
  <si>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</si>
  <si>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</si>
  <si>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</si>
  <si>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</si>
  <si>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</si>
  <si>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</si>
  <si>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</si>
  <si>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</si>
  <si>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</si>
  <si>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</si>
  <si>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</si>
  <si>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</si>
  <si>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</si>
  <si>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</si>
  <si>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</si>
  <si>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</si>
  <si>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</si>
  <si>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</si>
  <si>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</si>
  <si>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</si>
  <si>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</si>
  <si>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</si>
  <si>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</si>
  <si>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</si>
  <si>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</si>
  <si>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</si>
  <si>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</si>
  <si>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</si>
  <si>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</si>
  <si>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</si>
  <si>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</si>
  <si>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</si>
  <si>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</si>
  <si>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</si>
  <si>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</si>
  <si>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</si>
  <si>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</si>
  <si>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</si>
  <si>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</si>
  <si>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</si>
  <si>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</si>
  <si>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</si>
  <si>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</si>
  <si>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</si>
  <si>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</si>
  <si>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</si>
  <si>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</si>
  <si>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</si>
  <si>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</si>
  <si>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</si>
  <si>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</si>
  <si>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</si>
  <si>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</si>
  <si>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</si>
  <si>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</si>
  <si>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</si>
  <si>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</si>
  <si>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</si>
  <si>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</si>
  <si>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</si>
  <si>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</si>
  <si>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</si>
  <si>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</si>
  <si>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</si>
  <si>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</si>
  <si>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</si>
  <si>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</si>
  <si>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</si>
  <si>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</si>
  <si>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</si>
  <si>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</si>
  <si>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</si>
  <si>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</si>
  <si>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</si>
  <si>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</si>
  <si>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</si>
  <si>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</si>
  <si>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</si>
  <si>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</si>
  <si>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</si>
  <si>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</si>
  <si>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</si>
  <si>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</si>
  <si>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</si>
  <si>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</si>
  <si>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</si>
  <si>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</si>
  <si>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</si>
  <si>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</si>
  <si>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</si>
  <si>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</si>
  <si>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</si>
  <si>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</si>
  <si>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</si>
  <si>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</si>
  <si>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</si>
  <si>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</si>
  <si>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</si>
  <si>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</si>
  <si>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</si>
  <si>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</si>
  <si>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</si>
  <si>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</si>
  <si>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</si>
  <si>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</si>
  <si>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</si>
  <si>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</si>
  <si>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</si>
  <si>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</si>
  <si>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</si>
  <si>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</si>
  <si>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</si>
  <si>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</si>
  <si>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</si>
  <si>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</si>
  <si>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</si>
  <si>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</si>
  <si>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</si>
  <si>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</si>
  <si>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</si>
  <si>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</si>
  <si>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</si>
  <si>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</si>
  <si>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</si>
  <si>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</si>
  <si>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</si>
  <si>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</si>
  <si>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</si>
  <si>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</si>
  <si>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</si>
  <si>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</si>
  <si>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</si>
  <si>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</si>
  <si>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</si>
  <si>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</si>
  <si>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</si>
  <si>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</si>
  <si>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</si>
  <si>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</si>
  <si>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</si>
  <si>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</si>
  <si>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</si>
  <si>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</si>
  <si>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</si>
  <si>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</si>
  <si>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</si>
  <si>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</si>
  <si>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</si>
  <si>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</si>
  <si>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</si>
  <si>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</si>
  <si>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</si>
  <si>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</si>
  <si>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</si>
  <si>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</si>
  <si>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</si>
  <si>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</si>
  <si>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</si>
  <si>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</si>
  <si>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</si>
  <si>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</si>
  <si>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</si>
  <si>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</si>
  <si>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</si>
  <si>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</si>
  <si>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</si>
  <si>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</si>
  <si>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</si>
  <si>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</si>
  <si>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</si>
  <si>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</si>
  <si>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</si>
  <si>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</si>
  <si>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</si>
  <si>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</si>
  <si>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</si>
  <si>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</si>
  <si>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</si>
  <si>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</si>
  <si>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</si>
  <si>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</si>
  <si>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</si>
  <si>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</si>
  <si>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</si>
  <si>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</si>
  <si>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</si>
  <si>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</si>
  <si>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</si>
  <si>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</si>
  <si>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</si>
  <si>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</si>
  <si>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</si>
  <si>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</si>
  <si>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</si>
  <si>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</si>
  <si>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</si>
  <si>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</si>
  <si>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</si>
  <si>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</si>
  <si>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</si>
  <si>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</si>
  <si>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</si>
  <si>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</si>
  <si>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</si>
  <si>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</si>
  <si>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</si>
  <si>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</si>
  <si>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</si>
  <si>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</si>
  <si>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</si>
  <si>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</si>
  <si>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</si>
  <si>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</si>
  <si>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</si>
  <si>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</si>
  <si>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</si>
  <si>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</si>
  <si>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</si>
  <si>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</si>
  <si>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</si>
  <si>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</si>
  <si>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</si>
  <si>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</si>
  <si>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</si>
  <si>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</si>
  <si>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</si>
  <si>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</si>
  <si>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</si>
  <si>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</si>
  <si>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</si>
  <si>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</si>
  <si>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</si>
  <si>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</si>
  <si>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</si>
  <si>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</si>
  <si>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</si>
  <si>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</si>
  <si>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</si>
  <si>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</si>
  <si>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</si>
  <si>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</si>
  <si>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</si>
  <si>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</si>
  <si>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</si>
  <si>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</si>
  <si>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</si>
  <si>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</si>
  <si>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</si>
  <si>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</si>
  <si>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</si>
  <si>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</si>
  <si>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</si>
  <si>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</si>
  <si>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</si>
  <si>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</si>
  <si>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</si>
  <si>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</si>
  <si>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</si>
  <si>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</si>
  <si>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</si>
  <si>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</si>
  <si>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</si>
  <si>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</si>
  <si>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</si>
  <si>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</si>
  <si>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</si>
  <si>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</si>
  <si>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</si>
  <si>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</si>
  <si>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</si>
  <si>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</si>
  <si>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</si>
  <si>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</si>
  <si>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</si>
  <si>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</si>
  <si>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</si>
  <si>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</si>
  <si>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</si>
  <si>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</si>
  <si>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</si>
  <si>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</si>
  <si>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</si>
  <si>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</si>
  <si>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</si>
  <si>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</si>
  <si>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</si>
  <si>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</si>
  <si>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</si>
  <si>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</si>
  <si>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</si>
  <si>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</si>
  <si>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</si>
  <si>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</si>
  <si>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</si>
  <si>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</si>
  <si>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</si>
  <si>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</si>
  <si>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</si>
  <si>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</si>
  <si>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</si>
  <si>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</si>
  <si>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</si>
  <si>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</si>
  <si>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</si>
  <si>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</si>
  <si>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</si>
  <si>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</si>
  <si>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</si>
  <si>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</si>
  <si>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</si>
  <si>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</si>
  <si>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</si>
  <si>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</si>
  <si>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</si>
  <si>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</si>
  <si>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</si>
  <si>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</si>
  <si>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</si>
  <si>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</si>
  <si>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</si>
  <si>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</si>
  <si>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</si>
  <si>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</si>
  <si>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</si>
  <si>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</si>
  <si>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</si>
  <si>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</si>
  <si>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</si>
  <si>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</si>
  <si>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</si>
  <si>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</si>
  <si>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</si>
  <si>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</si>
  <si>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</si>
  <si>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</si>
  <si>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</si>
  <si>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</si>
  <si>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</si>
  <si>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</si>
  <si>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</si>
  <si>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</si>
  <si>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</si>
  <si>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</si>
  <si>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</si>
  <si>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</si>
  <si>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</si>
  <si>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</si>
  <si>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</si>
  <si>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</si>
  <si>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</si>
  <si>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</si>
  <si>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</si>
  <si>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</si>
  <si>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</si>
  <si>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</si>
  <si>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</si>
  <si>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</si>
  <si>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</si>
  <si>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</si>
  <si>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</si>
  <si>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</si>
  <si>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</si>
  <si>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</si>
  <si>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</si>
  <si>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</si>
  <si>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</si>
  <si>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</si>
  <si>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</si>
  <si>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</si>
  <si>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</si>
  <si>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</si>
  <si>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</si>
  <si>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</si>
  <si>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</si>
  <si>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</si>
  <si>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</si>
  <si>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</si>
  <si>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</si>
  <si>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</si>
  <si>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</si>
  <si>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</si>
  <si>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</si>
  <si>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</si>
  <si>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</si>
  <si>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</si>
  <si>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</si>
  <si>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</si>
  <si>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</si>
  <si>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</si>
  <si>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</si>
  <si>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</si>
  <si>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</si>
  <si>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</si>
  <si>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</si>
  <si>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</si>
  <si>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</si>
  <si>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</si>
  <si>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</si>
  <si>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</si>
  <si>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</si>
  <si>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</si>
  <si>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</si>
  <si>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</si>
  <si>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</si>
  <si>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</si>
  <si>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</si>
  <si>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</si>
  <si>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</si>
  <si>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</si>
  <si>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</si>
  <si>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</si>
  <si>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</si>
  <si>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</si>
  <si>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</si>
  <si>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</si>
  <si>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</si>
  <si>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</si>
  <si>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</si>
  <si>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</si>
  <si>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</si>
  <si>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</si>
  <si>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</si>
  <si>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</si>
  <si>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</si>
  <si>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</si>
  <si>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</si>
  <si>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</si>
  <si>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</si>
  <si>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</si>
  <si>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</si>
  <si>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</si>
  <si>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</si>
  <si>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</si>
  <si>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</si>
  <si>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</si>
  <si>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</si>
  <si>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</si>
  <si>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</si>
  <si>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</si>
  <si>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</si>
  <si>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</si>
  <si>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</si>
  <si>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</si>
  <si>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</si>
  <si>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</si>
  <si>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</si>
  <si>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</si>
  <si>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</si>
  <si>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</si>
  <si>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</si>
  <si>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</si>
  <si>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</si>
  <si>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</si>
  <si>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</si>
  <si>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</si>
  <si>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</si>
  <si>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</si>
  <si>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</si>
  <si>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</si>
  <si>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</si>
  <si>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</si>
  <si>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</si>
  <si>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</si>
  <si>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</si>
  <si>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</si>
  <si>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</si>
  <si>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</si>
  <si>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</si>
  <si>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</si>
  <si>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</si>
  <si>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</si>
  <si>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</si>
  <si>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</si>
  <si>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</si>
  <si>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</si>
  <si>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</si>
  <si>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</si>
  <si>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</si>
  <si>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</si>
  <si>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</si>
  <si>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</si>
  <si>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</si>
  <si>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</si>
  <si>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</si>
  <si>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</si>
  <si>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</si>
  <si>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</si>
  <si>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</si>
  <si>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</si>
  <si>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</si>
  <si>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</si>
  <si>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</si>
  <si>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</si>
  <si>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</si>
  <si>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</si>
  <si>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</si>
  <si>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</si>
  <si>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</si>
  <si>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</si>
  <si>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</si>
  <si>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</si>
  <si>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</si>
  <si>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</si>
  <si>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</si>
  <si>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</si>
  <si>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</si>
  <si>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</si>
  <si>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</si>
  <si>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</si>
  <si>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</si>
  <si>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</si>
  <si>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</si>
  <si>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</si>
  <si>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</si>
  <si>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</si>
  <si>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</si>
  <si>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</si>
  <si>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</si>
  <si>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</si>
  <si>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</si>
  <si>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</si>
  <si>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</si>
  <si>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</si>
  <si>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</si>
  <si>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</si>
  <si>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</si>
  <si>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</si>
  <si>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</si>
  <si>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</si>
  <si>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</si>
  <si>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</si>
  <si>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</si>
  <si>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</si>
  <si>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</si>
  <si>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</si>
  <si>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</si>
  <si>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</si>
  <si>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</si>
  <si>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</si>
  <si>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</si>
  <si>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</si>
  <si>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</si>
  <si>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</si>
  <si>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</si>
  <si>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</si>
  <si>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</si>
  <si>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</si>
  <si>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</si>
  <si>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</si>
  <si>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</si>
  <si>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</si>
  <si>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</si>
  <si>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</si>
  <si>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</si>
  <si>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</si>
  <si>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</si>
  <si>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</si>
  <si>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</si>
  <si>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</si>
  <si>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</si>
  <si>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</si>
  <si>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</si>
  <si>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</si>
  <si>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</si>
  <si>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</si>
  <si>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</si>
  <si>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</si>
  <si>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</si>
  <si>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</si>
  <si>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</si>
  <si>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</si>
  <si>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</si>
  <si>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</si>
  <si>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</si>
  <si>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</si>
  <si>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</si>
  <si>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</si>
  <si>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</si>
  <si>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</si>
  <si>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</si>
  <si>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</si>
  <si>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</si>
  <si>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</si>
  <si>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</si>
  <si>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</si>
  <si>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</si>
  <si>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</si>
  <si>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</si>
  <si>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</si>
  <si>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</si>
  <si>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</si>
  <si>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</si>
  <si>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</si>
  <si>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</si>
  <si>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</si>
  <si>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</si>
  <si>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</si>
  <si>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</si>
  <si>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</si>
  <si>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</si>
  <si>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</si>
  <si>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</si>
  <si>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</si>
  <si>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</si>
  <si>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</si>
  <si>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</si>
  <si>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</si>
  <si>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</si>
  <si>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</si>
  <si>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</si>
  <si>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</si>
  <si>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</si>
  <si>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</si>
  <si>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</si>
  <si>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</si>
  <si>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</si>
  <si>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</si>
  <si>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</si>
  <si>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</si>
  <si>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</si>
  <si>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</si>
  <si>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</si>
  <si>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</si>
  <si>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</si>
  <si>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</si>
  <si>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</si>
  <si>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</si>
  <si>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</si>
  <si>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</si>
  <si>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</si>
  <si>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</si>
  <si>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</si>
  <si>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</si>
  <si>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</si>
  <si>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</si>
  <si>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</si>
  <si>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</si>
  <si>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</si>
  <si>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</si>
  <si>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</si>
  <si>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</si>
  <si>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</si>
  <si>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</si>
  <si>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</si>
  <si>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</si>
  <si>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</si>
  <si>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</si>
  <si>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</si>
  <si>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</si>
  <si>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</si>
  <si>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</si>
  <si>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</si>
  <si>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</si>
  <si>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</si>
  <si>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</si>
  <si>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</si>
  <si>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</si>
  <si>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</si>
  <si>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</si>
  <si>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</si>
  <si>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</si>
  <si>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</si>
  <si>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</si>
  <si>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</si>
  <si>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</si>
  <si>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</si>
  <si>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</si>
  <si>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</si>
  <si>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</si>
  <si>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</si>
  <si>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</si>
  <si>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</si>
  <si>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</si>
  <si>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</si>
  <si>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</si>
  <si>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</si>
  <si>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</si>
  <si>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</si>
  <si>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</si>
  <si>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</si>
  <si>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</si>
  <si>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</si>
  <si>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</si>
  <si>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</si>
  <si>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</si>
  <si>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</si>
  <si>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</si>
  <si>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</si>
  <si>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</si>
  <si>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</si>
  <si>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</si>
  <si>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</si>
  <si>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</si>
  <si>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</si>
  <si>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</si>
  <si>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</si>
  <si>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</si>
  <si>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</si>
  <si>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</si>
  <si>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</si>
  <si>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</si>
  <si>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</si>
  <si>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</si>
  <si>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</si>
  <si>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</si>
  <si>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</si>
  <si>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</si>
  <si>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</si>
  <si>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</si>
  <si>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</si>
  <si>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</si>
  <si>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</si>
  <si>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</si>
  <si>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</si>
  <si>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</si>
  <si>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</si>
  <si>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</si>
  <si>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</si>
  <si>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</si>
  <si>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</si>
  <si>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</si>
  <si>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</si>
  <si>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</si>
  <si>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</si>
  <si>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</si>
  <si>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</si>
  <si>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</si>
  <si>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</si>
  <si>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</si>
  <si>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</si>
  <si>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</si>
  <si>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</si>
  <si>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</si>
  <si>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</si>
  <si>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</si>
  <si>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</si>
  <si>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</si>
  <si>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</si>
  <si>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</si>
  <si>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</si>
  <si>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</si>
  <si>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</si>
  <si>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</si>
  <si>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</si>
  <si>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</si>
  <si>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</si>
  <si>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</si>
  <si>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</si>
  <si>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</si>
  <si>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</si>
  <si>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</si>
  <si>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</si>
  <si>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</si>
  <si>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</si>
  <si>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</si>
  <si>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</si>
  <si>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</si>
  <si>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</si>
  <si>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</si>
  <si>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</si>
  <si>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</si>
  <si>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</si>
  <si>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</si>
  <si>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</si>
  <si>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</si>
  <si>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</si>
  <si>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</si>
  <si>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</si>
  <si>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</si>
  <si>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</si>
  <si>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</si>
  <si>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</si>
  <si>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</si>
  <si>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</si>
  <si>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</si>
  <si>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</si>
  <si>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</si>
  <si>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</si>
  <si>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</si>
  <si>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</si>
  <si>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</si>
  <si>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</si>
  <si>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</si>
  <si>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</si>
  <si>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</si>
  <si>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</si>
  <si>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</si>
  <si>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</si>
  <si>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</si>
  <si>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</si>
  <si>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</si>
  <si>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</si>
  <si>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</si>
  <si>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</si>
  <si>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</si>
  <si>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</si>
  <si>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</si>
  <si>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</si>
  <si>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</si>
  <si>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</si>
  <si>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</si>
  <si>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</si>
  <si>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</si>
  <si>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</si>
  <si>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</si>
  <si>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</si>
  <si>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</si>
  <si>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</si>
  <si>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</si>
  <si>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</si>
  <si>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</si>
  <si>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</si>
  <si>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</si>
  <si>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</si>
  <si>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</si>
  <si>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</si>
  <si>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</si>
  <si>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</si>
  <si>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</si>
  <si>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</si>
  <si>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</si>
  <si>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</si>
  <si>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</si>
  <si>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</si>
  <si>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</si>
  <si>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</si>
  <si>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</si>
  <si>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</si>
  <si>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</si>
  <si>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</si>
  <si>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</si>
  <si>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</si>
  <si>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</si>
  <si>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</si>
  <si>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</si>
  <si>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</si>
  <si>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</si>
  <si>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</si>
  <si>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</si>
  <si>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</si>
  <si>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</si>
  <si>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</si>
  <si>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</si>
  <si>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</si>
  <si>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</si>
  <si>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</si>
  <si>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</si>
  <si>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</si>
  <si>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</si>
  <si>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</si>
  <si>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</si>
  <si>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</si>
  <si>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</si>
  <si>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</si>
  <si>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</si>
  <si>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</si>
  <si>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</si>
  <si>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</si>
  <si>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</si>
  <si>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</si>
  <si>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</si>
  <si>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</si>
  <si>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</si>
  <si>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</si>
  <si>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</si>
  <si>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</si>
  <si>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</si>
  <si>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</si>
  <si>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</si>
  <si>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</si>
  <si>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</si>
  <si>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</si>
  <si>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</si>
  <si>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</si>
  <si>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</si>
  <si>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</si>
  <si>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</si>
  <si>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</si>
  <si>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</si>
  <si>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</si>
  <si>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</si>
  <si>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</si>
  <si>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</si>
  <si>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</si>
  <si>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</si>
  <si>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</si>
  <si>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</si>
  <si>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</si>
  <si>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</si>
  <si>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</si>
  <si>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</si>
  <si>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</si>
  <si>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</si>
  <si>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</si>
  <si>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</si>
  <si>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</si>
  <si>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</si>
  <si>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</si>
  <si>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</si>
  <si>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</si>
  <si>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</si>
  <si>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</si>
  <si>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</si>
  <si>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</si>
  <si>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</si>
  <si>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</si>
  <si>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</si>
  <si>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</si>
  <si>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</si>
  <si>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</si>
  <si>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</si>
  <si>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</si>
  <si>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</si>
  <si>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</si>
  <si>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</si>
  <si>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</si>
  <si>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</si>
  <si>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</si>
  <si>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</si>
  <si>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</si>
  <si>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</si>
  <si>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</si>
  <si>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</si>
  <si>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</si>
  <si>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</si>
  <si>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</si>
  <si>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</si>
  <si>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</si>
  <si>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</si>
  <si>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</si>
  <si>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</si>
  <si>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</si>
  <si>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</si>
  <si>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</si>
  <si>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</si>
  <si>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</si>
  <si>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</si>
  <si>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</si>
  <si>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</si>
  <si>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</si>
  <si>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</si>
  <si>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</si>
  <si>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</si>
  <si>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</si>
  <si>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</si>
  <si>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</si>
  <si>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</si>
  <si>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</si>
  <si>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</si>
  <si>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</si>
  <si>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</si>
  <si>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</si>
  <si>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</si>
  <si>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</si>
  <si>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</si>
  <si>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</si>
  <si>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</si>
  <si>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</si>
  <si>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</si>
  <si>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</si>
  <si>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</si>
  <si>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</si>
  <si>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</si>
  <si>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</si>
  <si>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</si>
  <si>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</si>
  <si>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</si>
  <si>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</si>
  <si>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</si>
  <si>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</si>
  <si>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</si>
  <si>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</si>
  <si>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</si>
  <si>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</si>
  <si>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</si>
  <si>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</si>
  <si>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</si>
  <si>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</si>
  <si>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</si>
  <si>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</si>
  <si>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</si>
  <si>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</si>
  <si>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</si>
  <si>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</si>
  <si>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</si>
  <si>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</si>
  <si>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</si>
  <si>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</si>
  <si>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</si>
  <si>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</si>
  <si>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</si>
  <si>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</si>
  <si>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</si>
  <si>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</si>
  <si>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</si>
  <si>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</si>
  <si>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</si>
  <si>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</si>
  <si>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</si>
  <si>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</si>
  <si>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</si>
  <si>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</si>
  <si>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</si>
  <si>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</si>
  <si>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</si>
  <si>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</si>
  <si>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</si>
  <si>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</si>
  <si>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</si>
  <si>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</si>
  <si>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</si>
  <si>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</si>
  <si>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</si>
  <si>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</si>
  <si>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</si>
  <si>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</si>
  <si>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</si>
  <si>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</si>
  <si>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</si>
  <si>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</si>
  <si>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</si>
  <si>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</si>
  <si>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</si>
  <si>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</si>
  <si>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</si>
  <si>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</si>
  <si>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</si>
  <si>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</si>
  <si>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</si>
  <si>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</si>
  <si>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</si>
  <si>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</si>
  <si>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</si>
  <si>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</si>
  <si>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</si>
  <si>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</si>
  <si>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</si>
  <si>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</si>
  <si>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</si>
  <si>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</si>
  <si>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</si>
  <si>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</si>
  <si>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</si>
  <si>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</si>
  <si>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</si>
  <si>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</si>
  <si>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</si>
  <si>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</si>
  <si>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</si>
  <si>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</si>
  <si>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</si>
  <si>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</si>
  <si>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</si>
  <si>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</si>
  <si>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</si>
  <si>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</si>
  <si>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</si>
  <si>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</si>
  <si>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</si>
  <si>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</si>
  <si>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</si>
  <si>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</si>
  <si>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</si>
  <si>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</si>
  <si>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</si>
  <si>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</si>
  <si>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</si>
  <si>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</si>
  <si>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</si>
  <si>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</si>
  <si>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</si>
  <si>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</si>
  <si>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</si>
  <si>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</si>
  <si>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</si>
  <si>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</si>
  <si>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</si>
  <si>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</si>
  <si>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</si>
  <si>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</si>
  <si>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</si>
  <si>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</si>
  <si>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</si>
  <si>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</si>
  <si>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</si>
  <si>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</si>
  <si>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</si>
  <si>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</si>
  <si>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</si>
  <si>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</si>
  <si>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</si>
  <si>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</si>
  <si>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</si>
  <si>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</si>
  <si>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</si>
  <si>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</si>
  <si>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</si>
  <si>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</si>
  <si>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</si>
  <si>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</si>
  <si>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</si>
  <si>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</si>
  <si>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</si>
  <si>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</si>
  <si>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</si>
  <si>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</si>
  <si>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</si>
  <si>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</si>
  <si>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</si>
  <si>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</si>
  <si>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</si>
  <si>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</si>
  <si>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</si>
  <si>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</si>
  <si>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</si>
  <si>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</si>
  <si>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</si>
  <si>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</si>
  <si>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</si>
  <si>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</si>
  <si>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</si>
  <si>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</si>
  <si>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</si>
  <si>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</si>
  <si>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</si>
  <si>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</si>
  <si>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</si>
  <si>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</si>
  <si>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</si>
  <si>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</si>
  <si>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</si>
  <si>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</si>
  <si>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</si>
  <si>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</si>
  <si>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</si>
  <si>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</si>
  <si>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</si>
  <si>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</si>
  <si>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</si>
  <si>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</si>
  <si>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</si>
  <si>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</si>
  <si>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</si>
  <si>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</si>
  <si>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</si>
  <si>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</si>
  <si>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</si>
  <si>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</si>
  <si>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</si>
  <si>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</si>
  <si>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</si>
  <si>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</si>
  <si>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</si>
  <si>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</si>
  <si>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</si>
  <si>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</si>
  <si>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</si>
  <si>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</si>
  <si>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</si>
  <si>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</si>
  <si>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</si>
  <si>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</si>
  <si>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</si>
  <si>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</si>
  <si>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</si>
  <si>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</si>
  <si>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</si>
  <si>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</si>
  <si>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</si>
  <si>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</si>
  <si>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</si>
  <si>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</si>
  <si>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</si>
  <si>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</si>
  <si>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</si>
  <si>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</si>
  <si>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</si>
  <si>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</si>
  <si>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</si>
  <si>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</si>
  <si>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</si>
  <si>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</si>
  <si>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</si>
  <si>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</si>
  <si>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</si>
  <si>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</si>
  <si>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</si>
  <si>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</si>
  <si>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</si>
  <si>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</si>
  <si>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</si>
  <si>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</si>
  <si>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</si>
  <si>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</si>
  <si>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</si>
  <si>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</si>
  <si>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</si>
  <si>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</si>
  <si>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</si>
  <si>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</si>
  <si>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</si>
  <si>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</si>
  <si>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</si>
  <si>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</si>
  <si>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</si>
  <si>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</si>
  <si>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</si>
  <si>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</si>
  <si>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</si>
  <si>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</si>
  <si>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</si>
  <si>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</si>
  <si>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</si>
  <si>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</si>
  <si>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</si>
  <si>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</si>
  <si>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</si>
  <si>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</si>
  <si>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</si>
  <si>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</si>
  <si>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</si>
  <si>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</si>
  <si>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</si>
  <si>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</si>
  <si>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</si>
  <si>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</si>
  <si>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</si>
  <si>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</si>
  <si>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</si>
  <si>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</si>
  <si>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</si>
  <si>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</si>
  <si>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</si>
  <si>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</si>
  <si>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</si>
  <si>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</si>
  <si>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</si>
  <si>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</si>
  <si>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</si>
  <si>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</si>
  <si>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</si>
  <si>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</si>
  <si>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</si>
  <si>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</si>
  <si>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</si>
  <si>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</si>
  <si>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</si>
  <si>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</si>
  <si>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</si>
  <si>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</si>
  <si>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</si>
  <si>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</si>
  <si>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</si>
  <si>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</si>
  <si>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</si>
  <si>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</si>
  <si>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</si>
  <si>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</si>
  <si>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</si>
  <si>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</si>
  <si>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</si>
  <si>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</si>
  <si>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</si>
  <si>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</si>
  <si>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</si>
  <si>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</si>
  <si>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</si>
  <si>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</si>
  <si>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</si>
  <si>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</si>
  <si>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</si>
  <si>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</si>
  <si>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</si>
  <si>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</si>
  <si>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</si>
  <si>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</si>
  <si>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</si>
  <si>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</si>
  <si>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</si>
  <si>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</si>
  <si>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</si>
  <si>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</si>
  <si>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</si>
  <si>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</si>
  <si>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</si>
  <si>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</si>
  <si>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</si>
  <si>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</si>
  <si>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</si>
  <si>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</si>
  <si>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</si>
  <si>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</si>
  <si>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</si>
  <si>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</si>
  <si>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</si>
  <si>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</si>
  <si>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</si>
  <si>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</si>
  <si>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</si>
  <si>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</si>
  <si>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</si>
  <si>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</si>
  <si>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</si>
  <si>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</si>
  <si>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</si>
  <si>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</si>
  <si>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</si>
  <si>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</si>
  <si>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</si>
  <si>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</si>
  <si>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</si>
  <si>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</si>
  <si>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</si>
  <si>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</si>
  <si>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</si>
  <si>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</si>
  <si>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</si>
  <si>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</si>
  <si>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</si>
  <si>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</si>
  <si>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</si>
  <si>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</si>
  <si>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</si>
  <si>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</si>
  <si>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</si>
  <si>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</si>
  <si>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</si>
  <si>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</si>
  <si>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</si>
  <si>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</si>
  <si>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</si>
  <si>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</si>
  <si>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</si>
  <si>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</si>
  <si>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</si>
  <si>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</si>
  <si>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</si>
  <si>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</si>
  <si>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</si>
  <si>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</si>
  <si>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</si>
  <si>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</si>
  <si>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</si>
  <si>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</si>
  <si>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</si>
  <si>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</si>
  <si>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</si>
  <si>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</si>
  <si>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</si>
  <si>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</si>
  <si>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</si>
  <si>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</si>
  <si>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</si>
  <si>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</si>
  <si>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</si>
  <si>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</si>
  <si>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</si>
  <si>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</si>
  <si>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</si>
  <si>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</si>
  <si>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</si>
  <si>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</si>
  <si>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</si>
  <si>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</si>
  <si>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</si>
  <si>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</si>
  <si>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</si>
  <si>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</si>
  <si>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</si>
  <si>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</si>
  <si>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</si>
  <si>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</si>
  <si>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</si>
  <si>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</si>
  <si>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</si>
  <si>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</si>
  <si>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</si>
  <si>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</si>
  <si>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</si>
  <si>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</si>
  <si>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</si>
  <si>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</si>
  <si>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</si>
  <si>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</si>
  <si>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</si>
  <si>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</si>
  <si>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</si>
  <si>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</si>
  <si>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</si>
  <si>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</si>
  <si>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</si>
  <si>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</si>
  <si>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</si>
  <si>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</si>
  <si>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</si>
  <si>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</si>
  <si>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</si>
  <si>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</si>
  <si>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</si>
  <si>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</si>
  <si>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</si>
  <si>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</si>
  <si>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</si>
  <si>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</si>
  <si>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</si>
  <si>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</si>
  <si>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</si>
  <si>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</si>
  <si>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</si>
  <si>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</si>
  <si>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</si>
  <si>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</si>
  <si>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</si>
  <si>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</si>
  <si>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</si>
  <si>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</si>
  <si>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</si>
  <si>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</si>
  <si>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</si>
  <si>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</si>
  <si>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</si>
  <si>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</si>
  <si>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C415</t>
  </si>
  <si>
    <t>Golub</t>
  </si>
  <si>
    <t>Credit</t>
  </si>
  <si>
    <t>Late Fee waiver March, April May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</si>
</sst>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41429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45016</v>
      </c>
      <c r="G3" s="55">
        <v>75</v>
      </c>
      <c r="H3" s="32" t="s">
        <v>8200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45017</v>
      </c>
      <c r="L3" s="52"/>
      <c r="M3" s="52"/>
      <c r="N3" s="84">
        <f ca="1">TODAY()</f>
        <v>41429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41489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C415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41429</v>
      </c>
      <c r="F2" s="12" t="str">
        <f>'Billing Adjustment'!K3</f>
        <v>Late Fee waiver March, April May 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-75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2013-06-04T15:57:32Z</dcterms:modified>
</cp:coreProperties>
</file>