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<sst xmlns="http://schemas.openxmlformats.org/spreadsheetml/2006/main" count="90603" uniqueCount="45020">
  <si>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</si>
  <si>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</si>
  <si>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</si>
  <si>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</si>
  <si>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</si>
  <si>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</si>
  <si>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</si>
  <si>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</si>
  <si>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</si>
  <si>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</si>
  <si>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</si>
  <si>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</si>
  <si>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</si>
  <si>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</si>
  <si>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</si>
  <si>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</si>
  <si>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</si>
  <si>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</si>
  <si>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</si>
  <si>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</si>
  <si>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</si>
  <si>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</si>
  <si>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</si>
  <si>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</si>
  <si>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</si>
  <si>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</si>
  <si>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</si>
  <si>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</si>
  <si>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</si>
  <si>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</si>
  <si>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</si>
  <si>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</si>
  <si>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</si>
  <si>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</si>
  <si>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</si>
  <si>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</si>
  <si>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</si>
  <si>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</si>
  <si>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</si>
  <si>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</si>
  <si>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</si>
  <si>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</si>
  <si>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</si>
  <si>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</si>
  <si>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</si>
  <si>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</si>
  <si>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</si>
  <si>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</si>
  <si>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</si>
  <si>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</si>
  <si>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</si>
  <si>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</si>
  <si>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</si>
  <si>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</si>
  <si>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</si>
  <si>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</si>
  <si>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</si>
  <si>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</si>
  <si>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</si>
  <si>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</si>
  <si>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</si>
  <si>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</si>
  <si>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</si>
  <si>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</si>
  <si>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</si>
  <si>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</si>
  <si>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</si>
  <si>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</si>
  <si>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</si>
  <si>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</si>
  <si>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</si>
  <si>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</si>
  <si>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</si>
  <si>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</si>
  <si>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</si>
  <si>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</si>
  <si>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</si>
  <si>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</si>
  <si>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</si>
  <si>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</si>
  <si>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</si>
  <si>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</si>
  <si>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</si>
  <si>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</si>
  <si>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</si>
  <si>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</si>
  <si>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</si>
  <si>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</si>
  <si>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</si>
  <si>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</si>
  <si>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</si>
  <si>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</si>
  <si>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</si>
  <si>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</si>
  <si>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</si>
  <si>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</si>
  <si>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</si>
  <si>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</si>
  <si>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</si>
  <si>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</si>
  <si>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</si>
  <si>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</si>
  <si>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</si>
  <si>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</si>
  <si>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</si>
  <si>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</si>
  <si>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</si>
  <si>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</si>
  <si>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</si>
  <si>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</si>
  <si>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</si>
  <si>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</si>
  <si>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</si>
  <si>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</si>
  <si>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</si>
  <si>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</si>
  <si>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</si>
  <si>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</si>
  <si>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</si>
  <si>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</si>
  <si>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</si>
  <si>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</si>
  <si>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</si>
  <si>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</si>
  <si>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</si>
  <si>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</si>
  <si>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</si>
  <si>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</si>
  <si>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</si>
  <si>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</si>
  <si>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</si>
  <si>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</si>
  <si>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</si>
  <si>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</si>
  <si>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</si>
  <si>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</si>
  <si>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</si>
  <si>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</si>
  <si>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</si>
  <si>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</si>
  <si>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</si>
  <si>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</si>
  <si>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</si>
  <si>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</si>
  <si>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</si>
  <si>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</si>
  <si>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</si>
  <si>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</si>
  <si>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</si>
  <si>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</si>
  <si>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</si>
  <si>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</si>
  <si>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</si>
  <si>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</si>
  <si>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</si>
  <si>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</si>
  <si>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</si>
  <si>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</si>
  <si>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</si>
  <si>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</si>
  <si>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</si>
  <si>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</si>
  <si>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</si>
  <si>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</si>
  <si>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</si>
  <si>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</si>
  <si>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</si>
  <si>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</si>
  <si>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</si>
  <si>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</si>
  <si>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</si>
  <si>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</si>
  <si>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</si>
  <si>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</si>
  <si>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</si>
  <si>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</si>
  <si>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</si>
  <si>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</si>
  <si>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</si>
  <si>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</si>
  <si>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</si>
  <si>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</si>
  <si>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</si>
  <si>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</si>
  <si>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</si>
  <si>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</si>
  <si>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</si>
  <si>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</si>
  <si>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</si>
  <si>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</si>
  <si>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</si>
  <si>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</si>
  <si>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</si>
  <si>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</si>
  <si>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</si>
  <si>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</si>
  <si>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</si>
  <si>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</si>
  <si>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</si>
  <si>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</si>
  <si>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</si>
  <si>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</si>
  <si>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</si>
  <si>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</si>
  <si>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</si>
  <si>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</si>
  <si>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</si>
  <si>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</si>
  <si>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</si>
  <si>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</si>
  <si>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</si>
  <si>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</si>
  <si>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</si>
  <si>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</si>
  <si>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</si>
  <si>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</si>
  <si>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</si>
  <si>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</si>
  <si>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</si>
  <si>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</si>
  <si>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</si>
  <si>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</si>
  <si>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</si>
  <si>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</si>
  <si>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</si>
  <si>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</si>
  <si>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</si>
  <si>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</si>
  <si>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</si>
  <si>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</si>
  <si>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</si>
  <si>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</si>
  <si>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</si>
  <si>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</si>
  <si>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</si>
  <si>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</si>
  <si>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</si>
  <si>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</si>
  <si>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</si>
  <si>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</si>
  <si>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</si>
  <si>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</si>
  <si>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</si>
  <si>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</si>
  <si>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</si>
  <si>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</si>
  <si>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</si>
  <si>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</si>
  <si>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</si>
  <si>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</si>
  <si>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</si>
  <si>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</si>
  <si>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</si>
  <si>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</si>
  <si>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</si>
  <si>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</si>
  <si>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</si>
  <si>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</si>
  <si>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</si>
  <si>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</si>
  <si>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</si>
  <si>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</si>
  <si>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</si>
  <si>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</si>
  <si>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</si>
  <si>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</si>
  <si>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</si>
  <si>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</si>
  <si>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</si>
  <si>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</si>
  <si>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</si>
  <si>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</si>
  <si>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</si>
  <si>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</si>
  <si>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</si>
  <si>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</si>
  <si>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</si>
  <si>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</si>
  <si>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</si>
  <si>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</si>
  <si>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</si>
  <si>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</si>
  <si>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</si>
  <si>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</si>
  <si>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</si>
  <si>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</si>
  <si>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</si>
  <si>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</si>
  <si>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</si>
  <si>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</si>
  <si>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</si>
  <si>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</si>
  <si>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</si>
  <si>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</si>
  <si>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</si>
  <si>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</si>
  <si>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</si>
  <si>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</si>
  <si>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</si>
  <si>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</si>
  <si>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</si>
  <si>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</si>
  <si>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</si>
  <si>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</si>
  <si>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</si>
  <si>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</si>
  <si>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</si>
  <si>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</si>
  <si>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</si>
  <si>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</si>
  <si>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</si>
  <si>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</si>
  <si>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</si>
  <si>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</si>
  <si>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</si>
  <si>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</si>
  <si>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</si>
  <si>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</si>
  <si>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</si>
  <si>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</si>
  <si>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</si>
  <si>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</si>
  <si>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</si>
  <si>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</si>
  <si>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</si>
  <si>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</si>
  <si>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</si>
  <si>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</si>
  <si>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</si>
  <si>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</si>
  <si>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</si>
  <si>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</si>
  <si>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</si>
  <si>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</si>
  <si>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</si>
  <si>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</si>
  <si>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</si>
  <si>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</si>
  <si>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</si>
  <si>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</si>
  <si>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</si>
  <si>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</si>
  <si>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</si>
  <si>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</si>
  <si>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</si>
  <si>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</si>
  <si>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</si>
  <si>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</si>
  <si>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</si>
  <si>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</si>
  <si>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</si>
  <si>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</si>
  <si>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</si>
  <si>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</si>
  <si>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</si>
  <si>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</si>
  <si>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</si>
  <si>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</si>
  <si>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</si>
  <si>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</si>
  <si>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</si>
  <si>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</si>
  <si>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</si>
  <si>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</si>
  <si>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</si>
  <si>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</si>
  <si>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</si>
  <si>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</si>
  <si>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</si>
  <si>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</si>
  <si>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</si>
  <si>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</si>
  <si>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</si>
  <si>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</si>
  <si>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</si>
  <si>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</si>
  <si>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</si>
  <si>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</si>
  <si>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</si>
  <si>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</si>
  <si>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</si>
  <si>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</si>
  <si>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</si>
  <si>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</si>
  <si>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</si>
  <si>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</si>
  <si>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</si>
  <si>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</si>
  <si>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</si>
  <si>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</si>
  <si>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</si>
  <si>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</si>
  <si>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</si>
  <si>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</si>
  <si>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</si>
  <si>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</si>
  <si>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</si>
  <si>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</si>
  <si>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</si>
  <si>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</si>
  <si>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</si>
  <si>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</si>
  <si>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</si>
  <si>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</si>
  <si>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</si>
  <si>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</si>
  <si>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</si>
  <si>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</si>
  <si>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</si>
  <si>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</si>
  <si>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</si>
  <si>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</si>
  <si>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</si>
  <si>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</si>
  <si>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</si>
  <si>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</si>
  <si>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</si>
  <si>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</si>
  <si>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</si>
  <si>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</si>
  <si>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</si>
  <si>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</si>
  <si>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</si>
  <si>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</si>
  <si>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</si>
  <si>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</si>
  <si>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</si>
  <si>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</si>
  <si>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</si>
  <si>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</si>
  <si>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</si>
  <si>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</si>
  <si>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</si>
  <si>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</si>
  <si>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</si>
  <si>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</si>
  <si>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</si>
  <si>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</si>
  <si>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</si>
  <si>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</si>
  <si>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</si>
  <si>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</si>
  <si>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</si>
  <si>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</si>
  <si>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</si>
  <si>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</si>
  <si>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</si>
  <si>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</si>
  <si>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</si>
  <si>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</si>
  <si>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</si>
  <si>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</si>
  <si>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</si>
  <si>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</si>
  <si>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</si>
  <si>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</si>
  <si>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</si>
  <si>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</si>
  <si>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</si>
  <si>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</si>
  <si>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</si>
  <si>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</si>
  <si>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</si>
  <si>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</si>
  <si>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</si>
  <si>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</si>
  <si>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</si>
  <si>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</si>
  <si>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</si>
  <si>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</si>
  <si>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</si>
  <si>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</si>
  <si>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</si>
  <si>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</si>
  <si>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</si>
  <si>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</si>
  <si>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</si>
  <si>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</si>
  <si>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</si>
  <si>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</si>
  <si>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</si>
  <si>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</si>
  <si>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</si>
  <si>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</si>
  <si>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</si>
  <si>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</si>
  <si>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</si>
  <si>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</si>
  <si>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</si>
  <si>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</si>
  <si>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</si>
  <si>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</si>
  <si>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</si>
  <si>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</si>
  <si>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</si>
  <si>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</si>
  <si>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</si>
  <si>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</si>
  <si>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</si>
  <si>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</si>
  <si>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</si>
  <si>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</si>
  <si>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</si>
  <si>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</si>
  <si>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</si>
  <si>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</si>
  <si>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</si>
  <si>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</si>
  <si>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</si>
  <si>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</si>
  <si>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</si>
  <si>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</si>
  <si>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</si>
  <si>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</si>
  <si>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</si>
  <si>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</si>
  <si>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</si>
  <si>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</si>
  <si>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</si>
  <si>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</si>
  <si>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</si>
  <si>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</si>
  <si>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</si>
  <si>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</si>
  <si>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</si>
  <si>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</si>
  <si>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</si>
  <si>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</si>
  <si>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</si>
  <si>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</si>
  <si>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</si>
  <si>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</si>
  <si>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</si>
  <si>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</si>
  <si>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</si>
  <si>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</si>
  <si>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</si>
  <si>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</si>
  <si>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</si>
  <si>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</si>
  <si>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</si>
  <si>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</si>
  <si>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</si>
  <si>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</si>
  <si>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</si>
  <si>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</si>
  <si>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</si>
  <si>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</si>
  <si>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</si>
  <si>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</si>
  <si>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</si>
  <si>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</si>
  <si>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</si>
  <si>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</si>
  <si>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</si>
  <si>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</si>
  <si>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</si>
  <si>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</si>
  <si>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</si>
  <si>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</si>
  <si>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</si>
  <si>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</si>
  <si>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</si>
  <si>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</si>
  <si>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</si>
  <si>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</si>
  <si>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</si>
  <si>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</si>
  <si>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</si>
  <si>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</si>
  <si>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</si>
  <si>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</si>
  <si>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</si>
  <si>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</si>
  <si>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</si>
  <si>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</si>
  <si>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</si>
  <si>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</si>
  <si>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</si>
  <si>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</si>
  <si>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</si>
  <si>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</si>
  <si>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</si>
  <si>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</si>
  <si>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</si>
  <si>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</si>
  <si>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</si>
  <si>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</si>
  <si>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</si>
  <si>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</si>
  <si>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</si>
  <si>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</si>
  <si>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</si>
  <si>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</si>
  <si>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</si>
  <si>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</si>
  <si>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</si>
  <si>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</si>
  <si>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</si>
  <si>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</si>
  <si>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</si>
  <si>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</si>
  <si>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</si>
  <si>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</si>
  <si>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</si>
  <si>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</si>
  <si>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</si>
  <si>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</si>
  <si>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</si>
  <si>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</si>
  <si>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</si>
  <si>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</si>
  <si>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</si>
  <si>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</si>
  <si>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</si>
  <si>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</si>
  <si>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</si>
  <si>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</si>
  <si>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</si>
  <si>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</si>
  <si>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</si>
  <si>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</si>
  <si>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</si>
  <si>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</si>
  <si>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</si>
  <si>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</si>
  <si>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</si>
  <si>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</si>
  <si>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</si>
  <si>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</si>
  <si>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</si>
  <si>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</si>
  <si>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</si>
  <si>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</si>
  <si>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</si>
  <si>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</si>
  <si>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</si>
  <si>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</si>
  <si>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</si>
  <si>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</si>
  <si>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</si>
  <si>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</si>
  <si>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</si>
  <si>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</si>
  <si>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</si>
  <si>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</si>
  <si>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</si>
  <si>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</si>
  <si>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</si>
  <si>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</si>
  <si>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</si>
  <si>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</si>
  <si>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</si>
  <si>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</si>
  <si>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</si>
  <si>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</si>
  <si>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</si>
  <si>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</si>
  <si>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</si>
  <si>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</si>
  <si>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</si>
  <si>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</si>
  <si>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</si>
  <si>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</si>
  <si>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</si>
  <si>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</si>
  <si>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</si>
  <si>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</si>
  <si>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</si>
  <si>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</si>
  <si>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</si>
  <si>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</si>
  <si>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</si>
  <si>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</si>
  <si>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</si>
  <si>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</si>
  <si>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</si>
  <si>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</si>
  <si>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</si>
  <si>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</si>
  <si>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</si>
  <si>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</si>
  <si>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</si>
  <si>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</si>
  <si>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</si>
  <si>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</si>
  <si>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</si>
  <si>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</si>
  <si>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</si>
  <si>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</si>
  <si>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</si>
  <si>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</si>
  <si>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</si>
  <si>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</si>
  <si>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</si>
  <si>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</si>
  <si>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</si>
  <si>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</si>
  <si>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</si>
  <si>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</si>
  <si>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</si>
  <si>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</si>
  <si>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</si>
  <si>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</si>
  <si>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</si>
  <si>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</si>
  <si>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</si>
  <si>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</si>
  <si>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</si>
  <si>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</si>
  <si>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</si>
  <si>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</si>
  <si>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</si>
  <si>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</si>
  <si>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</si>
  <si>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</si>
  <si>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</si>
  <si>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</si>
  <si>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</si>
  <si>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</si>
  <si>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</si>
  <si>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</si>
  <si>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</si>
  <si>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</si>
  <si>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</si>
  <si>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</si>
  <si>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</si>
  <si>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</si>
  <si>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</si>
  <si>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</si>
  <si>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</si>
  <si>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</si>
  <si>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</si>
  <si>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</si>
  <si>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</si>
  <si>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</si>
  <si>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</si>
  <si>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</si>
  <si>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</si>
  <si>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</si>
  <si>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</si>
  <si>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</si>
  <si>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</si>
  <si>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</si>
  <si>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</si>
  <si>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</si>
  <si>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</si>
  <si>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</si>
  <si>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</si>
  <si>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</si>
  <si>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</si>
  <si>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</si>
  <si>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</si>
  <si>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</si>
  <si>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</si>
  <si>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</si>
  <si>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</si>
  <si>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</si>
  <si>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</si>
  <si>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</si>
  <si>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</si>
  <si>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</si>
  <si>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</si>
  <si>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</si>
  <si>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</si>
  <si>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</si>
  <si>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</si>
  <si>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</si>
  <si>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</si>
  <si>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</si>
  <si>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</si>
  <si>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</si>
  <si>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</si>
  <si>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</si>
  <si>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</si>
  <si>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</si>
  <si>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</si>
  <si>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</si>
  <si>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</si>
  <si>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</si>
  <si>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</si>
  <si>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</si>
  <si>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</si>
  <si>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</si>
  <si>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</si>
  <si>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</si>
  <si>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</si>
  <si>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</si>
  <si>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</si>
  <si>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</si>
  <si>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</si>
  <si>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</si>
  <si>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</si>
  <si>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</si>
  <si>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</si>
  <si>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</si>
  <si>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</si>
  <si>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</si>
  <si>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</si>
  <si>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</si>
  <si>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</si>
  <si>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</si>
  <si>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</si>
  <si>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</si>
  <si>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</si>
  <si>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</si>
  <si>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</si>
  <si>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</si>
  <si>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</si>
  <si>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</si>
  <si>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</si>
  <si>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</si>
  <si>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</si>
  <si>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</si>
  <si>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</si>
  <si>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</si>
  <si>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</si>
  <si>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</si>
  <si>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</si>
  <si>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</si>
  <si>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</si>
  <si>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</si>
  <si>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</si>
  <si>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</si>
  <si>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</si>
  <si>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</si>
  <si>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</si>
  <si>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</si>
  <si>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</si>
  <si>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</si>
  <si>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</si>
  <si>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</si>
  <si>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</si>
  <si>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</si>
  <si>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</si>
  <si>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</si>
  <si>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</si>
  <si>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</si>
  <si>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</si>
  <si>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</si>
  <si>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</si>
  <si>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</si>
  <si>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</si>
  <si>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</si>
  <si>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</si>
  <si>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</si>
  <si>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</si>
  <si>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</si>
  <si>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</si>
  <si>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</si>
  <si>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</si>
  <si>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</si>
  <si>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</si>
  <si>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</si>
  <si>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</si>
  <si>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</si>
  <si>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</si>
  <si>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</si>
  <si>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</si>
  <si>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</si>
  <si>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</si>
  <si>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</si>
  <si>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</si>
  <si>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</si>
  <si>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</si>
  <si>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</si>
  <si>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</si>
  <si>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</si>
  <si>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</si>
  <si>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</si>
  <si>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</si>
  <si>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</si>
  <si>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</si>
  <si>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</si>
  <si>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</si>
  <si>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</si>
  <si>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</si>
  <si>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</si>
  <si>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</si>
  <si>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</si>
  <si>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</si>
  <si>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</si>
  <si>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</si>
  <si>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</si>
  <si>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</si>
  <si>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</si>
  <si>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</si>
  <si>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</si>
  <si>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</si>
  <si>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</si>
  <si>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</si>
  <si>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</si>
  <si>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</si>
  <si>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</si>
  <si>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</si>
  <si>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</si>
  <si>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</si>
  <si>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</si>
  <si>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</si>
  <si>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</si>
  <si>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</si>
  <si>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</si>
  <si>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</si>
  <si>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</si>
  <si>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</si>
  <si>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</si>
  <si>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</si>
  <si>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</si>
  <si>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</si>
  <si>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</si>
  <si>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</si>
  <si>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</si>
  <si>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</si>
  <si>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</si>
  <si>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</si>
  <si>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</si>
  <si>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</si>
  <si>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</si>
  <si>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</si>
  <si>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</si>
  <si>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</si>
  <si>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</si>
  <si>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</si>
  <si>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</si>
  <si>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</si>
  <si>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</si>
  <si>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</si>
  <si>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</si>
  <si>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</si>
  <si>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</si>
  <si>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</si>
  <si>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</si>
  <si>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</si>
  <si>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</si>
  <si>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</si>
  <si>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</si>
  <si>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</si>
  <si>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</si>
  <si>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</si>
  <si>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</si>
  <si>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</si>
  <si>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</si>
  <si>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</si>
  <si>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</si>
  <si>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</si>
  <si>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</si>
  <si>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</si>
  <si>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</si>
  <si>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</si>
  <si>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</si>
  <si>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</si>
  <si>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</si>
  <si>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</si>
  <si>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</si>
  <si>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</si>
  <si>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</si>
  <si>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</si>
  <si>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</si>
  <si>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</si>
  <si>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</si>
  <si>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</si>
  <si>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</si>
  <si>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</si>
  <si>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</si>
  <si>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</si>
  <si>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</si>
  <si>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</si>
  <si>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</si>
  <si>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</si>
  <si>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</si>
  <si>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</si>
  <si>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</si>
  <si>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</si>
  <si>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</si>
  <si>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</si>
  <si>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</si>
  <si>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</si>
  <si>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</si>
  <si>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</si>
  <si>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</si>
  <si>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</si>
  <si>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</si>
  <si>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</si>
  <si>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</si>
  <si>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</si>
  <si>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</si>
  <si>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</si>
  <si>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</si>
  <si>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</si>
  <si>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</si>
  <si>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</si>
  <si>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</si>
  <si>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</si>
  <si>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</si>
  <si>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</si>
  <si>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</si>
  <si>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</si>
  <si>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</si>
  <si>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</si>
  <si>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</si>
  <si>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</si>
  <si>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</si>
  <si>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</si>
  <si>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</si>
  <si>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</si>
  <si>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</si>
  <si>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</si>
  <si>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</si>
  <si>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</si>
  <si>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</si>
  <si>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</si>
  <si>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</si>
  <si>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</si>
  <si>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</si>
  <si>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</si>
  <si>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</si>
  <si>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</si>
  <si>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</si>
  <si>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</si>
  <si>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</si>
  <si>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</si>
  <si>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</si>
  <si>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</si>
  <si>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</si>
  <si>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</si>
  <si>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</si>
  <si>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</si>
  <si>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</si>
  <si>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</si>
  <si>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</si>
  <si>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</si>
  <si>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</si>
  <si>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</si>
  <si>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</si>
  <si>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</si>
  <si>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</si>
  <si>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</si>
  <si>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</si>
  <si>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</si>
  <si>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</si>
  <si>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</si>
  <si>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</si>
  <si>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</si>
  <si>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</si>
  <si>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</si>
  <si>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</si>
  <si>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</si>
  <si>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</si>
  <si>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</si>
  <si>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</si>
  <si>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</si>
  <si>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</si>
  <si>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</si>
  <si>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</si>
  <si>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</si>
  <si>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</si>
  <si>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</si>
  <si>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</si>
  <si>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</si>
  <si>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</si>
  <si>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</si>
  <si>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</si>
  <si>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</si>
  <si>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</si>
  <si>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</si>
  <si>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</si>
  <si>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</si>
  <si>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</si>
  <si>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</si>
  <si>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</si>
  <si>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</si>
  <si>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</si>
  <si>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</si>
  <si>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</si>
  <si>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</si>
  <si>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</si>
  <si>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</si>
  <si>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</si>
  <si>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</si>
  <si>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</si>
  <si>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</si>
  <si>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</si>
  <si>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</si>
  <si>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</si>
  <si>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</si>
  <si>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</si>
  <si>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</si>
  <si>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</si>
  <si>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</si>
  <si>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</si>
  <si>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</si>
  <si>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</si>
  <si>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</si>
  <si>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</si>
  <si>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</si>
  <si>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</si>
  <si>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</si>
  <si>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</si>
  <si>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</si>
  <si>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</si>
  <si>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</si>
  <si>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</si>
  <si>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</si>
  <si>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</si>
  <si>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</si>
  <si>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</si>
  <si>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</si>
  <si>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</si>
  <si>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</si>
  <si>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</si>
  <si>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</si>
  <si>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</si>
  <si>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</si>
  <si>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</si>
  <si>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</si>
  <si>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</si>
  <si>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</si>
  <si>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</si>
  <si>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</si>
  <si>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</si>
  <si>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</si>
  <si>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</si>
  <si>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</si>
  <si>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</si>
  <si>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</si>
  <si>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</si>
  <si>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</si>
  <si>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</si>
  <si>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</si>
  <si>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</si>
  <si>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</si>
  <si>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</si>
  <si>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</si>
  <si>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</si>
  <si>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</si>
  <si>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</si>
  <si>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</si>
  <si>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</si>
  <si>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</si>
  <si>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</si>
  <si>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</si>
  <si>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</si>
  <si>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</si>
  <si>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</si>
  <si>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</si>
  <si>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</si>
  <si>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</si>
  <si>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</si>
  <si>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</si>
  <si>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</si>
  <si>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</si>
  <si>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</si>
  <si>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</si>
  <si>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</si>
  <si>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</si>
  <si>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</si>
  <si>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</si>
  <si>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</si>
  <si>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</si>
  <si>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</si>
  <si>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</si>
  <si>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</si>
  <si>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</si>
  <si>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</si>
  <si>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</si>
  <si>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</si>
  <si>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</si>
  <si>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</si>
  <si>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</si>
  <si>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</si>
  <si>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</si>
  <si>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</si>
  <si>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</si>
  <si>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</si>
  <si>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</si>
  <si>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</si>
  <si>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</si>
  <si>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</si>
  <si>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</si>
  <si>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</si>
  <si>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</si>
  <si>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</si>
  <si>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</si>
  <si>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</si>
  <si>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</si>
  <si>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</si>
  <si>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</si>
  <si>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</si>
  <si>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</si>
  <si>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</si>
  <si>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</si>
  <si>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</si>
  <si>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</si>
  <si>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</si>
  <si>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</si>
  <si>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</si>
  <si>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</si>
  <si>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</si>
  <si>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</si>
  <si>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</si>
  <si>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</si>
  <si>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</si>
  <si>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</si>
  <si>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</si>
  <si>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</si>
  <si>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</si>
  <si>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</si>
  <si>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</si>
  <si>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</si>
  <si>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</si>
  <si>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</si>
  <si>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</si>
  <si>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</si>
  <si>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</si>
  <si>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</si>
  <si>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</si>
  <si>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</si>
  <si>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</si>
  <si>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</si>
  <si>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</si>
  <si>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</si>
  <si>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</si>
  <si>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</si>
  <si>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</si>
  <si>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</si>
  <si>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</si>
  <si>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</si>
  <si>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</si>
  <si>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</si>
  <si>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</si>
  <si>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</si>
  <si>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</si>
  <si>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</si>
  <si>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</si>
  <si>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</si>
  <si>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</si>
  <si>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</si>
  <si>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</si>
  <si>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</si>
  <si>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</si>
  <si>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</si>
  <si>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</si>
  <si>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</si>
  <si>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</si>
  <si>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</si>
  <si>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</si>
  <si>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</si>
  <si>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</si>
  <si>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</si>
  <si>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</si>
  <si>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</si>
  <si>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</si>
  <si>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</si>
  <si>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</si>
  <si>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</si>
  <si>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</si>
  <si>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</si>
  <si>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</si>
  <si>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</si>
  <si>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</si>
  <si>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</si>
  <si>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</si>
  <si>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</si>
  <si>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</si>
  <si>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</si>
  <si>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</si>
  <si>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</si>
  <si>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</si>
  <si>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</si>
  <si>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</si>
  <si>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</si>
  <si>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</si>
  <si>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</si>
  <si>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</si>
  <si>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</si>
  <si>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</si>
  <si>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</si>
  <si>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</si>
  <si>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</si>
  <si>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</si>
  <si>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</si>
  <si>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</si>
  <si>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</si>
  <si>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</si>
  <si>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</si>
  <si>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</si>
  <si>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</si>
  <si>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</si>
  <si>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</si>
  <si>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</si>
  <si>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</si>
  <si>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</si>
  <si>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</si>
  <si>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</si>
  <si>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</si>
  <si>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</si>
  <si>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</si>
  <si>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</si>
  <si>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</si>
  <si>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</si>
  <si>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</si>
  <si>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</si>
  <si>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</si>
  <si>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</si>
  <si>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</si>
  <si>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</si>
  <si>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</si>
  <si>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</si>
  <si>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</si>
  <si>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</si>
  <si>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</si>
  <si>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</si>
  <si>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</si>
  <si>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</si>
  <si>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</si>
  <si>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</si>
  <si>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</si>
  <si>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</si>
  <si>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</si>
  <si>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</si>
  <si>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</si>
  <si>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</si>
  <si>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</si>
  <si>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</si>
  <si>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</si>
  <si>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</si>
  <si>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</si>
  <si>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</si>
  <si>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</si>
  <si>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</si>
  <si>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</si>
  <si>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</si>
  <si>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</si>
  <si>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</si>
  <si>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</si>
  <si>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</si>
  <si>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</si>
  <si>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</si>
  <si>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</si>
  <si>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</si>
  <si>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</si>
  <si>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</si>
  <si>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</si>
  <si>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</si>
  <si>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</si>
  <si>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</si>
  <si>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</si>
  <si>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</si>
  <si>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</si>
  <si>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</si>
  <si>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</si>
  <si>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</si>
  <si>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</si>
  <si>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</si>
  <si>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</si>
  <si>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</si>
  <si>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</si>
  <si>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</si>
  <si>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</si>
  <si>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</si>
  <si>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</si>
  <si>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</si>
  <si>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</si>
  <si>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</si>
  <si>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</si>
  <si>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</si>
  <si>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</si>
  <si>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</si>
  <si>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</si>
  <si>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</si>
  <si>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</si>
  <si>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</si>
  <si>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</si>
  <si>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</si>
  <si>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</si>
  <si>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</si>
  <si>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</si>
  <si>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</si>
  <si>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</si>
  <si>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</si>
  <si>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</si>
  <si>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</si>
  <si>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</si>
  <si>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</si>
  <si>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</si>
  <si>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</si>
  <si>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</si>
  <si>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</si>
  <si>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</si>
  <si>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</si>
  <si>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</si>
  <si>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</si>
  <si>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</si>
  <si>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</si>
  <si>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</si>
  <si>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</si>
  <si>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</si>
  <si>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</si>
  <si>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</si>
  <si>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</si>
  <si>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</si>
  <si>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</si>
  <si>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</si>
  <si>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</si>
  <si>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</si>
  <si>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</si>
  <si>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</si>
  <si>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</si>
  <si>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</si>
  <si>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</si>
  <si>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</si>
  <si>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</si>
  <si>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</si>
  <si>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</si>
  <si>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</si>
  <si>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</si>
  <si>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</si>
  <si>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</si>
  <si>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</si>
  <si>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</si>
  <si>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</si>
  <si>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</si>
  <si>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</si>
  <si>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</si>
  <si>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</si>
  <si>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</si>
  <si>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</si>
  <si>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</si>
  <si>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</si>
  <si>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</si>
  <si>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</si>
  <si>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</si>
  <si>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</si>
  <si>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</si>
  <si>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</si>
  <si>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</si>
  <si>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</si>
  <si>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</si>
  <si>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</si>
  <si>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</si>
  <si>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</si>
  <si>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</si>
  <si>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</si>
  <si>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</si>
  <si>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</si>
  <si>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</si>
  <si>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</si>
  <si>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</si>
  <si>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</si>
  <si>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</si>
  <si>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</si>
  <si>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</si>
  <si>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</si>
  <si>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</si>
  <si>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</si>
  <si>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</si>
  <si>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</si>
  <si>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</si>
  <si>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</si>
  <si>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</si>
  <si>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</si>
  <si>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</si>
  <si>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</si>
  <si>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</si>
  <si>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</si>
  <si>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</si>
  <si>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</si>
  <si>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</si>
  <si>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</si>
  <si>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</si>
  <si>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</si>
  <si>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</si>
  <si>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</si>
  <si>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</si>
  <si>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</si>
  <si>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</si>
  <si>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</si>
  <si>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</si>
  <si>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</si>
  <si>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</si>
  <si>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</si>
  <si>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</si>
  <si>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</si>
  <si>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</si>
  <si>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</si>
  <si>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</si>
  <si>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</si>
  <si>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</si>
  <si>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</si>
  <si>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</si>
  <si>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</si>
  <si>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</si>
  <si>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</si>
  <si>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</si>
  <si>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</si>
  <si>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</si>
  <si>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</si>
  <si>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</si>
  <si>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</si>
  <si>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</si>
  <si>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</si>
  <si>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</si>
  <si>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</si>
  <si>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</si>
  <si>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</si>
  <si>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</si>
  <si>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</si>
  <si>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</si>
  <si>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</si>
  <si>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</si>
  <si>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</si>
  <si>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</si>
  <si>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</si>
  <si>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</si>
  <si>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</si>
  <si>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</si>
  <si>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</si>
  <si>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</si>
  <si>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</si>
  <si>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</si>
  <si>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</si>
  <si>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</si>
  <si>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</si>
  <si>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</si>
  <si>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</si>
  <si>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</si>
  <si>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</si>
  <si>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</si>
  <si>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</si>
  <si>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</si>
  <si>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</si>
  <si>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</si>
  <si>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</si>
  <si>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</si>
  <si>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</si>
  <si>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</si>
  <si>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</si>
  <si>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</si>
  <si>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</si>
  <si>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</si>
  <si>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</si>
  <si>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</si>
  <si>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</si>
  <si>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</si>
  <si>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</si>
  <si>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</si>
  <si>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</si>
  <si>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</si>
  <si>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</si>
  <si>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</si>
  <si>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</si>
  <si>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</si>
  <si>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</si>
  <si>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</si>
  <si>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</si>
  <si>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</si>
  <si>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</si>
  <si>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</si>
  <si>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</si>
  <si>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</si>
  <si>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</si>
  <si>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</si>
  <si>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</si>
  <si>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</si>
  <si>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</si>
  <si>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</si>
  <si>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</si>
  <si>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</si>
  <si>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</si>
  <si>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</si>
  <si>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</si>
  <si>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</si>
  <si>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</si>
  <si>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</si>
  <si>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</si>
  <si>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</si>
  <si>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</si>
  <si>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</si>
  <si>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</si>
  <si>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</si>
  <si>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</si>
  <si>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</si>
  <si>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</si>
  <si>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</si>
  <si>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</si>
  <si>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</si>
  <si>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</si>
  <si>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</si>
  <si>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</si>
  <si>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</si>
  <si>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</si>
  <si>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</si>
  <si>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</si>
  <si>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</si>
  <si>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</si>
  <si>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</si>
  <si>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</si>
  <si>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</si>
  <si>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</si>
  <si>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</si>
  <si>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</si>
  <si>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</si>
  <si>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</si>
  <si>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</si>
  <si>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</si>
  <si>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</si>
  <si>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</si>
  <si>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</si>
  <si>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</si>
  <si>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</si>
  <si>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</si>
  <si>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</si>
  <si>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</si>
  <si>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</si>
  <si>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</si>
  <si>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</si>
  <si>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</si>
  <si>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</si>
  <si>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</si>
  <si>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</si>
  <si>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</si>
  <si>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</si>
  <si>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</si>
  <si>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</si>
  <si>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</si>
  <si>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</si>
  <si>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</si>
  <si>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</si>
  <si>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</si>
  <si>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</si>
  <si>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</si>
  <si>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</si>
  <si>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</si>
  <si>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</si>
  <si>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</si>
  <si>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</si>
  <si>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</si>
  <si>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</si>
  <si>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</si>
  <si>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</si>
  <si>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</si>
  <si>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</si>
  <si>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</si>
  <si>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</si>
  <si>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</si>
  <si>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</si>
  <si>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</si>
  <si>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</si>
  <si>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</si>
  <si>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</si>
  <si>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</si>
  <si>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</si>
  <si>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</si>
  <si>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</si>
  <si>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</si>
  <si>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</si>
  <si>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</si>
  <si>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</si>
  <si>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</si>
  <si>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</si>
  <si>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</si>
  <si>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</si>
  <si>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</si>
  <si>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</si>
  <si>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</si>
  <si>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</si>
  <si>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</si>
  <si>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</si>
  <si>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</si>
  <si>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</si>
  <si>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</si>
  <si>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</si>
  <si>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</si>
  <si>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</si>
  <si>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</si>
  <si>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</si>
  <si>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</si>
  <si>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</si>
  <si>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</si>
  <si>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</si>
  <si>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</si>
  <si>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</si>
  <si>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</si>
  <si>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</si>
  <si>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</si>
  <si>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</si>
  <si>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</si>
  <si>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</si>
  <si>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</si>
  <si>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</si>
  <si>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</si>
  <si>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</si>
  <si>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</si>
  <si>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</si>
  <si>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</si>
  <si>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</si>
  <si>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</si>
  <si>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</si>
  <si>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</si>
  <si>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</si>
  <si>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</si>
  <si>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</si>
  <si>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</si>
  <si>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</si>
  <si>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</si>
  <si>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</si>
  <si>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</si>
  <si>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</si>
  <si>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</si>
  <si>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</si>
  <si>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</si>
  <si>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</si>
  <si>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</si>
  <si>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</si>
  <si>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</si>
  <si>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</si>
  <si>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</si>
  <si>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</si>
  <si>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</si>
  <si>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</si>
  <si>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</si>
  <si>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</si>
  <si>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</si>
  <si>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</si>
  <si>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</si>
  <si>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</si>
  <si>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</si>
  <si>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</si>
  <si>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</si>
  <si>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</si>
  <si>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</si>
  <si>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</si>
  <si>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</si>
  <si>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</si>
  <si>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</si>
  <si>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</si>
  <si>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</si>
  <si>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</si>
  <si>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</si>
  <si>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</si>
  <si>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</si>
  <si>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</si>
  <si>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</si>
  <si>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</si>
  <si>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</si>
  <si>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</si>
  <si>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</si>
  <si>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</si>
  <si>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</si>
  <si>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</si>
  <si>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</si>
  <si>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</si>
  <si>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</si>
  <si>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</si>
  <si>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</si>
  <si>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</si>
  <si>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</si>
  <si>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</si>
  <si>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</si>
  <si>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</si>
  <si>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</si>
  <si>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</si>
  <si>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</si>
  <si>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</si>
  <si>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</si>
  <si>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</si>
  <si>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</si>
  <si>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</si>
  <si>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</si>
  <si>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</si>
  <si>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</si>
  <si>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</si>
  <si>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</si>
  <si>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</si>
  <si>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</si>
  <si>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</si>
  <si>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</si>
  <si>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</si>
  <si>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</si>
  <si>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</si>
  <si>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</si>
  <si>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</si>
  <si>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</si>
  <si>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</si>
  <si>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</si>
  <si>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</si>
  <si>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</si>
  <si>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</si>
  <si>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</si>
  <si>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</si>
  <si>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</si>
  <si>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</si>
  <si>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</si>
  <si>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</si>
  <si>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</si>
  <si>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</si>
  <si>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</si>
  <si>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</si>
  <si>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</si>
  <si>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</si>
  <si>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</si>
  <si>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</si>
  <si>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</si>
  <si>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</si>
  <si>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</si>
  <si>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</si>
  <si>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</si>
  <si>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</si>
  <si>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</si>
  <si>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</si>
  <si>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</si>
  <si>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</si>
  <si>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</si>
  <si>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</si>
  <si>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</si>
  <si>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</si>
  <si>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</si>
  <si>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</si>
  <si>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</si>
  <si>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</si>
  <si>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</si>
  <si>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</si>
  <si>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</si>
  <si>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</si>
  <si>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</si>
  <si>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</si>
  <si>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</si>
  <si>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</si>
  <si>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</si>
  <si>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</si>
  <si>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</si>
  <si>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</si>
  <si>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</si>
  <si>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</si>
  <si>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</si>
  <si>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</si>
  <si>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</si>
  <si>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</si>
  <si>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</si>
  <si>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</si>
  <si>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</si>
  <si>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</si>
  <si>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</si>
  <si>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</si>
  <si>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</si>
  <si>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</si>
  <si>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</si>
  <si>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</si>
  <si>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</si>
  <si>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</si>
  <si>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</si>
  <si>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</si>
  <si>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</si>
  <si>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</si>
  <si>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</si>
  <si>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</si>
  <si>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</si>
  <si>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</si>
  <si>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</si>
  <si>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</si>
  <si>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</si>
  <si>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</si>
  <si>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</si>
  <si>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</si>
  <si>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</si>
  <si>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</si>
  <si>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</si>
  <si>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</si>
  <si>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</si>
  <si>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</si>
  <si>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</si>
  <si>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</si>
  <si>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</si>
  <si>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</si>
  <si>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</si>
  <si>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</si>
  <si>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</si>
  <si>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</si>
  <si>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</si>
  <si>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</si>
  <si>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</si>
  <si>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</si>
  <si>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</si>
  <si>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</si>
  <si>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</si>
  <si>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</si>
  <si>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</si>
  <si>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</si>
  <si>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</si>
  <si>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</si>
  <si>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</si>
  <si>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</si>
  <si>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</si>
  <si>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</si>
  <si>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</si>
  <si>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</si>
  <si>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</si>
  <si>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</si>
  <si>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</si>
  <si>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</si>
  <si>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</si>
  <si>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</si>
  <si>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</si>
  <si>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</si>
  <si>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</si>
  <si>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</si>
  <si>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</si>
  <si>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</si>
  <si>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</si>
  <si>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</si>
  <si>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</si>
  <si>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</si>
  <si>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</si>
  <si>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</si>
  <si>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</si>
  <si>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</si>
  <si>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</si>
  <si>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</si>
  <si>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</si>
  <si>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</si>
  <si>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</si>
  <si>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</si>
  <si>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</si>
  <si>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</si>
  <si>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</si>
  <si>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</si>
  <si>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</si>
  <si>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</si>
  <si>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</si>
  <si>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</si>
  <si>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</si>
  <si>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</si>
  <si>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</si>
  <si>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</si>
  <si>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</si>
  <si>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</si>
  <si>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</si>
  <si>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</si>
  <si>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</si>
  <si>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</si>
  <si>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</si>
  <si>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</si>
  <si>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</si>
  <si>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</si>
  <si>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</si>
  <si>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</si>
  <si>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</si>
  <si>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</si>
  <si>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</si>
  <si>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</si>
  <si>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</si>
  <si>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</si>
  <si>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</si>
  <si>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</si>
  <si>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</si>
  <si>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</si>
  <si>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</si>
  <si>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</si>
  <si>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</si>
  <si>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</si>
  <si>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</si>
  <si>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</si>
  <si>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</si>
  <si>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</si>
  <si>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</si>
  <si>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</si>
  <si>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</si>
  <si>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</si>
  <si>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</si>
  <si>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</si>
  <si>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</si>
  <si>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</si>
  <si>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</si>
  <si>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</si>
  <si>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</si>
  <si>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</si>
  <si>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</si>
  <si>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</si>
  <si>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</si>
  <si>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</si>
  <si>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</si>
  <si>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</si>
  <si>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</si>
  <si>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</si>
  <si>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</si>
  <si>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</si>
  <si>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</si>
  <si>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</si>
  <si>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</si>
  <si>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</si>
  <si>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</si>
  <si>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</si>
  <si>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</si>
  <si>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</si>
  <si>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</si>
  <si>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</si>
  <si>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</si>
  <si>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</si>
  <si>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</si>
  <si>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</si>
  <si>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</si>
  <si>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</si>
  <si>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</si>
  <si>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</si>
  <si>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</si>
  <si>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</si>
  <si>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</si>
  <si>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</si>
  <si>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</si>
  <si>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</si>
  <si>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</si>
  <si>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</si>
  <si>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</si>
  <si>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</si>
  <si>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</si>
  <si>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</si>
  <si>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</si>
  <si>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</si>
  <si>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</si>
  <si>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</si>
  <si>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</si>
  <si>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</si>
  <si>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</si>
  <si>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</si>
  <si>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</si>
  <si>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</si>
  <si>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</si>
  <si>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</si>
  <si>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</si>
  <si>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</si>
  <si>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</si>
  <si>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</si>
  <si>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</si>
  <si>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</si>
  <si>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</si>
  <si>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</si>
  <si>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</si>
  <si>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</si>
  <si>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</si>
  <si>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</si>
  <si>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</si>
  <si>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</si>
  <si>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</si>
  <si>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</si>
  <si>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</si>
  <si>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</si>
  <si>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</si>
  <si>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</si>
  <si>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</si>
  <si>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</si>
  <si>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</si>
  <si>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</si>
  <si>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</si>
  <si>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</si>
  <si>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</si>
  <si>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</si>
  <si>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</si>
  <si>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</si>
  <si>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</si>
  <si>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</si>
  <si>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</si>
  <si>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</si>
  <si>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</si>
  <si>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</si>
  <si>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</si>
  <si>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</si>
  <si>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</si>
  <si>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</si>
  <si>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</si>
  <si>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</si>
  <si>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</si>
  <si>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</si>
  <si>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</si>
  <si>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</si>
  <si>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</si>
  <si>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</si>
  <si>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</si>
  <si>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</si>
  <si>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</si>
  <si>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</si>
  <si>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</si>
  <si>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</si>
  <si>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</si>
  <si>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</si>
  <si>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</si>
  <si>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</si>
  <si>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</si>
  <si>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</si>
  <si>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</si>
  <si>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</si>
  <si>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</si>
  <si>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</si>
  <si>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</si>
  <si>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</si>
  <si>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</si>
  <si>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</si>
  <si>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</si>
  <si>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</si>
  <si>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</si>
  <si>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</si>
  <si>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</si>
  <si>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</si>
  <si>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</si>
  <si>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</si>
  <si>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</si>
  <si>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</si>
  <si>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</si>
  <si>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</si>
  <si>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</si>
  <si>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</si>
  <si>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</si>
  <si>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</si>
  <si>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</si>
  <si>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</si>
  <si>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</si>
  <si>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</si>
  <si>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</si>
  <si>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</si>
  <si>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</si>
  <si>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</si>
  <si>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</si>
  <si>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</si>
  <si>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</si>
  <si>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</si>
  <si>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</si>
  <si>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</si>
  <si>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</si>
  <si>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</si>
  <si>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</si>
  <si>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</si>
  <si>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</si>
  <si>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</si>
  <si>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</si>
  <si>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</si>
  <si>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</si>
  <si>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</si>
  <si>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</si>
  <si>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</si>
  <si>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</si>
  <si>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</si>
  <si>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</si>
  <si>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</si>
  <si>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</si>
  <si>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</si>
  <si>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</si>
  <si>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</si>
  <si>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</si>
  <si>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</si>
  <si>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</si>
  <si>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</si>
  <si>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</si>
  <si>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</si>
  <si>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</si>
  <si>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</si>
  <si>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</si>
  <si>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</si>
  <si>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</si>
  <si>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</si>
  <si>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</si>
  <si>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</si>
  <si>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</si>
  <si>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</si>
  <si>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</si>
  <si>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</si>
  <si>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</si>
  <si>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</si>
  <si>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</si>
  <si>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</si>
  <si>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</si>
  <si>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</si>
  <si>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</si>
  <si>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</si>
  <si>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</si>
  <si>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</si>
  <si>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</si>
  <si>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</si>
  <si>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</si>
  <si>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</si>
  <si>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</si>
  <si>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</si>
  <si>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</si>
  <si>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</si>
  <si>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</si>
  <si>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</si>
  <si>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</si>
  <si>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</si>
  <si>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</si>
  <si>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</si>
  <si>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</si>
  <si>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</si>
  <si>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</si>
  <si>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</si>
  <si>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</si>
  <si>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</si>
  <si>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</si>
  <si>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</si>
  <si>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</si>
  <si>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</si>
  <si>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</si>
  <si>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</si>
  <si>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</si>
  <si>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</si>
  <si>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</si>
  <si>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</si>
  <si>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</si>
  <si>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</si>
  <si>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</si>
  <si>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</si>
  <si>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</si>
  <si>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</si>
  <si>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</si>
  <si>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</si>
  <si>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</si>
  <si>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</si>
  <si>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</si>
  <si>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</si>
  <si>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</si>
  <si>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</si>
  <si>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</si>
  <si>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</si>
  <si>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</si>
  <si>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</si>
  <si>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</si>
  <si>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</si>
  <si>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</si>
  <si>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</si>
  <si>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</si>
  <si>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</si>
  <si>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</si>
  <si>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</si>
  <si>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</si>
  <si>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</si>
  <si>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</si>
  <si>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</si>
  <si>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</si>
  <si>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</si>
  <si>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</si>
  <si>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</si>
  <si>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</si>
  <si>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</si>
  <si>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</si>
  <si>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</si>
  <si>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</si>
  <si>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</si>
  <si>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</si>
  <si>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</si>
  <si>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</si>
  <si>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</si>
  <si>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</si>
  <si>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</si>
  <si>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</si>
  <si>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</si>
  <si>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</si>
  <si>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</si>
  <si>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</si>
  <si>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</si>
  <si>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</si>
  <si>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</si>
  <si>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</si>
  <si>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</si>
  <si>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</si>
  <si>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</si>
  <si>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</si>
  <si>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</si>
  <si>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</si>
  <si>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</si>
  <si>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</si>
  <si>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</si>
  <si>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</si>
  <si>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</si>
  <si>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</si>
  <si>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</si>
  <si>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</si>
  <si>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</si>
  <si>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</si>
  <si>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</si>
  <si>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</si>
  <si>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</si>
  <si>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</si>
  <si>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</si>
  <si>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</si>
  <si>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</si>
  <si>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</si>
  <si>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</si>
  <si>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</si>
  <si>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</si>
  <si>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</si>
  <si>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</si>
  <si>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</si>
  <si>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</si>
  <si>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</si>
  <si>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</si>
  <si>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</si>
  <si>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</si>
  <si>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</si>
  <si>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</si>
  <si>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</si>
  <si>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</si>
  <si>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</si>
  <si>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</si>
  <si>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</si>
  <si>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</si>
  <si>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</si>
  <si>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</si>
  <si>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</si>
  <si>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</si>
  <si>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</si>
  <si>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</si>
  <si>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</si>
  <si>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</si>
  <si>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</si>
  <si>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</si>
  <si>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</si>
  <si>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</si>
  <si>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</si>
  <si>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</si>
  <si>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</si>
  <si>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</si>
  <si>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</si>
  <si>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</si>
  <si>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</si>
  <si>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</si>
  <si>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</si>
  <si>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</si>
  <si>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</si>
  <si>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</si>
  <si>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</si>
  <si>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</si>
  <si>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</si>
  <si>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</si>
  <si>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</si>
  <si>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</si>
  <si>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</si>
  <si>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</si>
  <si>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</si>
  <si>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</si>
  <si>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</si>
  <si>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</si>
  <si>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</si>
  <si>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</si>
  <si>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</si>
  <si>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</si>
  <si>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</si>
  <si>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</si>
  <si>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</si>
  <si>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</si>
  <si>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</si>
  <si>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</si>
  <si>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</si>
  <si>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</si>
  <si>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</si>
  <si>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</si>
  <si>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</si>
  <si>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</si>
  <si>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</si>
  <si>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</si>
  <si>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</si>
  <si>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</si>
  <si>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</si>
  <si>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</si>
  <si>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</si>
  <si>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</si>
  <si>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</si>
  <si>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</si>
  <si>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</si>
  <si>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</si>
  <si>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</si>
  <si>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</si>
  <si>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</si>
  <si>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</si>
  <si>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</si>
  <si>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</si>
  <si>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</si>
  <si>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</si>
  <si>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</si>
  <si>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</si>
  <si>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</si>
  <si>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</si>
  <si>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</si>
  <si>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</si>
  <si>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</si>
  <si>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</si>
  <si>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</si>
  <si>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</si>
  <si>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</si>
  <si>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</si>
  <si>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</si>
  <si>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</si>
  <si>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</si>
  <si>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</si>
  <si>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</si>
  <si>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</si>
  <si>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</si>
  <si>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</si>
  <si>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</si>
  <si>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</si>
  <si>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</si>
  <si>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</si>
  <si>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</si>
  <si>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</si>
  <si>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</si>
  <si>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</si>
  <si>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</si>
  <si>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</si>
  <si>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</si>
  <si>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</si>
  <si>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</si>
  <si>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</si>
  <si>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</si>
  <si>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</si>
  <si>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</si>
  <si>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</si>
  <si>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</si>
  <si>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</si>
  <si>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</si>
  <si>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</si>
  <si>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</si>
  <si>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</si>
  <si>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</si>
  <si>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</si>
  <si>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</si>
  <si>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</si>
  <si>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</si>
  <si>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</si>
  <si>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</si>
  <si>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</si>
  <si>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</si>
  <si>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</si>
  <si>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</si>
  <si>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</si>
  <si>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</si>
  <si>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</si>
  <si>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</si>
  <si>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</si>
  <si>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</si>
  <si>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</si>
  <si>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</si>
  <si>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</si>
  <si>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</si>
  <si>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</si>
  <si>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</si>
  <si>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</si>
  <si>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</si>
  <si>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</si>
  <si>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</si>
  <si>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</si>
  <si>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</si>
  <si>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</si>
  <si>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</si>
  <si>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</si>
  <si>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</si>
  <si>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</si>
  <si>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</si>
  <si>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</si>
  <si>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</si>
  <si>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</si>
  <si>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</si>
  <si>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</si>
  <si>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</si>
  <si>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</si>
  <si>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</si>
  <si>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</si>
  <si>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</si>
  <si>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</si>
  <si>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</si>
  <si>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</si>
  <si>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</si>
  <si>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</si>
  <si>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</si>
  <si>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</si>
  <si>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</si>
  <si>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</si>
  <si>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</si>
  <si>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</si>
  <si>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</si>
  <si>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</si>
  <si>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</si>
  <si>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</si>
  <si>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</si>
  <si>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</si>
  <si>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</si>
  <si>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</si>
  <si>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</si>
  <si>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</si>
  <si>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</si>
  <si>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</si>
  <si>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</si>
  <si>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</si>
  <si>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</si>
  <si>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</si>
  <si>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</si>
  <si>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</si>
  <si>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</si>
  <si>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</si>
  <si>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</si>
  <si>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</si>
  <si>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</si>
  <si>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</si>
  <si>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</si>
  <si>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</si>
  <si>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</si>
  <si>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</si>
  <si>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</si>
  <si>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</si>
  <si>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</si>
  <si>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</si>
  <si>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</si>
  <si>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</si>
  <si>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</si>
  <si>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</si>
  <si>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</si>
  <si>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</si>
  <si>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</si>
  <si>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</si>
  <si>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</si>
  <si>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</si>
  <si>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</si>
  <si>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</si>
  <si>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</si>
  <si>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</si>
  <si>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</si>
  <si>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</si>
  <si>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</si>
  <si>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</si>
  <si>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</si>
  <si>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</si>
  <si>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</si>
  <si>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</si>
  <si>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</si>
  <si>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</si>
  <si>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</si>
  <si>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</si>
  <si>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</si>
  <si>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</si>
  <si>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</si>
  <si>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</si>
  <si>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</si>
  <si>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</si>
  <si>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</si>
  <si>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</si>
  <si>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</si>
  <si>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</si>
  <si>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</si>
  <si>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</si>
  <si>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</si>
  <si>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</si>
  <si>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</si>
  <si>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</si>
  <si>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</si>
  <si>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</si>
  <si>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</si>
  <si>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</si>
  <si>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</si>
  <si>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</si>
  <si>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</si>
  <si>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</si>
  <si>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</si>
  <si>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</si>
  <si>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</si>
  <si>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</si>
  <si>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</si>
  <si>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</si>
  <si>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</si>
  <si>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</si>
  <si>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</si>
  <si>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</si>
  <si>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</si>
  <si>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</si>
  <si>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</si>
  <si>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</si>
  <si>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</si>
  <si>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</si>
  <si>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</si>
  <si>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</si>
  <si>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</si>
  <si>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</si>
  <si>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</si>
  <si>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</si>
  <si>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</si>
  <si>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</si>
  <si>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</si>
  <si>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</si>
  <si>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</si>
  <si>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</si>
  <si>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</si>
  <si>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</si>
  <si>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</si>
  <si>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</si>
  <si>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</si>
  <si>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</si>
  <si>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</si>
  <si>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</si>
  <si>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</si>
  <si>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</si>
  <si>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</si>
  <si>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</si>
  <si>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</si>
  <si>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</si>
  <si>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</si>
  <si>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</si>
  <si>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</si>
  <si>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</si>
  <si>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</si>
  <si>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</si>
  <si>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</si>
  <si>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</si>
  <si>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</si>
  <si>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</si>
  <si>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</si>
  <si>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</si>
  <si>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</si>
  <si>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</si>
  <si>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</si>
  <si>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</si>
  <si>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</si>
  <si>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</si>
  <si>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</si>
  <si>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</si>
  <si>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</si>
  <si>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</si>
  <si>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</si>
  <si>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</si>
  <si>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</si>
  <si>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</si>
  <si>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</si>
  <si>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</si>
  <si>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</si>
  <si>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</si>
  <si>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</si>
  <si>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</si>
  <si>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</si>
  <si>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</si>
  <si>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</si>
  <si>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</si>
  <si>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</si>
  <si>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</si>
  <si>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</si>
  <si>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</si>
  <si>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</si>
  <si>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</si>
  <si>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</si>
  <si>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</si>
  <si>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</si>
  <si>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</si>
  <si>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</si>
  <si>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</si>
  <si>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</si>
  <si>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</si>
  <si>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</si>
  <si>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</si>
  <si>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</si>
  <si>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</si>
  <si>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</si>
  <si>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</si>
  <si>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</si>
  <si>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</si>
  <si>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</si>
  <si>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</si>
  <si>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</si>
  <si>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</si>
  <si>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</si>
  <si>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</si>
  <si>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</si>
  <si>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</si>
  <si>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</si>
  <si>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</si>
  <si>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</si>
  <si>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</si>
  <si>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</si>
  <si>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</si>
  <si>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</si>
  <si>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</si>
  <si>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</si>
  <si>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</si>
  <si>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</si>
  <si>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</si>
  <si>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</si>
  <si>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</si>
  <si>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</si>
  <si>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</si>
  <si>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</si>
  <si>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</si>
  <si>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</si>
  <si>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</si>
  <si>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</si>
  <si>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</si>
  <si>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</si>
  <si>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</si>
  <si>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</si>
  <si>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</si>
  <si>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</si>
  <si>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</si>
  <si>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</si>
  <si>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</si>
  <si>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</si>
  <si>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</si>
  <si>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</si>
  <si>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</si>
  <si>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</si>
  <si>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</si>
  <si>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</si>
  <si>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</si>
  <si>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</si>
  <si>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</si>
  <si>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</si>
  <si>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</si>
  <si>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</si>
  <si>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</si>
  <si>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</si>
  <si>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</si>
  <si>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</si>
  <si>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</si>
  <si>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</si>
  <si>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</si>
  <si>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</si>
  <si>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</si>
  <si>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</si>
  <si>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</si>
  <si>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</si>
  <si>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</si>
  <si>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</si>
  <si>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</si>
  <si>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</si>
  <si>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</si>
  <si>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</si>
  <si>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</si>
  <si>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</si>
  <si>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</si>
  <si>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</si>
  <si>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</si>
  <si>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</si>
  <si>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</si>
  <si>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</si>
  <si>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</si>
  <si>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</si>
  <si>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</si>
  <si>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</si>
  <si>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</si>
  <si>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</si>
  <si>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</si>
  <si>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</si>
  <si>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</si>
  <si>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</si>
  <si>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</si>
  <si>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</si>
  <si>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</si>
  <si>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</si>
  <si>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</si>
  <si>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</si>
  <si>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</si>
  <si>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</si>
  <si>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</si>
  <si>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</si>
  <si>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</si>
  <si>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</si>
  <si>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</si>
  <si>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</si>
  <si>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</si>
  <si>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</si>
  <si>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</si>
  <si>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</si>
  <si>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</si>
  <si>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</si>
  <si>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</si>
  <si>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</si>
  <si>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</si>
  <si>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</si>
  <si>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</si>
  <si>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</si>
  <si>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</si>
  <si>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</si>
  <si>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</si>
  <si>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</si>
  <si>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</si>
  <si>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</si>
  <si>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</si>
  <si>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</si>
  <si>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</si>
  <si>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</si>
  <si>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</si>
  <si>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</si>
  <si>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</si>
  <si>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</si>
  <si>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</si>
  <si>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</si>
  <si>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</si>
  <si>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</si>
  <si>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</si>
  <si>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</si>
  <si>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</si>
  <si>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</si>
  <si>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</si>
  <si>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</si>
  <si>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</si>
  <si>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</si>
  <si>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</si>
  <si>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</si>
  <si>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</si>
  <si>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</si>
  <si>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</si>
  <si>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</si>
  <si>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</si>
  <si>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</si>
  <si>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</si>
  <si>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</si>
  <si>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</si>
  <si>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</si>
  <si>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</si>
  <si>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</si>
  <si>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</si>
  <si>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</si>
  <si>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</si>
  <si>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</si>
  <si>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</si>
  <si>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</si>
  <si>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</si>
  <si>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</si>
  <si>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</si>
  <si>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</si>
  <si>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</si>
  <si>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</si>
  <si>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</si>
  <si>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</si>
  <si>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</si>
  <si>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</si>
  <si>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</si>
  <si>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</si>
  <si>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</si>
  <si>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</si>
  <si>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</si>
  <si>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</si>
  <si>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</si>
  <si>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</si>
  <si>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</si>
  <si>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</si>
  <si>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</si>
  <si>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</si>
  <si>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</si>
  <si>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</si>
  <si>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</si>
  <si>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</si>
  <si>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</si>
  <si>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</si>
  <si>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</si>
  <si>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</si>
  <si>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</si>
  <si>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</si>
  <si>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</si>
  <si>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</si>
  <si>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</si>
  <si>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</si>
  <si>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</si>
  <si>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</si>
  <si>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</si>
  <si>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</si>
  <si>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</si>
  <si>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</si>
  <si>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</si>
  <si>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</si>
  <si>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</si>
  <si>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</si>
  <si>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</si>
  <si>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</si>
  <si>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</si>
  <si>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</si>
  <si>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</si>
  <si>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</si>
  <si>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</si>
  <si>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</si>
  <si>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</si>
  <si>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</si>
  <si>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</si>
  <si>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</si>
  <si>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</si>
  <si>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</si>
  <si>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</si>
  <si>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</si>
  <si>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</si>
  <si>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</si>
  <si>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</si>
  <si>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</si>
  <si>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</si>
  <si>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</si>
  <si>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</si>
  <si>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</si>
  <si>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</si>
  <si>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</si>
  <si>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</si>
  <si>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</si>
  <si>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</si>
  <si>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</si>
  <si>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</si>
  <si>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</si>
  <si>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</si>
  <si>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</si>
  <si>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</si>
  <si>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</si>
  <si>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</si>
  <si>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</si>
  <si>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</si>
  <si>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</si>
  <si>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</si>
  <si>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</si>
  <si>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</si>
  <si>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</si>
  <si>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</si>
  <si>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</si>
  <si>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</si>
  <si>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</si>
  <si>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</si>
  <si>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</si>
  <si>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</si>
  <si>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</si>
  <si>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</si>
  <si>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</si>
  <si>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</si>
  <si>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</si>
  <si>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</si>
  <si>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</si>
  <si>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</si>
  <si>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</si>
  <si>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</si>
  <si>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</si>
  <si>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</si>
  <si>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</si>
  <si>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</si>
  <si>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</si>
  <si>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</si>
  <si>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</si>
  <si>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</si>
  <si>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</si>
  <si>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</si>
  <si>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</si>
  <si>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</si>
  <si>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</si>
  <si>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</si>
  <si>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</si>
  <si>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</si>
  <si>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</si>
  <si>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</si>
  <si>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</si>
  <si>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</si>
  <si>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</si>
  <si>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</si>
  <si>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</si>
  <si>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</si>
  <si>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</si>
  <si>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</si>
  <si>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</si>
  <si>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</si>
  <si>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</si>
  <si>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</si>
  <si>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</si>
  <si>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</si>
  <si>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</si>
  <si>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</si>
  <si>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</si>
  <si>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</si>
  <si>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</si>
  <si>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</si>
  <si>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</si>
  <si>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</si>
  <si>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</si>
  <si>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</si>
  <si>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</si>
  <si>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</si>
  <si>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</si>
  <si>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</si>
  <si>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</si>
  <si>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</si>
  <si>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</si>
  <si>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</si>
  <si>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</si>
  <si>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</si>
  <si>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</si>
  <si>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</si>
  <si>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</si>
  <si>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</si>
  <si>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</si>
  <si>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</si>
  <si>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</si>
  <si>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</si>
  <si>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</si>
  <si>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</si>
  <si>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</si>
  <si>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</si>
  <si>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</si>
  <si>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</si>
  <si>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</si>
  <si>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</si>
  <si>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</si>
  <si>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</si>
  <si>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</si>
  <si>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</si>
  <si>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</si>
  <si>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</si>
  <si>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</si>
  <si>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</si>
  <si>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</si>
  <si>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</si>
  <si>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</si>
  <si>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</si>
  <si>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</si>
  <si>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</si>
  <si>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</si>
  <si>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</si>
  <si>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</si>
  <si>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</si>
  <si>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</si>
  <si>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</si>
  <si>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</si>
  <si>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</si>
  <si>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</si>
  <si>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</si>
  <si>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</si>
  <si>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</si>
  <si>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</si>
  <si>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</si>
  <si>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</si>
  <si>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</si>
  <si>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</si>
  <si>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</si>
  <si>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</si>
  <si>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</si>
  <si>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</si>
  <si>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</si>
  <si>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</si>
  <si>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</si>
  <si>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</si>
  <si>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</si>
  <si>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</si>
  <si>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</si>
  <si>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</si>
  <si>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</si>
  <si>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</si>
  <si>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</si>
  <si>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</si>
  <si>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</si>
  <si>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</si>
  <si>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</si>
  <si>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</si>
  <si>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</si>
  <si>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</si>
  <si>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</si>
  <si>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</si>
  <si>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</si>
  <si>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</si>
  <si>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</si>
  <si>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</si>
  <si>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</si>
  <si>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</si>
  <si>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</si>
  <si>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</si>
  <si>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</si>
  <si>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</si>
  <si>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</si>
  <si>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</si>
  <si>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</si>
  <si>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</si>
  <si>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</si>
  <si>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</si>
  <si>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</si>
  <si>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</si>
  <si>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</si>
  <si>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</si>
  <si>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</si>
  <si>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</si>
  <si>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</si>
  <si>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</si>
  <si>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</si>
  <si>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</si>
  <si>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</si>
  <si>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</si>
  <si>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</si>
  <si>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</si>
  <si>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</si>
  <si>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</si>
  <si>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</si>
  <si>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</si>
  <si>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</si>
  <si>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</si>
  <si>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</si>
  <si>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</si>
  <si>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</si>
  <si>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</si>
  <si>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</si>
  <si>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</si>
  <si>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</si>
  <si>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</si>
  <si>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</si>
  <si>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</si>
  <si>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</si>
  <si>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</si>
  <si>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</si>
  <si>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</si>
  <si>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</si>
  <si>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</si>
  <si>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</si>
  <si>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</si>
  <si>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</si>
  <si>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</si>
  <si>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</si>
  <si>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</si>
  <si>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</si>
  <si>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</si>
  <si>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</si>
  <si>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</si>
  <si>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</si>
  <si>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</si>
  <si>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</si>
  <si>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</si>
  <si>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</si>
  <si>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</si>
  <si>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</si>
  <si>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</si>
  <si>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</si>
  <si>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</si>
  <si>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</si>
  <si>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</si>
  <si>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</si>
  <si>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</si>
  <si>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</si>
  <si>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</si>
  <si>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</si>
  <si>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</si>
  <si>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</si>
  <si>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</si>
  <si>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</si>
  <si>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</si>
  <si>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</si>
  <si>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</si>
  <si>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</si>
  <si>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</si>
  <si>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</si>
  <si>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</si>
  <si>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</si>
  <si>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</si>
  <si>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</si>
  <si>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</si>
  <si>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</si>
  <si>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</si>
  <si>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</si>
  <si>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</si>
  <si>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</si>
  <si>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</si>
  <si>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</si>
  <si>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</si>
  <si>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</si>
  <si>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</si>
  <si>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</si>
  <si>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</si>
  <si>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</si>
  <si>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</si>
  <si>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</si>
  <si>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</si>
  <si>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</si>
  <si>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</si>
  <si>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</si>
  <si>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</si>
  <si>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</si>
  <si>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</si>
  <si>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</si>
  <si>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</si>
  <si>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</si>
  <si>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</si>
  <si>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</si>
  <si>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</si>
  <si>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</si>
  <si>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</si>
  <si>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</si>
  <si>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</si>
  <si>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</si>
  <si>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</si>
  <si>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</si>
  <si>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</si>
  <si>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</si>
  <si>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</si>
  <si>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</si>
  <si>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</si>
  <si>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</si>
  <si>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</si>
  <si>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</si>
  <si>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</si>
  <si>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</si>
  <si>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</si>
  <si>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</si>
  <si>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</si>
  <si>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</si>
  <si>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</si>
  <si>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</si>
  <si>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</si>
  <si>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</si>
  <si>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</si>
  <si>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</si>
  <si>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</si>
  <si>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</si>
  <si>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</si>
  <si>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</si>
  <si>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</si>
  <si>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</si>
  <si>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</si>
  <si>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</si>
  <si>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</si>
  <si>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</si>
  <si>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</si>
  <si>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</si>
  <si>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</si>
  <si>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</si>
  <si>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</si>
  <si>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</si>
  <si>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</si>
  <si>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</si>
  <si>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</si>
  <si>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</si>
  <si>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</si>
  <si>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</si>
  <si>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</si>
  <si>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</si>
  <si>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</si>
  <si>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</si>
  <si>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</si>
  <si>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</si>
  <si>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</si>
  <si>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</si>
  <si>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</si>
  <si>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</si>
  <si>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</si>
  <si>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</si>
  <si>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</si>
  <si>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</si>
  <si>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</si>
  <si>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</si>
  <si>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</si>
  <si>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</si>
  <si>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</si>
  <si>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</si>
  <si>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</si>
  <si>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</si>
  <si>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</si>
  <si>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</si>
  <si>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</si>
  <si>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</si>
  <si>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</si>
  <si>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</si>
  <si>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</si>
  <si>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</si>
  <si>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</si>
  <si>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</si>
  <si>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</si>
  <si>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</si>
  <si>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</si>
  <si>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</si>
  <si>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</si>
  <si>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</si>
  <si>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</si>
  <si>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</si>
  <si>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</si>
  <si>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</si>
  <si>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</si>
  <si>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</si>
  <si>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</si>
  <si>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</si>
  <si>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</si>
  <si>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</si>
  <si>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</si>
  <si>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</si>
  <si>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</si>
  <si>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</si>
  <si>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</si>
  <si>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</si>
  <si>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</si>
  <si>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</si>
  <si>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</si>
  <si>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</si>
  <si>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</si>
  <si>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</si>
  <si>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</si>
  <si>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</si>
  <si>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</si>
  <si>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</si>
  <si>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</si>
  <si>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</si>
  <si>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</si>
  <si>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</si>
  <si>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</si>
  <si>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</si>
  <si>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</si>
  <si>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</si>
  <si>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</si>
  <si>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</si>
  <si>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</si>
  <si>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</si>
  <si>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</si>
  <si>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</si>
  <si>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</si>
  <si>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</si>
  <si>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</si>
  <si>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</si>
  <si>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</si>
  <si>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</si>
  <si>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</si>
  <si>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</si>
  <si>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</si>
  <si>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</si>
  <si>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</si>
  <si>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</si>
  <si>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</si>
  <si>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</si>
  <si>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</si>
  <si>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</si>
  <si>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</si>
  <si>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</si>
  <si>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</si>
  <si>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</si>
  <si>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</si>
  <si>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</si>
  <si>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</si>
  <si>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</si>
  <si>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</si>
  <si>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</si>
  <si>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</si>
  <si>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</si>
  <si>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</si>
  <si>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</si>
  <si>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</si>
  <si>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</si>
  <si>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</si>
  <si>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</si>
  <si>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</si>
  <si>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</si>
  <si>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</si>
  <si>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</si>
  <si>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</si>
  <si>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</si>
  <si>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</si>
  <si>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</si>
  <si>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</si>
  <si>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</si>
  <si>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</si>
  <si>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</si>
  <si>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</si>
  <si>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</si>
  <si>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</si>
  <si>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</si>
  <si>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</si>
  <si>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</si>
  <si>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</si>
  <si>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</si>
  <si>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</si>
  <si>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</si>
  <si>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</si>
  <si>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</si>
  <si>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</si>
  <si>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</si>
  <si>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</si>
  <si>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</si>
  <si>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</si>
  <si>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</si>
  <si>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</si>
  <si>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</si>
  <si>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</si>
  <si>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</si>
  <si>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</si>
  <si>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</si>
  <si>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</si>
  <si>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</si>
  <si>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</si>
  <si>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</si>
  <si>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</si>
  <si>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</si>
  <si>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</si>
  <si>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</si>
  <si>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</si>
  <si>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</si>
  <si>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</si>
  <si>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</si>
  <si>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</si>
  <si>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</si>
  <si>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</si>
  <si>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</si>
  <si>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</si>
  <si>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</si>
  <si>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</si>
  <si>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</si>
  <si>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</si>
  <si>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</si>
  <si>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</si>
  <si>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</si>
  <si>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</si>
  <si>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</si>
  <si>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</si>
  <si>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</si>
  <si>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</si>
  <si>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</si>
  <si>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</si>
  <si>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</si>
  <si>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</si>
  <si>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</si>
  <si>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</si>
  <si>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</si>
  <si>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</si>
  <si>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</si>
  <si>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</si>
  <si>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</si>
  <si>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</si>
  <si>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</si>
  <si>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</si>
  <si>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</si>
  <si>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</si>
  <si>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</si>
  <si>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</si>
  <si>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</si>
  <si>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</si>
  <si>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</si>
  <si>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</si>
  <si>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</si>
  <si>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</si>
  <si>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</si>
  <si>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</si>
  <si>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</si>
  <si>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</si>
  <si>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</si>
  <si>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</si>
  <si>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</si>
  <si>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</si>
  <si>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</si>
  <si>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</si>
  <si>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</si>
  <si>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</si>
  <si>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</si>
  <si>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</si>
  <si>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</si>
  <si>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</si>
  <si>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</si>
  <si>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</si>
  <si>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</si>
  <si>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</si>
  <si>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</si>
  <si>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</si>
  <si>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</si>
  <si>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</si>
  <si>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</si>
  <si>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</si>
  <si>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</si>
  <si>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</si>
  <si>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</si>
  <si>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</si>
  <si>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</si>
  <si>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</si>
  <si>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</si>
  <si>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</si>
  <si>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</si>
  <si>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</si>
  <si>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</si>
  <si>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</si>
  <si>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</si>
  <si>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</si>
  <si>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</si>
  <si>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</si>
  <si>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</si>
  <si>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</si>
  <si>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</si>
  <si>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</si>
  <si>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</si>
  <si>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</si>
  <si>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</si>
  <si>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</si>
  <si>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</si>
  <si>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</si>
  <si>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</si>
  <si>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</si>
  <si>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</si>
  <si>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</si>
  <si>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</si>
  <si>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</si>
  <si>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</si>
  <si>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</si>
  <si>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</si>
  <si>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</si>
  <si>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</si>
  <si>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</si>
  <si>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</si>
  <si>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</si>
  <si>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</si>
  <si>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</si>
  <si>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</si>
  <si>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</si>
  <si>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</si>
  <si>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</si>
  <si>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</si>
  <si>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</si>
  <si>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</si>
  <si>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</si>
  <si>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</si>
  <si>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</si>
  <si>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</si>
  <si>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</si>
  <si>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</si>
  <si>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</si>
  <si>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</si>
  <si>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</si>
  <si>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</si>
  <si>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</si>
  <si>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</si>
  <si>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</si>
  <si>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</si>
  <si>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</si>
  <si>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</si>
  <si>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</si>
  <si>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</si>
  <si>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</si>
  <si>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</si>
  <si>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</si>
  <si>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</si>
  <si>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</si>
  <si>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</si>
  <si>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</si>
  <si>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</si>
  <si>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</si>
  <si>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</si>
  <si>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</si>
  <si>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</si>
  <si>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</si>
  <si>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</si>
  <si>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</si>
  <si>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</si>
  <si>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</si>
  <si>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</si>
  <si>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</si>
  <si>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</si>
  <si>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</si>
  <si>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</si>
  <si>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</si>
  <si>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</si>
  <si>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</si>
  <si>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</si>
  <si>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</si>
  <si>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</si>
  <si>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</si>
  <si>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</si>
  <si>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</si>
  <si>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</si>
  <si>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</si>
  <si>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</si>
  <si>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</si>
  <si>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</si>
  <si>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</si>
  <si>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</si>
  <si>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</si>
  <si>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</si>
  <si>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</si>
  <si>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</si>
  <si>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</si>
  <si>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</si>
  <si>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</si>
  <si>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</si>
  <si>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</si>
  <si>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</si>
  <si>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</si>
  <si>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</si>
  <si>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</si>
  <si>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</si>
  <si>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</si>
  <si>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</si>
  <si>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</si>
  <si>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</si>
  <si>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</si>
  <si>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</si>
  <si>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</si>
  <si>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</si>
  <si>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</si>
  <si>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</si>
  <si>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</si>
  <si>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</si>
  <si>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</si>
  <si>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</si>
  <si>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</si>
  <si>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</si>
  <si>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</si>
  <si>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</si>
  <si>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</si>
  <si>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</si>
  <si>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</si>
  <si>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</si>
  <si>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</si>
  <si>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</si>
  <si>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</si>
  <si>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</si>
  <si>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</si>
  <si>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</si>
  <si>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</si>
  <si>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</si>
  <si>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</si>
  <si>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</si>
  <si>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</si>
  <si>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</si>
  <si>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</si>
  <si>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</si>
  <si>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</si>
  <si>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</si>
  <si>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</si>
  <si>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</si>
  <si>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</si>
  <si>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</si>
  <si>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</si>
  <si>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</si>
  <si>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</si>
  <si>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</si>
  <si>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</si>
  <si>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</si>
  <si>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</si>
  <si>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</si>
  <si>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</si>
  <si>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</si>
  <si>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</si>
  <si>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</si>
  <si>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</si>
  <si>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</si>
  <si>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</si>
  <si>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</si>
  <si>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</si>
  <si>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</si>
  <si>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</si>
  <si>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</si>
  <si>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</si>
  <si>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</si>
  <si>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</si>
  <si>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</si>
  <si>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</si>
  <si>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</si>
  <si>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</si>
  <si>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</si>
  <si>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</si>
  <si>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</si>
  <si>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</si>
  <si>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</si>
  <si>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</si>
  <si>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</si>
  <si>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</si>
  <si>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</si>
  <si>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</si>
  <si>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</si>
  <si>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</si>
  <si>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</si>
  <si>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</si>
  <si>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</si>
  <si>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</si>
  <si>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</si>
  <si>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</si>
  <si>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</si>
  <si>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</si>
  <si>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</si>
  <si>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</si>
  <si>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</si>
  <si>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</si>
  <si>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</si>
  <si>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</si>
  <si>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</si>
  <si>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</si>
  <si>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</si>
  <si>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</si>
  <si>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</si>
  <si>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</si>
  <si>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</si>
  <si>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</si>
  <si>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</si>
  <si>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</si>
  <si>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</si>
  <si>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</si>
  <si>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</si>
  <si>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</si>
  <si>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</si>
  <si>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</si>
  <si>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</si>
  <si>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</si>
  <si>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</si>
  <si>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</si>
  <si>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</si>
  <si>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</si>
  <si>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</si>
  <si>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</si>
  <si>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</si>
  <si>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</si>
  <si>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</si>
  <si>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</si>
  <si>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</si>
  <si>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</si>
  <si>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</si>
  <si>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</si>
  <si>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</si>
  <si>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</si>
  <si>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</si>
  <si>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</si>
  <si>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</si>
  <si>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</si>
  <si>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</si>
  <si>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</si>
  <si>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</si>
  <si>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</si>
  <si>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</si>
  <si>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</si>
  <si>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</si>
  <si>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</si>
  <si>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</si>
  <si>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</si>
  <si>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</si>
  <si>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</si>
  <si>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</si>
  <si>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</si>
  <si>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</si>
  <si>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</si>
  <si>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</si>
  <si>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</si>
  <si>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</si>
  <si>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</si>
  <si>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</si>
  <si>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</si>
  <si>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</si>
  <si>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</si>
  <si>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</si>
  <si>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</si>
  <si>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</si>
  <si>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</si>
  <si>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</si>
  <si>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</si>
  <si>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</si>
  <si>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</si>
  <si>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</si>
  <si>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</si>
  <si>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</si>
  <si>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</si>
  <si>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</si>
  <si>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</si>
  <si>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</si>
  <si>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</si>
  <si>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</si>
  <si>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</si>
  <si>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</si>
  <si>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</si>
  <si>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</si>
  <si>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</si>
  <si>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</si>
  <si>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</si>
  <si>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</si>
  <si>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</si>
  <si>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</si>
  <si>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</si>
  <si>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</si>
  <si>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</si>
  <si>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</si>
  <si>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</si>
  <si>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</si>
  <si>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</si>
  <si>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</si>
  <si>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</si>
  <si>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</si>
  <si>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</si>
  <si>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</si>
  <si>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</si>
  <si>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</si>
  <si>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</si>
  <si>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</si>
  <si>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</si>
  <si>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</si>
  <si>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</si>
  <si>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</si>
  <si>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</si>
  <si>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</si>
  <si>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</si>
  <si>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</si>
  <si>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</si>
  <si>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</si>
  <si>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</si>
  <si>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</si>
  <si>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</si>
  <si>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</si>
  <si>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</si>
  <si>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</si>
  <si>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</si>
  <si>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</si>
  <si>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</si>
  <si>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</si>
  <si>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</si>
  <si>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</si>
  <si>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</si>
  <si>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</si>
  <si>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</si>
  <si>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</si>
  <si>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</si>
  <si>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</si>
  <si>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</si>
  <si>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</si>
  <si>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</si>
  <si>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</si>
  <si>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</si>
  <si>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</si>
  <si>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</si>
  <si>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</si>
  <si>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</si>
  <si>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</si>
  <si>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</si>
  <si>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</si>
  <si>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</si>
  <si>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</si>
  <si>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</si>
  <si>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</si>
  <si>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</si>
  <si>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</si>
  <si>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</si>
  <si>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</si>
  <si>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</si>
  <si>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</si>
  <si>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</si>
  <si>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</si>
  <si>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</si>
  <si>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</si>
  <si>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</si>
  <si>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</si>
  <si>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</si>
  <si>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</si>
  <si>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</si>
  <si>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</si>
  <si>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</si>
  <si>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</si>
  <si>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</si>
  <si>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</si>
  <si>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</si>
  <si>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</si>
  <si>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</si>
  <si>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</si>
  <si>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</si>
  <si>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</si>
  <si>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</si>
  <si>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</si>
  <si>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</si>
  <si>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</si>
  <si>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</si>
  <si>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</si>
  <si>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</si>
  <si>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</si>
  <si>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</si>
  <si>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</si>
  <si>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</si>
  <si>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</si>
  <si>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</si>
  <si>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</si>
  <si>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</si>
  <si>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</si>
  <si>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</si>
  <si>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</si>
  <si>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</si>
  <si>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</si>
  <si>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</si>
  <si>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</si>
  <si>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</si>
  <si>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</si>
  <si>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</si>
  <si>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</si>
  <si>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</si>
  <si>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</si>
  <si>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</si>
  <si>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</si>
  <si>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</si>
  <si>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</si>
  <si>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</si>
  <si>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</si>
  <si>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</si>
  <si>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</si>
  <si>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</si>
  <si>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</si>
  <si>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</si>
  <si>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</si>
  <si>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</si>
  <si>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</si>
  <si>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</si>
  <si>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</si>
  <si>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</si>
  <si>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</si>
  <si>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</si>
  <si>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</si>
  <si>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</si>
  <si>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</si>
  <si>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</si>
  <si>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</si>
  <si>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</si>
  <si>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</si>
  <si>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</si>
  <si>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</si>
  <si>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</si>
  <si>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</si>
  <si>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</si>
  <si>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</si>
  <si>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</si>
  <si>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</si>
  <si>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</si>
  <si>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</si>
  <si>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</si>
  <si>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</si>
  <si>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</si>
  <si>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</si>
  <si>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</si>
  <si>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</si>
  <si>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</si>
  <si>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</si>
  <si>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</si>
  <si>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</si>
  <si>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</si>
  <si>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</si>
  <si>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</si>
  <si>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</si>
  <si>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</si>
  <si>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</si>
  <si>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</si>
  <si>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</si>
  <si>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</si>
  <si>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</si>
  <si>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</si>
  <si>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</si>
  <si>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</si>
  <si>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</si>
  <si>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</si>
  <si>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</si>
  <si>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</si>
  <si>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</si>
  <si>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</si>
  <si>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</si>
  <si>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</si>
  <si>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</si>
  <si>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</si>
  <si>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</si>
  <si>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</si>
  <si>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</si>
  <si>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</si>
  <si>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</si>
  <si>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</si>
  <si>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</si>
  <si>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</si>
  <si>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</si>
  <si>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</si>
  <si>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</si>
  <si>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</si>
  <si>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</si>
  <si>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</si>
  <si>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</si>
  <si>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</si>
  <si>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</si>
  <si>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</si>
  <si>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</si>
  <si>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</si>
  <si>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</si>
  <si>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</si>
  <si>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</si>
  <si>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</si>
  <si>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</si>
  <si>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</si>
  <si>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</si>
  <si>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</si>
  <si>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</si>
  <si>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</si>
  <si>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</si>
  <si>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</si>
  <si>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</si>
  <si>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</si>
  <si>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</si>
  <si>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</si>
  <si>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</si>
  <si>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</si>
  <si>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</si>
  <si>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</si>
  <si>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</si>
  <si>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</si>
  <si>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</si>
  <si>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</si>
  <si>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</si>
  <si>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</si>
  <si>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</si>
  <si>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</si>
  <si>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</si>
  <si>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</si>
  <si>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</si>
  <si>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</si>
  <si>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</si>
  <si>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</si>
  <si>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</si>
  <si>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</si>
  <si>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</si>
  <si>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</si>
  <si>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</si>
  <si>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</si>
  <si>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</si>
  <si>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</si>
  <si>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</si>
  <si>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</si>
  <si>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</si>
  <si>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</si>
  <si>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</si>
  <si>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</si>
  <si>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</si>
  <si>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</si>
  <si>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</si>
  <si>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</si>
  <si>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</si>
  <si>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</si>
  <si>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</si>
  <si>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</si>
  <si>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</si>
  <si>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</si>
  <si>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</si>
  <si>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</si>
  <si>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</si>
  <si>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</si>
  <si>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</si>
  <si>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</si>
  <si>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</si>
  <si>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</si>
  <si>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</si>
  <si>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</si>
  <si>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</si>
  <si>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</si>
  <si>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</si>
  <si>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</si>
  <si>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</si>
  <si>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</si>
  <si>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</si>
  <si>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</si>
  <si>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</si>
  <si>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</si>
  <si>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</si>
  <si>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</si>
  <si>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</si>
  <si>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</si>
  <si>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</si>
  <si>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</si>
  <si>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</si>
  <si>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</si>
  <si>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</si>
  <si>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</si>
  <si>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</si>
  <si>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</si>
  <si>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</si>
  <si>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</si>
  <si>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</si>
  <si>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</si>
  <si>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</si>
  <si>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</si>
  <si>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</si>
  <si>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</si>
  <si>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</si>
  <si>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</si>
  <si>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</si>
  <si>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</si>
  <si>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</si>
  <si>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</si>
  <si>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</si>
  <si>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</si>
  <si>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</si>
  <si>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</si>
  <si>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</si>
  <si>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</si>
  <si>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</si>
  <si>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</si>
  <si>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</si>
  <si>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</si>
  <si>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</si>
  <si>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</si>
  <si>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</si>
  <si>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</si>
  <si>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</si>
  <si>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</si>
  <si>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</si>
  <si>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</si>
  <si>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</si>
  <si>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</si>
  <si>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</si>
  <si>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</si>
  <si>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</si>
  <si>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</si>
  <si>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</si>
  <si>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</si>
  <si>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</si>
  <si>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</si>
  <si>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</si>
  <si>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</si>
  <si>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</si>
  <si>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</si>
  <si>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</si>
  <si>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</si>
  <si>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</si>
  <si>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</si>
  <si>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</si>
  <si>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</si>
  <si>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</si>
  <si>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</si>
  <si>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</si>
  <si>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</si>
  <si>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</si>
  <si>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</si>
  <si>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</si>
  <si>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</si>
  <si>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</si>
  <si>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</si>
  <si>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</si>
  <si>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</si>
  <si>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</si>
  <si>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</si>
  <si>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</si>
  <si>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</si>
  <si>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</si>
  <si>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</si>
  <si>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</si>
  <si>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</si>
  <si>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</si>
  <si>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</si>
  <si>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</si>
  <si>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</si>
  <si>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</si>
  <si>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</si>
  <si>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</si>
  <si>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</si>
  <si>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</si>
  <si>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</si>
  <si>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</si>
  <si>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</si>
  <si>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</si>
  <si>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</si>
  <si>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</si>
  <si>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</si>
  <si>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</si>
  <si>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</si>
  <si>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</si>
  <si>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</si>
  <si>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</si>
  <si>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</si>
  <si>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</si>
  <si>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</si>
  <si>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</si>
  <si>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</si>
  <si>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</si>
  <si>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</si>
  <si>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</si>
  <si>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</si>
  <si>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</si>
  <si>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</si>
  <si>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</si>
  <si>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</si>
  <si>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</si>
  <si>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</si>
  <si>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</si>
  <si>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</si>
  <si>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</si>
  <si>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</si>
  <si>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</si>
  <si>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</si>
  <si>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</si>
  <si>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</si>
  <si>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</si>
  <si>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</si>
  <si>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</si>
  <si>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</si>
  <si>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</si>
  <si>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</si>
  <si>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</si>
  <si>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</si>
  <si>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</si>
  <si>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</si>
  <si>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</si>
  <si>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</si>
  <si>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</si>
  <si>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</si>
  <si>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</si>
  <si>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</si>
  <si>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</si>
  <si>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</si>
  <si>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</si>
  <si>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</si>
  <si>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</si>
  <si>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</si>
  <si>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</si>
  <si>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</si>
  <si>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</si>
  <si>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</si>
  <si>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</si>
  <si>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</si>
  <si>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</si>
  <si>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</si>
  <si>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</si>
  <si>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</si>
  <si>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</si>
  <si>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</si>
  <si>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</si>
  <si>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</si>
  <si>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</si>
  <si>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</si>
  <si>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</si>
  <si>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</si>
  <si>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</si>
  <si>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</si>
  <si>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</si>
  <si>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</si>
  <si>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</si>
  <si>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</si>
  <si>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</si>
  <si>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</si>
  <si>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</si>
  <si>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</si>
  <si>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</si>
  <si>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</si>
  <si>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</si>
  <si>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</si>
  <si>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</si>
  <si>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</si>
  <si>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</si>
  <si>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</si>
  <si>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</si>
  <si>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</si>
  <si>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</si>
  <si>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</si>
  <si>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</si>
  <si>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</si>
  <si>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</si>
  <si>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</si>
  <si>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</si>
  <si>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</si>
  <si>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</si>
  <si>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</si>
  <si>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</si>
  <si>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</si>
  <si>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</si>
  <si>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</si>
  <si>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</si>
  <si>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</si>
  <si>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</si>
  <si>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</si>
  <si>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</si>
  <si>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</si>
  <si>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</si>
  <si>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</si>
  <si>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</si>
  <si>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</si>
  <si>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</si>
  <si>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</si>
  <si>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</si>
  <si>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</si>
  <si>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</si>
  <si>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</si>
  <si>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</si>
  <si>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</si>
  <si>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</si>
  <si>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</si>
  <si>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</si>
  <si>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</si>
  <si>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</si>
  <si>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</si>
  <si>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</si>
  <si>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</si>
  <si>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</si>
  <si>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</si>
  <si>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</si>
  <si>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</si>
  <si>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</si>
  <si>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</si>
  <si>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</si>
  <si>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</si>
  <si>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</si>
  <si>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</si>
  <si>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</si>
  <si>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</si>
  <si>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</si>
  <si>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</si>
  <si>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</si>
  <si>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</si>
  <si>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</si>
  <si>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</si>
  <si>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</si>
  <si>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</si>
  <si>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</si>
  <si>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</si>
  <si>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</si>
  <si>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</si>
  <si>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</si>
  <si>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</si>
  <si>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</si>
  <si>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</si>
  <si>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</si>
  <si>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</si>
  <si>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</si>
  <si>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</si>
  <si>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</si>
  <si>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</si>
  <si>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</si>
  <si>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</si>
  <si>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</si>
  <si>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</si>
  <si>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</si>
  <si>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</si>
  <si>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</si>
  <si>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</si>
  <si>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</si>
  <si>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</si>
  <si>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</si>
  <si>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</si>
  <si>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</si>
  <si>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</si>
  <si>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</si>
  <si>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</si>
  <si>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</si>
  <si>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</si>
  <si>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</si>
  <si>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</si>
  <si>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</si>
  <si>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</si>
  <si>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</si>
  <si>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</si>
  <si>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</si>
  <si>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</si>
  <si>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</si>
  <si>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</si>
  <si>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</si>
  <si>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</si>
  <si>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</si>
  <si>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</si>
  <si>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</si>
  <si>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</si>
  <si>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</si>
  <si>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</si>
  <si>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</si>
  <si>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</si>
  <si>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</si>
  <si>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</si>
  <si>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</si>
  <si>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</si>
  <si>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</si>
  <si>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</si>
  <si>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</si>
  <si>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</si>
  <si>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</si>
  <si>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</si>
  <si>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</si>
  <si>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</si>
  <si>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</si>
  <si>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</si>
  <si>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</si>
  <si>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</si>
  <si>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</si>
  <si>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</si>
  <si>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</si>
  <si>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</si>
  <si>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</si>
  <si>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</si>
  <si>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</si>
  <si>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</si>
  <si>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</si>
  <si>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</si>
  <si>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</si>
  <si>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</si>
  <si>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</si>
  <si>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</si>
  <si>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</si>
  <si>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</si>
  <si>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</si>
  <si>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</si>
  <si>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</si>
  <si>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</si>
  <si>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</si>
  <si>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</si>
  <si>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</si>
  <si>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</si>
  <si>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</si>
  <si>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</si>
  <si>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</si>
  <si>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</si>
  <si>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</si>
  <si>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</si>
  <si>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</si>
  <si>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</si>
  <si>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</si>
  <si>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</si>
  <si>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</si>
  <si>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</si>
  <si>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</si>
  <si>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</si>
  <si>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</si>
  <si>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</si>
  <si>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</si>
  <si>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</si>
  <si>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</si>
  <si>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</si>
  <si>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</si>
  <si>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</si>
  <si>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</si>
  <si>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</si>
  <si>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</si>
  <si>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</si>
  <si>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</si>
  <si>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</si>
  <si>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</si>
  <si>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</si>
  <si>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</si>
  <si>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</si>
  <si>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</si>
  <si>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</si>
  <si>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</si>
  <si>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</si>
  <si>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</si>
  <si>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</si>
  <si>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</si>
  <si>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</si>
  <si>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</si>
  <si>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</si>
  <si>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</si>
  <si>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</si>
  <si>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</si>
  <si>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</si>
  <si>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</si>
  <si>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</si>
  <si>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</si>
  <si>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</si>
  <si>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</si>
  <si>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</si>
  <si>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</si>
  <si>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</si>
  <si>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</si>
  <si>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</si>
  <si>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</si>
  <si>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</si>
  <si>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</si>
  <si>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</si>
  <si>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</si>
  <si>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</si>
  <si>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</si>
  <si>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</si>
  <si>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</si>
  <si>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</si>
  <si>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</si>
  <si>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</si>
  <si>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</si>
  <si>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</si>
  <si>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</si>
  <si>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</si>
  <si>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</si>
  <si>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</si>
  <si>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</si>
  <si>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</si>
  <si>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</si>
  <si>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</si>
  <si>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</si>
  <si>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</si>
  <si>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</si>
  <si>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</si>
  <si>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</si>
  <si>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</si>
  <si>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</si>
  <si>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</si>
  <si>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</si>
  <si>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</si>
  <si>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</si>
  <si>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</si>
  <si>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</si>
  <si>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</si>
  <si>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</si>
  <si>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</si>
  <si>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</si>
  <si>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</si>
  <si>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</si>
  <si>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</si>
  <si>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</si>
  <si>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</si>
  <si>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</si>
  <si>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</si>
  <si>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</si>
  <si>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</si>
  <si>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</si>
  <si>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</si>
  <si>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</si>
  <si>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</si>
  <si>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</si>
  <si>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</si>
  <si>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</si>
  <si>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</si>
  <si>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</si>
  <si>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</si>
  <si>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</si>
  <si>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</si>
  <si>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</si>
  <si>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</si>
  <si>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</si>
  <si>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</si>
  <si>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</si>
  <si>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</si>
  <si>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</si>
  <si>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</si>
  <si>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</si>
  <si>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</si>
  <si>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</si>
  <si>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</si>
  <si>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</si>
  <si>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</si>
  <si>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</si>
  <si>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</si>
  <si>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</si>
  <si>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</si>
  <si>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</si>
  <si>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</si>
  <si>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</si>
  <si>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</si>
  <si>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</si>
  <si>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</si>
  <si>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</si>
  <si>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</si>
  <si>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</si>
  <si>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</si>
  <si>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</si>
  <si>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</si>
  <si>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</si>
  <si>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</si>
  <si>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</si>
  <si>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</si>
  <si>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</si>
  <si>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</si>
  <si>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</si>
  <si>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</si>
  <si>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</si>
  <si>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</si>
  <si>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</si>
  <si>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</si>
  <si>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</si>
  <si>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</si>
  <si>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</si>
  <si>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</si>
  <si>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</si>
  <si>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</si>
  <si>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</si>
  <si>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</si>
  <si>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</si>
  <si>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</si>
  <si>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</si>
  <si>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</si>
  <si>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</si>
  <si>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</si>
  <si>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</si>
  <si>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</si>
  <si>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</si>
  <si>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</si>
  <si>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</si>
  <si>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</si>
  <si>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</si>
  <si>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</si>
  <si>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</si>
  <si>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</si>
  <si>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</si>
  <si>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</si>
  <si>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</si>
  <si>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</si>
  <si>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</si>
  <si>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</si>
  <si>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</si>
  <si>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</si>
  <si>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</si>
  <si>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</si>
  <si>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</si>
  <si>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</si>
  <si>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</si>
  <si>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</si>
  <si>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</si>
  <si>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</si>
  <si>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</si>
  <si>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</si>
  <si>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</si>
  <si>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</si>
  <si>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</si>
  <si>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</si>
  <si>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</si>
  <si>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</si>
  <si>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</si>
  <si>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</si>
  <si>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</si>
  <si>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</si>
  <si>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</si>
  <si>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</si>
  <si>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</si>
  <si>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</si>
  <si>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</si>
  <si>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</si>
  <si>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</si>
  <si>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</si>
  <si>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</si>
  <si>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</si>
  <si>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</si>
  <si>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</si>
  <si>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</si>
  <si>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</si>
  <si>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</si>
  <si>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</si>
  <si>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</si>
  <si>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</si>
  <si>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</si>
  <si>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</si>
  <si>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</si>
  <si>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</si>
  <si>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</si>
  <si>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</si>
  <si>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</si>
  <si>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</si>
  <si>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</si>
  <si>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</si>
  <si>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</si>
  <si>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</si>
  <si>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</si>
  <si>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</si>
  <si>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</si>
  <si>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</si>
  <si>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</si>
  <si>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</si>
  <si>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</si>
  <si>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</si>
  <si>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</si>
  <si>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</si>
  <si>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</si>
  <si>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</si>
  <si>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</si>
  <si>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</si>
  <si>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</si>
  <si>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</si>
  <si>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</si>
  <si>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</si>
  <si>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</si>
  <si>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</si>
  <si>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</si>
  <si>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</si>
  <si>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</si>
  <si>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</si>
  <si>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</si>
  <si>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</si>
  <si>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</si>
  <si>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</si>
  <si>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</si>
  <si>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</si>
  <si>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</si>
  <si>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</si>
  <si>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</si>
  <si>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</si>
  <si>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</si>
  <si>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</si>
  <si>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</si>
  <si>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</si>
  <si>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</si>
  <si>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</si>
  <si>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</si>
  <si>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</si>
  <si>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</si>
  <si>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</si>
  <si>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</si>
  <si>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</si>
  <si>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</si>
  <si>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</si>
  <si>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</si>
  <si>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</si>
  <si>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</si>
  <si>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</si>
  <si>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</si>
  <si>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</si>
  <si>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</si>
  <si>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</si>
  <si>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</si>
  <si>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</si>
  <si>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</si>
  <si>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</si>
  <si>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</si>
  <si>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</si>
  <si>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</si>
  <si>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</si>
  <si>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</si>
  <si>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</si>
  <si>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</si>
  <si>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</si>
  <si>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</si>
  <si>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</si>
  <si>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</si>
  <si>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</si>
  <si>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</si>
  <si>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</si>
  <si>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</si>
  <si>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</si>
  <si>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</si>
  <si>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</si>
  <si>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</si>
  <si>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</si>
  <si>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</si>
  <si>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</si>
  <si>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</si>
  <si>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</si>
  <si>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</si>
  <si>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</si>
  <si>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</si>
  <si>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</si>
  <si>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</si>
  <si>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</si>
  <si>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</si>
  <si>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</si>
  <si>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</si>
  <si>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</si>
  <si>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</si>
  <si>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</si>
  <si>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</si>
  <si>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</si>
  <si>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</si>
  <si>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</si>
  <si>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</si>
  <si>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</si>
  <si>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</si>
  <si>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</si>
  <si>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</si>
  <si>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</si>
  <si>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</si>
  <si>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</si>
  <si>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</si>
  <si>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</si>
  <si>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</si>
  <si>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</si>
  <si>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</si>
  <si>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</si>
  <si>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</si>
  <si>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</si>
  <si>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</si>
  <si>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</si>
  <si>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</si>
  <si>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</si>
  <si>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</si>
  <si>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</si>
  <si>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</si>
  <si>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</si>
  <si>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</si>
  <si>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</si>
  <si>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</si>
  <si>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</si>
  <si>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</si>
  <si>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</si>
  <si>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</si>
  <si>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</si>
  <si>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</si>
  <si>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</si>
  <si>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</si>
  <si>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</si>
  <si>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</si>
  <si>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</si>
  <si>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</si>
  <si>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</si>
  <si>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</si>
  <si>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</si>
  <si>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</si>
  <si>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</si>
  <si>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</si>
  <si>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</si>
  <si>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</si>
  <si>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</si>
  <si>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</si>
  <si>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</si>
  <si>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</si>
  <si>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</si>
  <si>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</si>
  <si>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</si>
  <si>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</si>
  <si>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</si>
  <si>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</si>
  <si>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</si>
  <si>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</si>
  <si>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</si>
  <si>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</si>
  <si>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</si>
  <si>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</si>
  <si>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</si>
  <si>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</si>
  <si>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</si>
  <si>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</si>
  <si>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</si>
  <si>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</si>
  <si>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</si>
  <si>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</si>
  <si>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</si>
  <si>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</si>
  <si>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</si>
  <si>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</si>
  <si>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</si>
  <si>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</si>
  <si>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</si>
  <si>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</si>
  <si>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</si>
  <si>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</si>
  <si>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</si>
  <si>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</si>
  <si>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</si>
  <si>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</si>
  <si>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</si>
  <si>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</si>
  <si>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</si>
  <si>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</si>
  <si>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</si>
  <si>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</si>
  <si>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</si>
  <si>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</si>
  <si>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</si>
  <si>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</si>
  <si>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</si>
  <si>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</si>
  <si>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</si>
  <si>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</si>
  <si>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</si>
  <si>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</si>
  <si>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</si>
  <si>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</si>
  <si>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</si>
  <si>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</si>
  <si>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</si>
  <si>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</si>
  <si>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</si>
  <si>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</si>
  <si>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</si>
  <si>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</si>
  <si>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</si>
  <si>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</si>
  <si>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</si>
  <si>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</si>
  <si>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</si>
  <si>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</si>
  <si>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</si>
  <si>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</si>
  <si>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</si>
  <si>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</si>
  <si>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</si>
  <si>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</si>
  <si>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</si>
  <si>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</si>
  <si>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</si>
  <si>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</si>
  <si>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</si>
  <si>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</si>
  <si>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</si>
  <si>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</si>
  <si>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</si>
  <si>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</si>
  <si>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</si>
  <si>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</si>
  <si>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</si>
  <si>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</si>
  <si>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</si>
  <si>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</si>
  <si>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</si>
  <si>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</si>
  <si>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</si>
  <si>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</si>
  <si>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</si>
  <si>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</si>
  <si>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</si>
  <si>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</si>
  <si>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</si>
  <si>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</si>
  <si>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</si>
  <si>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</si>
  <si>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</si>
  <si>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</si>
  <si>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</si>
  <si>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</si>
  <si>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</si>
  <si>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</si>
  <si>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</si>
  <si>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</si>
  <si>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</si>
  <si>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</si>
  <si>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</si>
  <si>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</si>
  <si>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</si>
  <si>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</si>
  <si>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</si>
  <si>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</si>
  <si>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</si>
  <si>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</si>
  <si>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</si>
  <si>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</si>
  <si>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</si>
  <si>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</si>
  <si>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</si>
  <si>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</si>
  <si>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</si>
  <si>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</si>
  <si>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</si>
  <si>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</si>
  <si>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</si>
  <si>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</si>
  <si>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</si>
  <si>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</si>
  <si>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</si>
  <si>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</si>
  <si>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</si>
  <si>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</si>
  <si>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</si>
  <si>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</si>
  <si>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</si>
  <si>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</si>
  <si>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</si>
  <si>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</si>
  <si>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</si>
  <si>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</si>
  <si>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</si>
  <si>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</si>
  <si>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</si>
  <si>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</si>
  <si>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</si>
  <si>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</si>
  <si>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</si>
  <si>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</si>
  <si>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</si>
  <si>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</si>
  <si>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</si>
  <si>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</si>
  <si>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</si>
  <si>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</si>
  <si>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</si>
  <si>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</si>
  <si>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</si>
  <si>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</si>
  <si>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</si>
  <si>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</si>
  <si>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</si>
  <si>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</si>
  <si>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</si>
  <si>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</si>
  <si>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</si>
  <si>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</si>
  <si>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</si>
  <si>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</si>
  <si>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</si>
  <si>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</si>
  <si>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</si>
  <si>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</si>
  <si>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</si>
  <si>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</si>
  <si>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</si>
  <si>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</si>
  <si>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</si>
  <si>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</si>
  <si>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</si>
  <si>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</si>
  <si>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</si>
  <si>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</si>
  <si>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</si>
  <si>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</si>
  <si>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</si>
  <si>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</si>
  <si>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</si>
  <si>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</si>
  <si>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</si>
  <si>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</si>
  <si>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</si>
  <si>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</si>
  <si>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</si>
  <si>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</si>
  <si>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</si>
  <si>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</si>
  <si>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</si>
  <si>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</si>
  <si>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</si>
  <si>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</si>
  <si>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</si>
  <si>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</si>
  <si>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</si>
  <si>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</si>
  <si>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</si>
  <si>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</si>
  <si>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</si>
  <si>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</si>
  <si>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</si>
  <si>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</si>
  <si>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</si>
  <si>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</si>
  <si>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</si>
  <si>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</si>
  <si>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</si>
  <si>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</si>
  <si>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</si>
  <si>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</si>
  <si>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</si>
  <si>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</si>
  <si>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</si>
  <si>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</si>
  <si>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</si>
  <si>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</si>
  <si>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</si>
  <si>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</si>
  <si>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</si>
  <si>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</si>
  <si>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</si>
  <si>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</si>
  <si>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</si>
  <si>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</si>
  <si>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</si>
  <si>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</si>
  <si>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</si>
  <si>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</si>
  <si>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</si>
  <si>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</si>
  <si>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</si>
  <si>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</si>
  <si>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</si>
  <si>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</si>
  <si>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</si>
  <si>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</si>
  <si>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</si>
  <si>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</si>
  <si>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</si>
  <si>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</si>
  <si>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</si>
  <si>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</si>
  <si>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</si>
  <si>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</si>
  <si>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</si>
  <si>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</si>
  <si>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</si>
  <si>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</si>
  <si>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</si>
  <si>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</si>
  <si>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</si>
  <si>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</si>
  <si>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</si>
  <si>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</si>
  <si>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</si>
  <si>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</si>
  <si>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</si>
  <si>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</si>
  <si>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</si>
  <si>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</si>
  <si>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</si>
  <si>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</si>
  <si>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</si>
  <si>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</si>
  <si>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</si>
  <si>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</si>
  <si>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</si>
  <si>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</si>
  <si>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</si>
  <si>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</si>
  <si>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</si>
  <si>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</si>
  <si>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</si>
  <si>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</si>
  <si>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</si>
  <si>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</si>
  <si>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</si>
  <si>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</si>
  <si>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</si>
  <si>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</si>
  <si>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</si>
  <si>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</si>
  <si>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</si>
  <si>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</si>
  <si>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</si>
  <si>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</si>
  <si>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</si>
  <si>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</si>
  <si>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</si>
  <si>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</si>
  <si>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</si>
  <si>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</si>
  <si>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</si>
  <si>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</si>
  <si>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</si>
  <si>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</si>
  <si>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</si>
  <si>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</si>
  <si>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</si>
  <si>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</si>
  <si>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</si>
  <si>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</si>
  <si>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</si>
  <si>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</si>
  <si>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</si>
  <si>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</si>
  <si>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</si>
  <si>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</si>
  <si>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</si>
  <si>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</si>
  <si>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</si>
  <si>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</si>
  <si>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</si>
  <si>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</si>
  <si>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</si>
  <si>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</si>
  <si>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</si>
  <si>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</si>
  <si>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</si>
  <si>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</si>
  <si>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</si>
  <si>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</si>
  <si>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</si>
  <si>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</si>
  <si>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</si>
  <si>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</si>
  <si>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</si>
  <si>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</si>
  <si>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</si>
  <si>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</si>
  <si>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</si>
  <si>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</si>
  <si>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</si>
  <si>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</si>
  <si>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</si>
  <si>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</si>
  <si>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</si>
  <si>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</si>
  <si>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</si>
  <si>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</si>
  <si>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</si>
  <si>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</si>
  <si>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</si>
  <si>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</si>
  <si>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</si>
  <si>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</si>
  <si>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</si>
  <si>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</si>
  <si>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</si>
  <si>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</si>
  <si>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</si>
  <si>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</si>
  <si>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</si>
  <si>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</si>
  <si>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</si>
  <si>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</si>
  <si>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</si>
  <si>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</si>
  <si>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</si>
  <si>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</si>
  <si>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</si>
  <si>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</si>
  <si>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</si>
  <si>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</si>
  <si>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</si>
  <si>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</si>
  <si>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</si>
  <si>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</si>
  <si>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</si>
  <si>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</si>
  <si>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</si>
  <si>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</si>
  <si>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</si>
  <si>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</si>
  <si>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</si>
  <si>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</si>
  <si>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</si>
  <si>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</si>
  <si>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</si>
  <si>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</si>
  <si>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</si>
  <si>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</si>
  <si>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</si>
  <si>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</si>
  <si>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</si>
  <si>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</si>
  <si>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</si>
  <si>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</si>
  <si>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</si>
  <si>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</si>
  <si>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</si>
  <si>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</si>
  <si>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</si>
  <si>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</si>
  <si>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</si>
  <si>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</si>
  <si>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</si>
  <si>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</si>
  <si>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</si>
  <si>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</si>
  <si>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</si>
  <si>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</si>
  <si>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</si>
  <si>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</si>
  <si>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</si>
  <si>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</si>
  <si>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</si>
  <si>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</si>
  <si>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</si>
  <si>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</si>
  <si>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</si>
  <si>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</si>
  <si>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</si>
  <si>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</si>
  <si>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</si>
  <si>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</si>
  <si>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</si>
  <si>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</si>
  <si>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</si>
  <si>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</si>
  <si>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</si>
  <si>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</si>
  <si>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</si>
  <si>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</si>
  <si>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</si>
  <si>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</si>
  <si>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</si>
  <si>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</si>
  <si>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</si>
  <si>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</si>
  <si>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</si>
  <si>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</si>
  <si>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</si>
  <si>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</si>
  <si>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</si>
  <si>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</si>
  <si>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</si>
  <si>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</si>
  <si>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</si>
  <si>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</si>
  <si>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</si>
  <si>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</si>
  <si>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</si>
  <si>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</si>
  <si>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</si>
  <si>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</si>
  <si>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</si>
  <si>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</si>
  <si>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</si>
  <si>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</si>
  <si>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</si>
  <si>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</si>
  <si>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</si>
  <si>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</si>
  <si>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</si>
  <si>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</si>
  <si>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</si>
  <si>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</si>
  <si>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</si>
  <si>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</si>
  <si>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</si>
  <si>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</si>
  <si>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</si>
  <si>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</si>
  <si>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</si>
  <si>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</si>
  <si>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</si>
  <si>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</si>
  <si>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</si>
  <si>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</si>
  <si>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</si>
  <si>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</si>
  <si>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</si>
  <si>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</si>
  <si>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</si>
  <si>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</si>
  <si>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</si>
  <si>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</si>
  <si>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</si>
  <si>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</si>
  <si>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</si>
  <si>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</si>
  <si>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</si>
  <si>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</si>
  <si>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</si>
  <si>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</si>
  <si>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</si>
  <si>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</si>
  <si>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</si>
  <si>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</si>
  <si>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</si>
  <si>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</si>
  <si>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</si>
  <si>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</si>
  <si>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</si>
  <si>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</si>
  <si>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</si>
  <si>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</si>
  <si>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</si>
  <si>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</si>
  <si>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</si>
  <si>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</si>
  <si>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</si>
  <si>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</si>
  <si>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</si>
  <si>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</si>
  <si>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</si>
  <si>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</si>
  <si>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</si>
  <si>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</si>
  <si>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</si>
  <si>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</si>
  <si>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</si>
  <si>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</si>
  <si>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</si>
  <si>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</si>
  <si>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</si>
  <si>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</si>
  <si>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</si>
  <si>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</si>
  <si>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</si>
  <si>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</si>
  <si>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</si>
  <si>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</si>
  <si>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</si>
  <si>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</si>
  <si>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</si>
  <si>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</si>
  <si>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</si>
  <si>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</si>
  <si>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</si>
  <si>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</si>
  <si>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</si>
  <si>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</si>
  <si>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</si>
  <si>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</si>
  <si>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</si>
  <si>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</si>
  <si>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</si>
  <si>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</si>
  <si>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</si>
  <si>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</si>
  <si>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</si>
  <si>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</si>
  <si>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</si>
  <si>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</si>
  <si>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</si>
  <si>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</si>
  <si>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</si>
  <si>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</si>
  <si>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</si>
  <si>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</si>
  <si>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</si>
  <si>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</si>
  <si>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</si>
  <si>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</si>
  <si>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</si>
  <si>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</si>
  <si>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</si>
  <si>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</si>
  <si>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</si>
  <si>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</si>
  <si>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</si>
  <si>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</si>
  <si>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</si>
  <si>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</si>
  <si>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</si>
  <si>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</si>
  <si>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</si>
  <si>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</si>
  <si>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</si>
  <si>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</si>
  <si>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</si>
  <si>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</si>
  <si>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</si>
  <si>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</si>
  <si>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</si>
  <si>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</si>
  <si>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</si>
  <si>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</si>
  <si>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</si>
  <si>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</si>
  <si>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</si>
  <si>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</si>
  <si>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</si>
  <si>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</si>
  <si>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</si>
  <si>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</si>
  <si>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</si>
  <si>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</si>
  <si>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</si>
  <si>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</si>
  <si>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</si>
  <si>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</si>
  <si>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</si>
  <si>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</si>
  <si>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</si>
  <si>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</si>
  <si>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</si>
  <si>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</si>
  <si>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</si>
  <si>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</si>
  <si>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</si>
  <si>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</si>
  <si>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</si>
  <si>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</si>
  <si>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</si>
  <si>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</si>
  <si>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</si>
  <si>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</si>
  <si>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</si>
  <si>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</si>
  <si>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</si>
  <si>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</si>
  <si>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</si>
  <si>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</si>
  <si>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</si>
  <si>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</si>
  <si>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</si>
  <si>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</si>
  <si>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</si>
  <si>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</si>
  <si>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</si>
  <si>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</si>
  <si>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</si>
  <si>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</si>
  <si>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</si>
  <si>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</si>
  <si>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</si>
  <si>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</si>
  <si>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</si>
  <si>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</si>
  <si>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</si>
  <si>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</si>
  <si>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</si>
  <si>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</si>
  <si>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</si>
  <si>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</si>
  <si>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</si>
  <si>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</si>
  <si>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</si>
  <si>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</si>
  <si>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</si>
  <si>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</si>
  <si>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</si>
  <si>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</si>
  <si>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</si>
  <si>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</si>
  <si>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</si>
  <si>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</si>
  <si>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</si>
  <si>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</si>
  <si>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</si>
  <si>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</si>
  <si>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</si>
  <si>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</si>
  <si>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</si>
  <si>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</si>
  <si>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</si>
  <si>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</si>
  <si>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</si>
  <si>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</si>
  <si>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</si>
  <si>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</si>
  <si>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</si>
  <si>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</si>
  <si>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</si>
  <si>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</si>
  <si>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</si>
  <si>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</si>
  <si>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</si>
  <si>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</si>
  <si>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</si>
  <si>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</si>
  <si>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</si>
  <si>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</si>
  <si>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</si>
  <si>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</si>
  <si>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</si>
  <si>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</si>
  <si>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</si>
  <si>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</si>
  <si>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</si>
  <si>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</si>
  <si>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</si>
  <si>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</si>
  <si>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</si>
  <si>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</si>
  <si>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</si>
  <si>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</si>
  <si>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</si>
  <si>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</si>
  <si>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</si>
  <si>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</si>
  <si>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</si>
  <si>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</si>
  <si>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</si>
  <si>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</si>
  <si>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</si>
  <si>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</si>
  <si>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</si>
  <si>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</si>
  <si>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</si>
  <si>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</si>
  <si>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</si>
  <si>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</si>
  <si>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</si>
  <si>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</si>
  <si>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</si>
  <si>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</si>
  <si>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</si>
  <si>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</si>
  <si>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</si>
  <si>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</si>
  <si>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</si>
  <si>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</si>
  <si>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</si>
  <si>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</si>
  <si>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</si>
  <si>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</si>
  <si>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</si>
  <si>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</si>
  <si>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</si>
  <si>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</si>
  <si>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</si>
  <si>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</si>
  <si>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</si>
  <si>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</si>
  <si>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</si>
  <si>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</si>
  <si>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</si>
  <si>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</si>
  <si>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</si>
  <si>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</si>
  <si>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</si>
  <si>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</si>
  <si>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</si>
  <si>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</si>
  <si>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</si>
  <si>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</si>
  <si>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</si>
  <si>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</si>
  <si>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</si>
  <si>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</si>
  <si>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</si>
  <si>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</si>
  <si>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</si>
  <si>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</si>
  <si>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</si>
  <si>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</si>
  <si>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</si>
  <si>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</si>
  <si>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</si>
  <si>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</si>
  <si>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</si>
  <si>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</si>
  <si>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</si>
  <si>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</si>
  <si>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</si>
  <si>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</si>
  <si>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</si>
  <si>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</si>
  <si>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</si>
  <si>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</si>
  <si>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</si>
  <si>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</si>
  <si>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</si>
  <si>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</si>
  <si>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</si>
  <si>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</si>
  <si>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</si>
  <si>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</si>
  <si>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</si>
  <si>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</si>
  <si>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</si>
  <si>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</si>
  <si>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</si>
  <si>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</si>
  <si>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</si>
  <si>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</si>
  <si>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</si>
  <si>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</si>
  <si>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</si>
  <si>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</si>
  <si>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</si>
  <si>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</si>
  <si>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</si>
  <si>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</si>
  <si>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</si>
  <si>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</si>
  <si>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</si>
  <si>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</si>
  <si>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</si>
  <si>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</si>
  <si>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</si>
  <si>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</si>
  <si>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</si>
  <si>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</si>
  <si>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</si>
  <si>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</si>
  <si>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</si>
  <si>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</si>
  <si>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</si>
  <si>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</si>
  <si>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</si>
  <si>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</si>
  <si>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</si>
  <si>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</si>
  <si>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</si>
  <si>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</si>
  <si>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</si>
  <si>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</si>
  <si>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</si>
  <si>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</si>
  <si>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</si>
  <si>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</si>
  <si>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</si>
  <si>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</si>
  <si>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</si>
  <si>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</si>
  <si>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</si>
  <si>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</si>
  <si>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</si>
  <si>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</si>
  <si>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</si>
  <si>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</si>
  <si>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</si>
  <si>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</si>
  <si>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</si>
  <si>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</si>
  <si>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</si>
  <si>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</si>
  <si>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</si>
  <si>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</si>
  <si>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</si>
  <si>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</si>
  <si>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</si>
  <si>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</si>
  <si>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</si>
  <si>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</si>
  <si>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</si>
  <si>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</si>
  <si>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</si>
  <si>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</si>
  <si>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</si>
  <si>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</si>
  <si>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</si>
  <si>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</si>
  <si>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</si>
  <si>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</si>
  <si>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</si>
  <si>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</si>
  <si>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</si>
  <si>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</si>
  <si>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</si>
  <si>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</si>
  <si>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</si>
  <si>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</si>
  <si>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</si>
  <si>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</si>
  <si>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</si>
  <si>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</si>
  <si>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</si>
  <si>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</si>
  <si>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</si>
  <si>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</si>
  <si>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</si>
  <si>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</si>
  <si>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</si>
  <si>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</si>
  <si>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</si>
  <si>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</si>
  <si>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</si>
  <si>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</si>
  <si>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</si>
  <si>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</si>
  <si>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</si>
  <si>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</si>
  <si>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</si>
  <si>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</si>
  <si>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</si>
  <si>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</si>
  <si>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</si>
  <si>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</si>
  <si>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</si>
  <si>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</si>
  <si>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</si>
  <si>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</si>
  <si>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</si>
  <si>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</si>
  <si>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</si>
  <si>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</si>
  <si>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</si>
  <si>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</si>
  <si>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</si>
  <si>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</si>
  <si>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</si>
  <si>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</si>
  <si>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</si>
  <si>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</si>
  <si>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</si>
  <si>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</si>
  <si>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</si>
  <si>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</si>
  <si>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</si>
  <si>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</si>
  <si>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</si>
  <si>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</si>
  <si>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</si>
  <si>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</si>
  <si>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</si>
  <si>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</si>
  <si>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</si>
  <si>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</si>
  <si>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</si>
  <si>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</si>
  <si>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</si>
  <si>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</si>
  <si>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</si>
  <si>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</si>
  <si>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</si>
  <si>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</si>
  <si>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</si>
  <si>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</si>
  <si>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</si>
  <si>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</si>
  <si>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</si>
  <si>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</si>
  <si>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</si>
  <si>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</si>
  <si>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</si>
  <si>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</si>
  <si>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</si>
  <si>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</si>
  <si>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</si>
  <si>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</si>
  <si>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</si>
  <si>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</si>
  <si>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</si>
  <si>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</si>
  <si>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</si>
  <si>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</si>
  <si>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</si>
  <si>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</si>
  <si>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</si>
  <si>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</si>
  <si>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</si>
  <si>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</si>
  <si>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</si>
  <si>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</si>
  <si>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</si>
  <si>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</si>
  <si>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</si>
  <si>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</si>
  <si>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</si>
  <si>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</si>
  <si>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</si>
  <si>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</si>
  <si>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</si>
  <si>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</si>
  <si>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</si>
  <si>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</si>
  <si>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</si>
  <si>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</si>
  <si>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</si>
  <si>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</si>
  <si>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</si>
  <si>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</si>
  <si>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</si>
  <si>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</si>
  <si>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</si>
  <si>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</si>
  <si>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</si>
  <si>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</si>
  <si>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</si>
  <si>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</si>
  <si>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</si>
  <si>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</si>
  <si>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</si>
  <si>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</si>
  <si>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</si>
  <si>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</si>
  <si>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</si>
  <si>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</si>
  <si>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</si>
  <si>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</si>
  <si>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</si>
  <si>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</si>
  <si>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</si>
  <si>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</si>
  <si>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</si>
  <si>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</si>
  <si>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</si>
  <si>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</si>
  <si>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</si>
  <si>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</si>
  <si>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</si>
  <si>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</si>
  <si>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</si>
  <si>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</si>
  <si>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</si>
  <si>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</si>
  <si>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</si>
  <si>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</si>
  <si>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</si>
  <si>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</si>
  <si>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</si>
  <si>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</si>
  <si>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</si>
  <si>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</si>
  <si>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</si>
  <si>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</si>
  <si>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</si>
  <si>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</si>
  <si>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</si>
  <si>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</si>
  <si>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</si>
  <si>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</si>
  <si>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</si>
  <si>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</si>
  <si>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</si>
  <si>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</si>
  <si>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</si>
  <si>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</si>
  <si>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</si>
  <si>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</si>
  <si>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</si>
  <si>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</si>
  <si>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</si>
  <si>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</si>
  <si>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</si>
  <si>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</si>
  <si>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</si>
  <si>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</si>
  <si>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</si>
  <si>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</si>
  <si>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</si>
  <si>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</si>
  <si>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</si>
  <si>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</si>
  <si>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</si>
  <si>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</si>
  <si>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</si>
  <si>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</si>
  <si>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</si>
  <si>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</si>
  <si>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</si>
  <si>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</si>
  <si>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</si>
  <si>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</si>
  <si>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</si>
  <si>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</si>
  <si>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</si>
  <si>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</si>
  <si>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</si>
  <si>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</si>
  <si>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</si>
  <si>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</si>
  <si>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</si>
  <si>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</si>
  <si>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</si>
  <si>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</si>
  <si>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</si>
  <si>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</si>
  <si>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</si>
  <si>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</si>
  <si>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</si>
  <si>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</si>
  <si>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</si>
  <si>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</si>
  <si>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</si>
  <si>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</si>
  <si>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</si>
  <si>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</si>
  <si>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</si>
  <si>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</si>
  <si>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</si>
  <si>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</si>
  <si>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</si>
  <si>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</si>
  <si>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</si>
  <si>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</si>
  <si>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</si>
  <si>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</si>
  <si>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</si>
  <si>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</si>
  <si>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</si>
  <si>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</si>
  <si>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</si>
  <si>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</si>
  <si>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</si>
  <si>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</si>
  <si>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</si>
  <si>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</si>
  <si>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</si>
  <si>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</si>
  <si>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</si>
  <si>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</si>
  <si>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</si>
  <si>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</si>
  <si>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</si>
  <si>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</si>
  <si>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</si>
  <si>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</si>
  <si>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</si>
  <si>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</si>
  <si>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</si>
  <si>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</si>
  <si>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</si>
  <si>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</si>
  <si>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</si>
  <si>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</si>
  <si>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</si>
  <si>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</si>
  <si>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</si>
  <si>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</si>
  <si>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</si>
  <si>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</si>
  <si>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</si>
  <si>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</si>
  <si>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</si>
  <si>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</si>
  <si>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</si>
  <si>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</si>
  <si>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</si>
  <si>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</si>
  <si>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</si>
  <si>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</si>
  <si>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</si>
  <si>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</si>
  <si>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</si>
  <si>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</si>
  <si>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</si>
  <si>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</si>
  <si>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</si>
  <si>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</si>
  <si>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</si>
  <si>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</si>
  <si>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</si>
  <si>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</si>
  <si>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</si>
  <si>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</si>
  <si>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</si>
  <si>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</si>
  <si>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</si>
  <si>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</si>
  <si>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</si>
  <si>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</si>
  <si>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</si>
  <si>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</si>
  <si>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</si>
  <si>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</si>
  <si>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</si>
  <si>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</si>
  <si>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</si>
  <si>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</si>
  <si>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</si>
  <si>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</si>
  <si>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</si>
  <si>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</si>
  <si>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</si>
  <si>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</si>
  <si>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</si>
  <si>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</si>
  <si>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</si>
  <si>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</si>
  <si>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</si>
  <si>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</si>
  <si>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</si>
  <si>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</si>
  <si>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</si>
  <si>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</si>
  <si>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</si>
  <si>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</si>
  <si>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</si>
  <si>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</si>
  <si>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</si>
  <si>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</si>
  <si>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</si>
  <si>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</si>
  <si>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</si>
  <si>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</si>
  <si>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</si>
  <si>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</si>
  <si>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</si>
  <si>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</si>
  <si>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</si>
  <si>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</si>
  <si>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</si>
  <si>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</si>
  <si>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</si>
  <si>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</si>
  <si>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</si>
  <si>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</si>
  <si>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</si>
  <si>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</si>
  <si>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</si>
  <si>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</si>
  <si>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</si>
  <si>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</si>
  <si>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</si>
  <si>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</si>
  <si>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</si>
  <si>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</si>
  <si>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</si>
  <si>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</si>
  <si>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</si>
  <si>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</si>
  <si>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</si>
  <si>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</si>
  <si>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</si>
  <si>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</si>
  <si>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</si>
  <si>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</si>
  <si>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</si>
  <si>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</si>
  <si>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</si>
  <si>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</si>
  <si>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</si>
  <si>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</si>
  <si>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</si>
  <si>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</si>
  <si>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</si>
  <si>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</si>
  <si>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</si>
  <si>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</si>
  <si>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</si>
  <si>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</si>
  <si>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</si>
  <si>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</si>
  <si>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</si>
  <si>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</si>
  <si>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</si>
  <si>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</si>
  <si>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</si>
  <si>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</si>
  <si>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</si>
  <si>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</si>
  <si>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</si>
  <si>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</si>
  <si>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</si>
  <si>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</si>
  <si>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</si>
  <si>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</si>
  <si>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</si>
  <si>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</si>
  <si>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</si>
  <si>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</si>
  <si>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</si>
  <si>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</si>
  <si>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</si>
  <si>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</si>
  <si>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</si>
  <si>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</si>
  <si>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</si>
  <si>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</si>
  <si>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</si>
  <si>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</si>
  <si>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</si>
  <si>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</si>
  <si>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</si>
  <si>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</si>
  <si>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</si>
  <si>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</si>
  <si>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</si>
  <si>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</si>
  <si>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</si>
  <si>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</si>
  <si>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</si>
  <si>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</si>
  <si>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</si>
  <si>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</si>
  <si>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</si>
  <si>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</si>
  <si>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</si>
  <si>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</si>
  <si>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</si>
  <si>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</si>
  <si>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</si>
  <si>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</si>
  <si>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</si>
  <si>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</si>
  <si>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</si>
  <si>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</si>
  <si>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</si>
  <si>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</si>
  <si>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</si>
  <si>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</si>
  <si>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</si>
  <si>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</si>
  <si>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</si>
  <si>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</si>
  <si>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</si>
  <si>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</si>
  <si>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</si>
  <si>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</si>
  <si>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</si>
  <si>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</si>
  <si>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</si>
  <si>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</si>
  <si>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</si>
  <si>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</si>
  <si>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</si>
  <si>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</si>
  <si>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</si>
  <si>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</si>
  <si>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</si>
  <si>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</si>
  <si>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</si>
  <si>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</si>
  <si>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</si>
  <si>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</si>
  <si>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</si>
  <si>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</si>
  <si>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</si>
  <si>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</si>
  <si>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</si>
  <si>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</si>
  <si>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</si>
  <si>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</si>
  <si>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</si>
  <si>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</si>
  <si>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</si>
  <si>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</si>
  <si>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</si>
  <si>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</si>
  <si>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</si>
  <si>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</si>
  <si>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</si>
  <si>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</si>
  <si>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</si>
  <si>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</si>
  <si>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</si>
  <si>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</si>
  <si>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</si>
  <si>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</si>
  <si>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</si>
  <si>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</si>
  <si>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</si>
  <si>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</si>
  <si>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</si>
  <si>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</si>
  <si>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</si>
  <si>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</si>
  <si>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</si>
  <si>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</si>
  <si>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</si>
  <si>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</si>
  <si>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</si>
  <si>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</si>
  <si>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</si>
  <si>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</si>
  <si>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</si>
  <si>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</si>
  <si>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</si>
  <si>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</si>
  <si>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</si>
  <si>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</si>
  <si>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</si>
  <si>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</si>
  <si>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</si>
  <si>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</si>
  <si>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</si>
  <si>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</si>
  <si>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</si>
  <si>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</si>
  <si>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</si>
  <si>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</si>
  <si>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</si>
  <si>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</si>
  <si>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</si>
  <si>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</si>
  <si>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</si>
  <si>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</si>
  <si>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</si>
  <si>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</si>
  <si>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</si>
  <si>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</si>
  <si>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</si>
  <si>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</si>
  <si>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</si>
  <si>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</si>
  <si>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</si>
  <si>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</si>
  <si>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</si>
  <si>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</si>
  <si>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</si>
  <si>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</si>
  <si>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</si>
  <si>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</si>
  <si>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</si>
  <si>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</si>
  <si>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</si>
  <si>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</si>
  <si>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</si>
  <si>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</si>
  <si>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</si>
  <si>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</si>
  <si>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</si>
  <si>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</si>
  <si>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</si>
  <si>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</si>
  <si>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</si>
  <si>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</si>
  <si>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</si>
  <si>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</si>
  <si>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</si>
  <si>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</si>
  <si>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</si>
  <si>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</si>
  <si>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</si>
  <si>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</si>
  <si>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</si>
  <si>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</si>
  <si>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</si>
  <si>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</si>
  <si>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</si>
  <si>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</si>
  <si>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</si>
  <si>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</si>
  <si>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</si>
  <si>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</si>
  <si>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</si>
  <si>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</si>
  <si>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</si>
  <si>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</si>
  <si>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</si>
  <si>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</si>
  <si>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</si>
  <si>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</si>
  <si>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</si>
  <si>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</si>
  <si>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</si>
  <si>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</si>
  <si>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</si>
  <si>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</si>
  <si>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</si>
  <si>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</si>
  <si>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</si>
  <si>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</si>
  <si>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</si>
  <si>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</si>
  <si>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</si>
  <si>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</si>
  <si>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</si>
  <si>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</si>
  <si>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</si>
  <si>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</si>
  <si>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</si>
  <si>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</si>
  <si>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</si>
  <si>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</si>
  <si>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</si>
  <si>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</si>
  <si>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</si>
  <si>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</si>
  <si>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</si>
  <si>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</si>
  <si>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</si>
  <si>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</si>
  <si>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</si>
  <si>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</si>
  <si>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</si>
  <si>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</si>
  <si>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</si>
  <si>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</si>
  <si>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</si>
  <si>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</si>
  <si>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</si>
  <si>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</si>
  <si>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</si>
  <si>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</si>
  <si>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</si>
  <si>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</si>
  <si>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</si>
  <si>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</si>
  <si>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</si>
  <si>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</si>
  <si>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</si>
  <si>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</si>
  <si>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</si>
  <si>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</si>
  <si>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</si>
  <si>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</si>
  <si>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</si>
  <si>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</si>
  <si>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</si>
  <si>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</si>
  <si>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</si>
  <si>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</si>
  <si>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</si>
  <si>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</si>
  <si>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</si>
  <si>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</si>
  <si>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</si>
  <si>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</si>
  <si>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</si>
  <si>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</si>
  <si>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</si>
  <si>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</si>
  <si>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</si>
  <si>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</si>
  <si>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</si>
  <si>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</si>
  <si>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</si>
  <si>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</si>
  <si>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</si>
  <si>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</si>
  <si>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</si>
  <si>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</si>
  <si>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</si>
  <si>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</si>
  <si>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</si>
  <si>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</si>
  <si>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</si>
  <si>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</si>
  <si>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</si>
  <si>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</si>
  <si>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</si>
  <si>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</si>
  <si>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</si>
  <si>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</si>
  <si>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</si>
  <si>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</si>
  <si>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</si>
  <si>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</si>
  <si>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</si>
  <si>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</si>
  <si>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</si>
  <si>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</si>
  <si>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</si>
  <si>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</si>
  <si>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</si>
  <si>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</si>
  <si>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</si>
  <si>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</si>
  <si>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</si>
  <si>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</si>
  <si>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</si>
  <si>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</si>
  <si>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</si>
  <si>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</si>
  <si>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</si>
  <si>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</si>
  <si>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</si>
  <si>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</si>
  <si>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</si>
  <si>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</si>
  <si>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</si>
  <si>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</si>
  <si>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</si>
  <si>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</si>
  <si>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</si>
  <si>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</si>
  <si>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</si>
  <si>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</si>
  <si>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</si>
  <si>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</si>
  <si>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</si>
  <si>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</si>
  <si>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</si>
  <si>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</si>
  <si>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</si>
  <si>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</si>
  <si>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</si>
  <si>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</si>
  <si>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</si>
  <si>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</si>
  <si>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</si>
  <si>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</si>
  <si>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</si>
  <si>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</si>
  <si>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</si>
  <si>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</si>
  <si>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</si>
  <si>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</si>
  <si>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</si>
  <si>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</si>
  <si>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</si>
  <si>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</si>
  <si>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</si>
  <si>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</si>
  <si>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</si>
  <si>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</si>
  <si>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</si>
  <si>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</si>
  <si>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</si>
  <si>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</si>
  <si>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</si>
  <si>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</si>
  <si>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</si>
  <si>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</si>
  <si>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</si>
  <si>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</si>
  <si>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</si>
  <si>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</si>
  <si>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</si>
  <si>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</si>
  <si>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</si>
  <si>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</si>
  <si>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</si>
  <si>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</si>
  <si>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</si>
  <si>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</si>
  <si>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</si>
  <si>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</si>
  <si>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</si>
  <si>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</si>
  <si>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</si>
  <si>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</si>
  <si>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</si>
  <si>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</si>
  <si>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</si>
  <si>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</si>
  <si>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</si>
  <si>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</si>
  <si>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</si>
  <si>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</si>
  <si>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</si>
  <si>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</si>
  <si>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</si>
  <si>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</si>
  <si>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</si>
  <si>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</si>
  <si>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</si>
  <si>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</si>
  <si>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</si>
  <si>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</si>
  <si>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</si>
  <si>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</si>
  <si>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</si>
  <si>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</si>
  <si>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</si>
  <si>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</si>
  <si>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</si>
  <si>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</si>
  <si>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</si>
  <si>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</si>
  <si>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</si>
  <si>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</si>
  <si>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</si>
  <si>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</si>
  <si>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</si>
  <si>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</si>
  <si>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</si>
  <si>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</si>
  <si>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</si>
  <si>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</si>
  <si>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</si>
  <si>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</si>
  <si>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</si>
  <si>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</si>
  <si>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</si>
  <si>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</si>
  <si>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</si>
  <si>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</si>
  <si>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</si>
  <si>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</si>
  <si>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</si>
  <si>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</si>
  <si>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</si>
  <si>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</si>
  <si>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</si>
  <si>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</si>
  <si>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</si>
  <si>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</si>
  <si>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</si>
  <si>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</si>
  <si>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</si>
  <si>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</si>
  <si>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</si>
  <si>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</si>
  <si>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</si>
  <si>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</si>
  <si>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</si>
  <si>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</si>
  <si>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</si>
  <si>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</si>
  <si>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</si>
  <si>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</si>
  <si>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</si>
  <si>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</si>
  <si>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</si>
  <si>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</si>
  <si>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</si>
  <si>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</si>
  <si>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</si>
  <si>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</si>
  <si>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</si>
  <si>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</si>
  <si>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</si>
  <si>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</si>
  <si>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</si>
  <si>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</si>
  <si>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</si>
  <si>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</si>
  <si>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</si>
  <si>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</si>
  <si>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</si>
  <si>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</si>
  <si>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</si>
  <si>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</si>
  <si>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</si>
  <si>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</si>
  <si>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</si>
  <si>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</si>
  <si>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</si>
  <si>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</si>
  <si>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</si>
  <si>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</si>
  <si>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</si>
  <si>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</si>
  <si>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</si>
  <si>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</si>
  <si>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</si>
  <si>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</si>
  <si>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</si>
  <si>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</si>
  <si>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</si>
  <si>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</si>
  <si>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</si>
  <si>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</si>
  <si>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</si>
  <si>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</si>
  <si>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</si>
  <si>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</si>
  <si>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</si>
  <si>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</si>
  <si>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</si>
  <si>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</si>
  <si>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</si>
  <si>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</si>
  <si>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</si>
  <si>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</si>
  <si>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</si>
  <si>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</si>
  <si>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</si>
  <si>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</si>
  <si>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</si>
  <si>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</si>
  <si>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</si>
  <si>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</si>
  <si>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</si>
  <si>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</si>
  <si>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</si>
  <si>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</si>
  <si>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</si>
  <si>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</si>
  <si>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</si>
  <si>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</si>
  <si>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</si>
  <si>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</si>
  <si>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</si>
  <si>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</si>
  <si>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</si>
  <si>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</si>
  <si>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</si>
  <si>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</si>
  <si>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</si>
  <si>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</si>
  <si>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</si>
  <si>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</si>
  <si>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</si>
  <si>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</si>
  <si>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</si>
  <si>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</si>
  <si>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</si>
  <si>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</si>
  <si>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</si>
  <si>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</si>
  <si>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</si>
  <si>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</si>
  <si>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</si>
  <si>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</si>
  <si>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</si>
  <si>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</si>
  <si>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</si>
  <si>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</si>
  <si>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</si>
  <si>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</si>
  <si>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</si>
  <si>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</si>
  <si>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</si>
  <si>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</si>
  <si>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</si>
  <si>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</si>
  <si>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</si>
  <si>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</si>
  <si>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</si>
  <si>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</si>
  <si>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</si>
  <si>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</si>
  <si>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</si>
  <si>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</si>
  <si>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</si>
  <si>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</si>
  <si>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</si>
  <si>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</si>
  <si>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</si>
  <si>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</si>
  <si>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</si>
  <si>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</si>
  <si>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</si>
  <si>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</si>
  <si>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</si>
  <si>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</si>
  <si>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</si>
  <si>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</si>
  <si>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</si>
  <si>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</si>
  <si>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</si>
  <si>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</si>
  <si>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</si>
  <si>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</si>
  <si>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</si>
  <si>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</si>
  <si>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</si>
  <si>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</si>
  <si>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</si>
  <si>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</si>
  <si>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</si>
  <si>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</si>
  <si>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</si>
  <si>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</si>
  <si>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</si>
  <si>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</si>
  <si>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</si>
  <si>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</si>
  <si>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</si>
  <si>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</si>
  <si>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</si>
  <si>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</si>
  <si>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</si>
  <si>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</si>
  <si>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</si>
  <si>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</si>
  <si>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</si>
  <si>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</si>
  <si>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</si>
  <si>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</si>
  <si>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</si>
  <si>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</si>
  <si>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</si>
  <si>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</si>
  <si>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</si>
  <si>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</si>
  <si>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</si>
  <si>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</si>
  <si>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</si>
  <si>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</si>
  <si>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</si>
  <si>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</si>
  <si>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</si>
  <si>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</si>
  <si>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</si>
  <si>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</si>
  <si>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</si>
  <si>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</si>
  <si>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</si>
  <si>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</si>
  <si>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</si>
  <si>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</si>
  <si>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</si>
  <si>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</si>
  <si>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</si>
  <si>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</si>
  <si>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</si>
  <si>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</si>
  <si>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</si>
  <si>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</si>
  <si>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</si>
  <si>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</si>
  <si>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</si>
  <si>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</si>
  <si>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</si>
  <si>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</si>
  <si>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</si>
  <si>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</si>
  <si>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</si>
  <si>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</si>
  <si>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</si>
  <si>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</si>
  <si>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</si>
  <si>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</si>
  <si>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</si>
  <si>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</si>
  <si>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</si>
  <si>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</si>
  <si>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</si>
  <si>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</si>
  <si>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</si>
  <si>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</si>
  <si>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</si>
  <si>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</si>
  <si>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</si>
  <si>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</si>
  <si>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</si>
  <si>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</si>
  <si>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</si>
  <si>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</si>
  <si>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</si>
  <si>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</si>
  <si>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</si>
  <si>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</si>
  <si>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</si>
  <si>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</si>
  <si>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</si>
  <si>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</si>
  <si>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</si>
  <si>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</si>
  <si>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</si>
  <si>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</si>
  <si>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</si>
  <si>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</si>
  <si>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</si>
  <si>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</si>
  <si>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</si>
  <si>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</si>
  <si>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</si>
  <si>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</si>
  <si>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</si>
  <si>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</si>
  <si>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</si>
  <si>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</si>
  <si>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</si>
  <si>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</si>
  <si>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</si>
  <si>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</si>
  <si>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</si>
  <si>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</si>
  <si>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</si>
  <si>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</si>
  <si>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</si>
  <si>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</si>
  <si>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</si>
  <si>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</si>
  <si>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</si>
  <si>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</si>
  <si>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</si>
  <si>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</si>
  <si>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</si>
  <si>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</si>
  <si>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</si>
  <si>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</si>
  <si>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</si>
  <si>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</si>
  <si>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</si>
  <si>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</si>
  <si>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</si>
  <si>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</si>
  <si>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</si>
  <si>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</si>
  <si>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</si>
  <si>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</si>
  <si>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</si>
  <si>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</si>
  <si>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</si>
  <si>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</si>
  <si>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</si>
  <si>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</si>
  <si>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</si>
  <si>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</si>
  <si>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</si>
  <si>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</si>
  <si>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</si>
  <si>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</si>
  <si>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</si>
  <si>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</si>
  <si>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</si>
  <si>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</si>
  <si>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</si>
  <si>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</si>
  <si>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</si>
  <si>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</si>
  <si>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</si>
  <si>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</si>
  <si>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</si>
  <si>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</si>
  <si>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</si>
  <si>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</si>
  <si>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</si>
  <si>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</si>
  <si>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</si>
  <si>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</si>
  <si>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</si>
  <si>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</si>
  <si>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</si>
  <si>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</si>
  <si>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</si>
  <si>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</si>
  <si>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</si>
  <si>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</si>
  <si>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</si>
  <si>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</si>
  <si>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</si>
  <si>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</si>
  <si>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</si>
  <si>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</si>
  <si>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</si>
  <si>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</si>
  <si>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</si>
  <si>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</si>
  <si>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</si>
  <si>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</si>
  <si>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</si>
  <si>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</si>
  <si>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</si>
  <si>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</si>
  <si>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</si>
  <si>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</si>
  <si>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</si>
  <si>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</si>
  <si>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</si>
  <si>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</si>
  <si>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</si>
  <si>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</si>
  <si>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</si>
  <si>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</si>
  <si>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</si>
  <si>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</si>
  <si>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</si>
  <si>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</si>
  <si>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</si>
  <si>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</si>
  <si>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</si>
  <si>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</si>
  <si>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</si>
  <si>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</si>
  <si>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</si>
  <si>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</si>
  <si>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</si>
  <si>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</si>
  <si>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</si>
  <si>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</si>
  <si>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</si>
  <si>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</si>
  <si>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</si>
  <si>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</si>
  <si>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</si>
  <si>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</si>
  <si>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</si>
  <si>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</si>
  <si>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</si>
  <si>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</si>
  <si>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</si>
  <si>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</si>
  <si>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</si>
  <si>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</si>
  <si>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</si>
  <si>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</si>
  <si>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</si>
  <si>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</si>
  <si>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</si>
  <si>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</si>
  <si>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</si>
  <si>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</si>
  <si>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</si>
  <si>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</si>
  <si>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</si>
  <si>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</si>
  <si>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</si>
  <si>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</si>
  <si>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</si>
  <si>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</si>
  <si>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</si>
  <si>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</si>
  <si>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</si>
  <si>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</si>
  <si>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</si>
  <si>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</si>
  <si>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</si>
  <si>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</si>
  <si>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</si>
  <si>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</si>
  <si>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</si>
  <si>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</si>
  <si>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</si>
  <si>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</si>
  <si>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</si>
  <si>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</si>
  <si>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</si>
  <si>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</si>
  <si>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</si>
  <si>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</si>
  <si>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</si>
  <si>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</si>
  <si>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</si>
  <si>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</si>
  <si>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</si>
  <si>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</si>
  <si>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</si>
  <si>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</si>
  <si>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</si>
  <si>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</si>
  <si>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</si>
  <si>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</si>
  <si>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</si>
  <si>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</si>
  <si>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</si>
  <si>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</si>
  <si>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</si>
  <si>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</si>
  <si>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</si>
  <si>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</si>
  <si>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</si>
  <si>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</si>
  <si>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</si>
  <si>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</si>
  <si>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</si>
  <si>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</si>
  <si>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</si>
  <si>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</si>
  <si>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</si>
  <si>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</si>
  <si>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</si>
  <si>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</si>
  <si>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</si>
  <si>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</si>
  <si>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</si>
  <si>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</si>
  <si>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</si>
  <si>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</si>
  <si>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</si>
  <si>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</si>
  <si>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</si>
  <si>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</si>
  <si>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</si>
  <si>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</si>
  <si>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</si>
  <si>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</si>
  <si>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</si>
  <si>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</si>
  <si>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</si>
  <si>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</si>
  <si>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</si>
  <si>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</si>
  <si>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</si>
  <si>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</si>
  <si>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</si>
  <si>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</si>
  <si>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</si>
  <si>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</si>
  <si>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</si>
  <si>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</si>
  <si>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</si>
  <si>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</si>
  <si>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</si>
  <si>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</si>
  <si>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</si>
  <si>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</si>
  <si>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</si>
  <si>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</si>
  <si>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</si>
  <si>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</si>
  <si>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</si>
  <si>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</si>
  <si>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</si>
  <si>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</si>
  <si>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</si>
  <si>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</si>
  <si>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</si>
  <si>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</si>
  <si>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</si>
  <si>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</si>
  <si>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</si>
  <si>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</si>
  <si>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</si>
  <si>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</si>
  <si>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</si>
  <si>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</si>
  <si>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</si>
  <si>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</si>
  <si>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</si>
  <si>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</si>
  <si>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</si>
  <si>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</si>
  <si>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</si>
  <si>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</si>
  <si>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</si>
  <si>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</si>
  <si>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</si>
  <si>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</si>
  <si>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</si>
  <si>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</si>
  <si>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</si>
  <si>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</si>
  <si>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</si>
  <si>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</si>
  <si>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</si>
  <si>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</si>
  <si>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</si>
  <si>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</si>
  <si>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</si>
  <si>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</si>
  <si>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</si>
  <si>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</si>
  <si>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</si>
  <si>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</si>
  <si>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</si>
  <si>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</si>
  <si>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</si>
  <si>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</si>
  <si>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</si>
  <si>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</si>
  <si>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</si>
  <si>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</si>
  <si>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</si>
  <si>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</si>
  <si>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</si>
  <si>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</si>
  <si>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</si>
  <si>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</si>
  <si>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</si>
  <si>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</si>
  <si>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</si>
  <si>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</si>
  <si>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</si>
  <si>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</si>
  <si>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</si>
  <si>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</si>
  <si>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</si>
  <si>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</si>
  <si>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</si>
  <si>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</si>
  <si>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</si>
  <si>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</si>
  <si>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</si>
  <si>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</si>
  <si>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</si>
  <si>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</si>
  <si>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</si>
  <si>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</si>
  <si>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</si>
  <si>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</si>
  <si>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</si>
  <si>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</si>
  <si>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</si>
  <si>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</si>
  <si>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</si>
  <si>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</si>
  <si>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</si>
  <si>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</si>
  <si>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</si>
  <si>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</si>
  <si>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</si>
  <si>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</si>
  <si>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</si>
  <si>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</si>
  <si>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</si>
  <si>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</si>
  <si>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</si>
  <si>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</si>
  <si>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</si>
  <si>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</si>
  <si>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</si>
  <si>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</si>
  <si>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</si>
  <si>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</si>
  <si>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</si>
  <si>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</si>
  <si>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</si>
  <si>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</si>
  <si>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</si>
  <si>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</si>
  <si>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</si>
  <si>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</si>
  <si>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</si>
  <si>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</si>
  <si>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</si>
  <si>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</si>
  <si>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</si>
  <si>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</si>
  <si>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</si>
  <si>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</si>
  <si>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</si>
  <si>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</si>
  <si>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</si>
  <si>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</si>
  <si>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</si>
  <si>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</si>
  <si>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</si>
  <si>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</si>
  <si>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</si>
  <si>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</si>
  <si>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</si>
  <si>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</si>
  <si>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</si>
  <si>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</si>
  <si>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</si>
  <si>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</si>
  <si>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</si>
  <si>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</si>
  <si>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</si>
  <si>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</si>
  <si>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</si>
  <si>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</si>
  <si>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</si>
  <si>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</si>
  <si>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</si>
  <si>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</si>
  <si>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</si>
  <si>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</si>
  <si>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</si>
  <si>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</si>
  <si>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</si>
  <si>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</si>
  <si>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</si>
  <si>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</si>
  <si>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</si>
  <si>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</si>
  <si>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</si>
  <si>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</si>
  <si>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</si>
  <si>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</si>
  <si>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</si>
  <si>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</si>
  <si>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</si>
  <si>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</si>
  <si>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</si>
  <si>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</si>
  <si>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</si>
  <si>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</si>
  <si>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</si>
  <si>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</si>
  <si>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</si>
  <si>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</si>
  <si>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</si>
  <si>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</si>
  <si>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</si>
  <si>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</si>
  <si>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</si>
  <si>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</si>
  <si>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</si>
  <si>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</si>
  <si>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</si>
  <si>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</si>
  <si>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</si>
  <si>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</si>
  <si>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</si>
  <si>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</si>
  <si>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</si>
  <si>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</si>
  <si>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</si>
  <si>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</si>
  <si>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</si>
  <si>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</si>
  <si>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</si>
  <si>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</si>
  <si>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</si>
  <si>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</si>
  <si>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</si>
  <si>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</si>
  <si>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</si>
  <si>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</si>
  <si>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</si>
  <si>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</si>
  <si>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</si>
  <si>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</si>
  <si>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</si>
  <si>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</si>
  <si>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</si>
  <si>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</si>
  <si>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</si>
  <si>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</si>
  <si>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</si>
  <si>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</si>
  <si>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</si>
  <si>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</si>
  <si>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</si>
  <si>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</si>
  <si>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</si>
  <si>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</si>
  <si>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</si>
  <si>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</si>
  <si>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</si>
  <si>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</si>
  <si>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</si>
  <si>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</si>
  <si>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</si>
  <si>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</si>
  <si>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</si>
  <si>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</si>
  <si>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</si>
  <si>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</si>
  <si>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</si>
  <si>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</si>
  <si>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</si>
  <si>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</si>
  <si>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</si>
  <si>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</si>
  <si>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</si>
  <si>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</si>
  <si>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</si>
  <si>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</si>
  <si>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</si>
  <si>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</si>
  <si>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</si>
  <si>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</si>
  <si>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</si>
  <si>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</si>
  <si>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</si>
  <si>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</si>
  <si>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</si>
  <si>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</si>
  <si>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</si>
  <si>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</si>
  <si>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</si>
  <si>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</si>
  <si>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</si>
  <si>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</si>
  <si>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</si>
  <si>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</si>
  <si>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</si>
  <si>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</si>
  <si>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</si>
  <si>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</si>
  <si>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</si>
  <si>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</si>
  <si>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</si>
  <si>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</si>
  <si>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</si>
  <si>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</si>
  <si>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</si>
  <si>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</si>
  <si>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</si>
  <si>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</si>
  <si>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</si>
  <si>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</si>
  <si>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</si>
  <si>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</si>
  <si>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</si>
  <si>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</si>
  <si>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</si>
  <si>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</si>
  <si>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</si>
  <si>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</si>
  <si>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</si>
  <si>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</si>
  <si>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</si>
  <si>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</si>
  <si>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</si>
  <si>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</si>
  <si>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</si>
  <si>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</si>
  <si>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</si>
  <si>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</si>
  <si>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</si>
  <si>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</si>
  <si>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</si>
  <si>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</si>
  <si>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</si>
  <si>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</si>
  <si>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</si>
  <si>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</si>
  <si>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</si>
  <si>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</si>
  <si>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</si>
  <si>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</si>
  <si>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</si>
  <si>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</si>
  <si>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</si>
  <si>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</si>
  <si>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</si>
  <si>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</si>
  <si>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</si>
  <si>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</si>
  <si>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</si>
  <si>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</si>
  <si>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</si>
  <si>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</si>
  <si>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</si>
  <si>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</si>
  <si>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</si>
  <si>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</si>
  <si>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</si>
  <si>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</si>
  <si>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</si>
  <si>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</si>
  <si>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</si>
  <si>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</si>
  <si>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</si>
  <si>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</si>
  <si>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</si>
  <si>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</si>
  <si>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</si>
  <si>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</si>
  <si>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</si>
  <si>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</si>
  <si>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</si>
  <si>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</si>
  <si>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</si>
  <si>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</si>
  <si>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</si>
  <si>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</si>
  <si>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</si>
  <si>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</si>
  <si>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</si>
  <si>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</si>
  <si>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</si>
  <si>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</si>
  <si>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</si>
  <si>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</si>
  <si>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</si>
  <si>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</si>
  <si>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</si>
  <si>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</si>
  <si>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</si>
  <si>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</si>
  <si>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</si>
  <si>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</si>
  <si>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</si>
  <si>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</si>
  <si>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</si>
  <si>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</si>
  <si>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</si>
  <si>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</si>
  <si>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</si>
  <si>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</si>
  <si>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</si>
  <si>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</si>
  <si>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</si>
  <si>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</si>
  <si>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</si>
  <si>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</si>
  <si>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</si>
  <si>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</si>
  <si>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</si>
  <si>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</si>
  <si>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</si>
  <si>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</si>
  <si>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</si>
  <si>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</si>
  <si>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</si>
  <si>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</si>
  <si>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</si>
  <si>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</si>
  <si>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</si>
  <si>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</si>
  <si>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</si>
  <si>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</si>
  <si>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</si>
  <si>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</si>
  <si>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</si>
  <si>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</si>
  <si>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</si>
  <si>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</si>
  <si>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</si>
  <si>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</si>
  <si>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</si>
  <si>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</si>
  <si>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</si>
  <si>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</si>
  <si>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</si>
  <si>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</si>
  <si>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</si>
  <si>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</si>
  <si>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</si>
  <si>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</si>
  <si>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</si>
  <si>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</si>
  <si>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</si>
  <si>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</si>
  <si>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</si>
  <si>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</si>
  <si>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</si>
  <si>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</si>
  <si>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</si>
  <si>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</si>
  <si>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</si>
  <si>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</si>
  <si>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</si>
  <si>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</si>
  <si>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</si>
  <si>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</si>
  <si>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</si>
  <si>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</si>
  <si>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</si>
  <si>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</si>
  <si>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</si>
  <si>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</si>
  <si>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</si>
  <si>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</si>
  <si>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</si>
  <si>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</si>
  <si>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</si>
  <si>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</si>
  <si>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</si>
  <si>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</si>
  <si>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</si>
  <si>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</si>
  <si>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</si>
  <si>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</si>
  <si>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</si>
  <si>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</si>
  <si>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</si>
  <si>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</si>
  <si>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</si>
  <si>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</si>
  <si>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</si>
  <si>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</si>
  <si>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</si>
  <si>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</si>
  <si>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</si>
  <si>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</si>
  <si>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</si>
  <si>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</si>
  <si>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</si>
  <si>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</si>
  <si>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</si>
  <si>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</si>
  <si>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</si>
  <si>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</si>
  <si>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</si>
  <si>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</si>
  <si>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</si>
  <si>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</si>
  <si>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</si>
  <si>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</si>
  <si>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</si>
  <si>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</si>
  <si>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</si>
  <si>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</si>
  <si>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</si>
  <si>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</si>
  <si>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</si>
  <si>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</si>
  <si>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</si>
  <si>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</si>
  <si>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</si>
  <si>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</si>
  <si>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</si>
  <si>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</si>
  <si>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</si>
  <si>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</si>
  <si>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</si>
  <si>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</si>
  <si>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</si>
  <si>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</si>
  <si>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</si>
  <si>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</si>
  <si>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</si>
  <si>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</si>
  <si>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</si>
  <si>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</si>
  <si>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</si>
  <si>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</si>
  <si>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</si>
  <si>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</si>
  <si>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</si>
  <si>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</si>
  <si>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</si>
  <si>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</si>
  <si>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</si>
  <si>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</si>
  <si>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</si>
  <si>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</si>
  <si>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</si>
  <si>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</si>
  <si>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</si>
  <si>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</si>
  <si>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</si>
  <si>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</si>
  <si>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</si>
  <si>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</si>
  <si>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</si>
  <si>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</si>
  <si>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</si>
  <si>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</si>
  <si>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</si>
  <si>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</si>
  <si>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</si>
  <si>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</si>
  <si>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</si>
  <si>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</si>
  <si>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</si>
  <si>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</si>
  <si>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</si>
  <si>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</si>
  <si>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</si>
  <si>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</si>
  <si>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</si>
  <si>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</si>
  <si>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</si>
  <si>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</si>
  <si>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</si>
  <si>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</si>
  <si>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</si>
  <si>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</si>
  <si>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</si>
  <si>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</si>
  <si>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</si>
  <si>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</si>
  <si>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</si>
  <si>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</si>
  <si>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</si>
  <si>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</si>
  <si>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</si>
  <si>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</si>
  <si>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</si>
  <si>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</si>
  <si>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</si>
  <si>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</si>
  <si>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</si>
  <si>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</si>
  <si>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</si>
  <si>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</si>
  <si>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</si>
  <si>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</si>
  <si>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</si>
  <si>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</si>
  <si>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</si>
  <si>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</si>
  <si>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</si>
  <si>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</si>
  <si>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</si>
  <si>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</si>
  <si>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</si>
  <si>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</si>
  <si>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</si>
  <si>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</si>
  <si>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</si>
  <si>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</si>
  <si>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</si>
  <si>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</si>
  <si>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</si>
  <si>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</si>
  <si>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</si>
  <si>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</si>
  <si>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</si>
  <si>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</si>
  <si>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</si>
  <si>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</si>
  <si>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</si>
  <si>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</si>
  <si>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</si>
  <si>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</si>
  <si>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</si>
  <si>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</si>
  <si>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</si>
  <si>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</si>
  <si>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</si>
  <si>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</si>
  <si>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</si>
  <si>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</si>
  <si>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</si>
  <si>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</si>
  <si>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</si>
  <si>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</si>
  <si>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</si>
  <si>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</si>
  <si>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</si>
  <si>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</si>
  <si>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</si>
  <si>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</si>
  <si>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</si>
  <si>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</si>
  <si>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</si>
  <si>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</si>
  <si>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</si>
  <si>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</si>
  <si>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</si>
  <si>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</si>
  <si>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</si>
  <si>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</si>
  <si>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</si>
  <si>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</si>
  <si>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</si>
  <si>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</si>
  <si>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</si>
  <si>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</si>
  <si>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</si>
  <si>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</si>
  <si>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</si>
  <si>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</si>
  <si>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</si>
  <si>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</si>
  <si>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</si>
  <si>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</si>
  <si>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</si>
  <si>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</si>
  <si>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</si>
  <si>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</si>
  <si>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</si>
  <si>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</si>
  <si>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</si>
  <si>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</si>
  <si>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</si>
  <si>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</si>
  <si>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</si>
  <si>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</si>
  <si>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</si>
  <si>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</si>
  <si>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</si>
  <si>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</si>
  <si>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</si>
  <si>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</si>
  <si>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</si>
  <si>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</si>
  <si>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</si>
  <si>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</si>
  <si>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</si>
  <si>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</si>
  <si>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</si>
  <si>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</si>
  <si>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</si>
  <si>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</si>
  <si>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</si>
  <si>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</si>
  <si>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</si>
  <si>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</si>
  <si>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</si>
  <si>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</si>
  <si>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</si>
  <si>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</si>
  <si>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</si>
  <si>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</si>
  <si>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</si>
  <si>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</si>
  <si>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</si>
  <si>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</si>
  <si>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</si>
  <si>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</si>
  <si>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</si>
  <si>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</si>
  <si>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</si>
  <si>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</si>
  <si>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</si>
  <si>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</si>
  <si>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</si>
  <si>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</si>
  <si>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</si>
  <si>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</si>
  <si>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</si>
  <si>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</si>
  <si>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</si>
  <si>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</si>
  <si>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</si>
  <si>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</si>
  <si>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</si>
  <si>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</si>
  <si>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</si>
  <si>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</si>
  <si>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</si>
  <si>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</si>
  <si>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</si>
  <si>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</si>
  <si>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</si>
  <si>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</si>
  <si>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</si>
  <si>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</si>
  <si>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</si>
  <si>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</si>
  <si>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</si>
  <si>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</si>
  <si>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</si>
  <si>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</si>
  <si>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</si>
  <si>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</si>
  <si>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</si>
  <si>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</si>
  <si>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</si>
  <si>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</si>
  <si>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</si>
  <si>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</si>
  <si>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</si>
  <si>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</si>
  <si>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</si>
  <si>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</si>
  <si>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</si>
  <si>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</si>
  <si>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</si>
  <si>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</si>
  <si>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</si>
  <si>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</si>
  <si>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</si>
  <si>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</si>
  <si>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</si>
  <si>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</si>
  <si>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</si>
  <si>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</si>
  <si>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</si>
  <si>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</si>
  <si>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</si>
  <si>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</si>
  <si>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</si>
  <si>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</si>
  <si>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</si>
  <si>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</si>
  <si>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</si>
  <si>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</si>
  <si>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</si>
  <si>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</si>
  <si>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</si>
  <si>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</si>
  <si>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</si>
  <si>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</si>
  <si>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</si>
  <si>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</si>
  <si>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</si>
  <si>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</si>
  <si>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</si>
  <si>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</si>
  <si>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</si>
  <si>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</si>
  <si>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</si>
  <si>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</si>
  <si>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</si>
  <si>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</si>
  <si>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</si>
  <si>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</si>
  <si>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</si>
  <si>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</si>
  <si>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</si>
  <si>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</si>
  <si>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</si>
  <si>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</si>
  <si>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</si>
  <si>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</si>
  <si>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</si>
  <si>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</si>
  <si>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</si>
  <si>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</si>
  <si>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</si>
  <si>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</si>
  <si>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</si>
  <si>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</si>
  <si>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</si>
  <si>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</si>
  <si>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</si>
  <si>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</si>
  <si>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</si>
  <si>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</si>
  <si>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</si>
  <si>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</si>
  <si>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</si>
  <si>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</si>
  <si>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</si>
  <si>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</si>
  <si>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</si>
  <si>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</si>
  <si>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</si>
  <si>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</si>
  <si>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</si>
  <si>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</si>
  <si>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</si>
  <si>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</si>
  <si>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</si>
  <si>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</si>
  <si>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</si>
  <si>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</si>
  <si>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</si>
  <si>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</si>
  <si>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</si>
  <si>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</si>
  <si>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</si>
  <si>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</si>
  <si>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</si>
  <si>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</si>
  <si>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</si>
  <si>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</si>
  <si>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</si>
  <si>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</si>
  <si>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</si>
  <si>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</si>
  <si>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</si>
  <si>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</si>
  <si>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</si>
  <si>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</si>
  <si>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</si>
  <si>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</si>
  <si>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</si>
  <si>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</si>
  <si>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</si>
  <si>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</si>
  <si>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</si>
  <si>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</si>
  <si>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</si>
  <si>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</si>
  <si>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</si>
  <si>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</si>
  <si>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</si>
  <si>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</si>
  <si>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</si>
  <si>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</si>
  <si>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</si>
  <si>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</si>
  <si>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</si>
  <si>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</si>
  <si>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</si>
  <si>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</si>
  <si>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</si>
  <si>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</si>
  <si>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</si>
  <si>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</si>
  <si>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</si>
  <si>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</si>
  <si>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</si>
  <si>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</si>
  <si>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</si>
  <si>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</si>
  <si>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</si>
  <si>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</si>
  <si>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</si>
  <si>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</si>
  <si>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</si>
  <si>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</si>
  <si>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</si>
  <si>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</si>
  <si>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</si>
  <si>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</si>
  <si>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</si>
  <si>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</si>
  <si>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</si>
  <si>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</si>
  <si>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</si>
  <si>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</si>
  <si>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</si>
  <si>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</si>
  <si>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</si>
  <si>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</si>
  <si>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</si>
  <si>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</si>
  <si>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</si>
  <si>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</si>
  <si>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</si>
  <si>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</si>
  <si>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</si>
  <si>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</si>
  <si>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</si>
  <si>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</si>
  <si>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</si>
  <si>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</si>
  <si>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</si>
  <si>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</si>
  <si>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</si>
  <si>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</si>
  <si>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</si>
  <si>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</si>
  <si>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</si>
  <si>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</si>
  <si>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</si>
  <si>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</si>
  <si>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</si>
  <si>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</si>
  <si>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</si>
  <si>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</si>
  <si>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</si>
  <si>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</si>
  <si>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</si>
  <si>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</si>
  <si>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</si>
  <si>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</si>
  <si>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</si>
  <si>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</si>
  <si>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</si>
  <si>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</si>
  <si>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</si>
  <si>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</si>
  <si>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</si>
  <si>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</si>
  <si>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</si>
  <si>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</si>
  <si>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</si>
  <si>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</si>
  <si>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</si>
  <si>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</si>
  <si>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</si>
  <si>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</si>
  <si>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</si>
  <si>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</si>
  <si>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</si>
  <si>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</si>
  <si>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</si>
  <si>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</si>
  <si>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</si>
  <si>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</si>
  <si>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</si>
  <si>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</si>
  <si>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</si>
  <si>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</si>
  <si>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</si>
  <si>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</si>
  <si>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</si>
  <si>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</si>
  <si>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</si>
  <si>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</si>
  <si>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</si>
  <si>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</si>
  <si>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</si>
  <si>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</si>
  <si>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</si>
  <si>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</si>
  <si>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</si>
  <si>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</si>
  <si>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</si>
  <si>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</si>
  <si>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</si>
  <si>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</si>
  <si>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</si>
  <si>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</si>
  <si>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</si>
  <si>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</si>
  <si>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</si>
  <si>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</si>
  <si>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</si>
  <si>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</si>
  <si>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</si>
  <si>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</si>
  <si>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</si>
  <si>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</si>
  <si>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</si>
  <si>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</si>
  <si>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</si>
  <si>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</si>
  <si>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</si>
  <si>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</si>
  <si>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</si>
  <si>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</si>
  <si>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</si>
  <si>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</si>
  <si>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</si>
  <si>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</si>
  <si>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</si>
  <si>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</si>
  <si>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</si>
  <si>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</si>
  <si>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</si>
  <si>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</si>
  <si>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</si>
  <si>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</si>
  <si>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</si>
  <si>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</si>
  <si>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</si>
  <si>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</si>
  <si>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</si>
  <si>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</si>
  <si>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</si>
  <si>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</si>
  <si>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</si>
  <si>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</si>
  <si>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</si>
  <si>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</si>
  <si>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</si>
  <si>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</si>
  <si>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</si>
  <si>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</si>
  <si>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</si>
  <si>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</si>
  <si>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</si>
  <si>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</si>
  <si>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</si>
  <si>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</si>
  <si>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</si>
  <si>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</si>
  <si>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</si>
  <si>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</si>
  <si>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</si>
  <si>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</si>
  <si>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</si>
  <si>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</si>
  <si>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</si>
  <si>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</si>
  <si>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</si>
  <si>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</si>
  <si>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</si>
  <si>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</si>
  <si>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</si>
  <si>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</si>
  <si>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</si>
  <si>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</si>
  <si>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</si>
  <si>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</si>
  <si>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</si>
  <si>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</si>
  <si>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</si>
  <si>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</si>
  <si>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</si>
  <si>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</si>
  <si>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</si>
  <si>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</si>
  <si>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</si>
  <si>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</si>
  <si>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</si>
  <si>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</si>
  <si>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</si>
  <si>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</si>
  <si>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</si>
  <si>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</si>
  <si>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</si>
  <si>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</si>
  <si>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</si>
  <si>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</si>
  <si>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</si>
  <si>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</si>
  <si>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</si>
  <si>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</si>
  <si>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</si>
  <si>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</si>
  <si>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</si>
  <si>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</si>
  <si>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</si>
  <si>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</si>
  <si>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</si>
  <si>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</si>
  <si>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</si>
  <si>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</si>
  <si>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</si>
  <si>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</si>
  <si>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</si>
  <si>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</si>
  <si>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</si>
  <si>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</si>
  <si>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</si>
  <si>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</si>
  <si>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</si>
  <si>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</si>
  <si>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</si>
  <si>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</si>
  <si>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</si>
  <si>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</si>
  <si>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</si>
  <si>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</si>
  <si>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</si>
  <si>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</si>
  <si>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</si>
  <si>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</si>
  <si>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</si>
  <si>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</si>
  <si>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</si>
  <si>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</si>
  <si>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</si>
  <si>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</si>
  <si>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</si>
  <si>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</si>
  <si>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</si>
  <si>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</si>
  <si>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</si>
  <si>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</si>
  <si>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</si>
  <si>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</si>
  <si>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</si>
  <si>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</si>
  <si>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</si>
  <si>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</si>
  <si>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</si>
  <si>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</si>
  <si>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</si>
  <si>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</si>
  <si>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</si>
  <si>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</si>
  <si>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</si>
  <si>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</si>
  <si>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</si>
  <si>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</si>
  <si>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</si>
  <si>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</si>
  <si>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</si>
  <si>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</si>
  <si>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</si>
  <si>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</si>
  <si>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</si>
  <si>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</si>
  <si>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</si>
  <si>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</si>
  <si>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</si>
  <si>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</si>
  <si>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</si>
  <si>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</si>
  <si>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</si>
  <si>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</si>
  <si>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</si>
  <si>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</si>
  <si>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</si>
  <si>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</si>
  <si>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</si>
  <si>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</si>
  <si>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</si>
  <si>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</si>
  <si>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</si>
  <si>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</si>
  <si>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</si>
  <si>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</si>
  <si>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</si>
  <si>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</si>
  <si>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</si>
  <si>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</si>
  <si>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</si>
  <si>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</si>
  <si>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</si>
  <si>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</si>
  <si>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</si>
  <si>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</si>
  <si>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</si>
  <si>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</si>
  <si>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</si>
  <si>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</si>
  <si>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</si>
  <si>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</si>
  <si>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</si>
  <si>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</si>
  <si>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</si>
  <si>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</si>
  <si>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</si>
  <si>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</si>
  <si>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</si>
  <si>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</si>
  <si>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</si>
  <si>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</si>
  <si>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</si>
  <si>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</si>
  <si>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</si>
  <si>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</si>
  <si>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</si>
  <si>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</si>
  <si>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</si>
  <si>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</si>
  <si>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</si>
  <si>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</si>
  <si>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</si>
  <si>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</si>
  <si>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</si>
  <si>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</si>
  <si>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</si>
  <si>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</si>
  <si>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</si>
  <si>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</si>
  <si>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</si>
  <si>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</si>
  <si>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</si>
  <si>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</si>
  <si>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</si>
  <si>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</si>
  <si>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</si>
  <si>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</si>
  <si>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</si>
  <si>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</si>
  <si>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</si>
  <si>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</si>
  <si>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</si>
  <si>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</si>
  <si>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</si>
  <si>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</si>
  <si>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</si>
  <si>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</si>
  <si>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</si>
  <si>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</si>
  <si>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</si>
  <si>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</si>
  <si>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</si>
  <si>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</si>
  <si>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</si>
  <si>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</si>
  <si>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</si>
  <si>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</si>
  <si>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</si>
  <si>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</si>
  <si>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</si>
  <si>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</si>
  <si>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</si>
  <si>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</si>
  <si>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</si>
  <si>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</si>
  <si>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</si>
  <si>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</si>
  <si>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</si>
  <si>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</si>
  <si>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</si>
  <si>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</si>
  <si>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</si>
  <si>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</si>
  <si>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</si>
  <si>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</si>
  <si>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</si>
  <si>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</si>
  <si>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</si>
  <si>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</si>
  <si>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</si>
  <si>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</si>
  <si>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</si>
  <si>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</si>
  <si>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</si>
  <si>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</si>
  <si>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</si>
  <si>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</si>
  <si>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</si>
  <si>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</si>
  <si>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</si>
  <si>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</si>
  <si>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</si>
  <si>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</si>
  <si>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</si>
  <si>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</si>
  <si>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</si>
  <si>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</si>
  <si>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</si>
  <si>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</si>
  <si>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</si>
  <si>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</si>
  <si>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</si>
  <si>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</si>
  <si>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</si>
  <si>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</si>
  <si>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</si>
  <si>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</si>
  <si>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</si>
  <si>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</si>
  <si>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</si>
  <si>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</si>
  <si>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</si>
  <si>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</si>
  <si>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</si>
  <si>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</si>
  <si>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</si>
  <si>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</si>
  <si>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</si>
  <si>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</si>
  <si>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</si>
  <si>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</si>
  <si>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</si>
  <si>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</si>
  <si>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</si>
  <si>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</si>
  <si>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</si>
  <si>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</si>
  <si>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</si>
  <si>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</si>
  <si>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</si>
  <si>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</si>
  <si>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</si>
  <si>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</si>
  <si>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</si>
  <si>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</si>
  <si>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</si>
  <si>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</si>
  <si>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</si>
  <si>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</si>
  <si>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</si>
  <si>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</si>
  <si>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</si>
  <si>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</si>
  <si>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</si>
  <si>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</si>
  <si>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</si>
  <si>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</si>
  <si>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</si>
  <si>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</si>
  <si>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</si>
  <si>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</si>
  <si>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</si>
  <si>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</si>
  <si>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</si>
  <si>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</si>
  <si>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</si>
  <si>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</si>
  <si>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</si>
  <si>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</si>
  <si>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</si>
  <si>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</si>
  <si>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</si>
  <si>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</si>
  <si>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</si>
  <si>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</si>
  <si>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</si>
  <si>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</si>
  <si>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</si>
  <si>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</si>
  <si>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</si>
  <si>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</si>
  <si>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</si>
  <si>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</si>
  <si>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</si>
  <si>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</si>
  <si>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</si>
  <si>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</si>
  <si>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</si>
  <si>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</si>
  <si>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</si>
  <si>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</si>
  <si>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</si>
  <si>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</si>
  <si>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</si>
  <si>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</si>
  <si>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</si>
  <si>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</si>
  <si>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</si>
  <si>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</si>
  <si>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</si>
  <si>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</si>
  <si>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</si>
  <si>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</si>
  <si>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</si>
  <si>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</si>
  <si>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</si>
  <si>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</si>
  <si>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</si>
  <si>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</si>
  <si>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</si>
  <si>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</si>
  <si>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</si>
  <si>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</si>
  <si>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</si>
  <si>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</si>
  <si>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</si>
  <si>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</si>
  <si>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</si>
  <si>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</si>
  <si>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</si>
  <si>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</si>
  <si>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</si>
  <si>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</si>
  <si>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</si>
  <si>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</si>
  <si>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</si>
  <si>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</si>
  <si>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</si>
  <si>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</si>
  <si>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</si>
  <si>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</si>
  <si>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</si>
  <si>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</si>
  <si>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</si>
  <si>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</si>
  <si>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</si>
  <si>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</si>
  <si>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</si>
  <si>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</si>
  <si>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</si>
  <si>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</si>
  <si>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</si>
  <si>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</si>
  <si>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</si>
  <si>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</si>
  <si>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</si>
  <si>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</si>
  <si>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</si>
  <si>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</si>
  <si>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</si>
  <si>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</si>
  <si>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</si>
  <si>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</si>
  <si>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</si>
  <si>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</si>
  <si>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</si>
  <si>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</si>
  <si>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</si>
  <si>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</si>
  <si>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</si>
  <si>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</si>
  <si>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</si>
  <si>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</si>
  <si>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</si>
  <si>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</si>
  <si>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</si>
  <si>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</si>
  <si>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</si>
  <si>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</si>
  <si>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</si>
  <si>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</si>
  <si>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</si>
  <si>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</si>
  <si>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</si>
  <si>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</si>
  <si>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</si>
  <si>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</si>
  <si>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</si>
  <si>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</si>
  <si>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</si>
  <si>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</si>
  <si>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</si>
  <si>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</si>
  <si>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</si>
  <si>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</si>
  <si>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</si>
  <si>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</si>
  <si>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</si>
  <si>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</si>
  <si>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</si>
  <si>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</si>
  <si>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</si>
  <si>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</si>
  <si>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</si>
  <si>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</si>
  <si>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</si>
  <si>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</si>
  <si>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</si>
  <si>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</si>
  <si>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</si>
  <si>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</si>
  <si>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</si>
  <si>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</si>
  <si>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</si>
  <si>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</si>
  <si>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</si>
  <si>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</si>
  <si>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</si>
  <si>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</si>
  <si>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</si>
  <si>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</si>
  <si>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</si>
  <si>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</si>
  <si>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</si>
  <si>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</si>
  <si>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</si>
  <si>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</si>
  <si>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</si>
  <si>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</si>
  <si>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</si>
  <si>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</si>
  <si>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</si>
  <si>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</si>
  <si>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</si>
  <si>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</si>
  <si>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</si>
  <si>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</si>
  <si>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</si>
  <si>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</si>
  <si>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</si>
  <si>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</si>
  <si>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</si>
  <si>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</si>
  <si>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</si>
  <si>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</si>
  <si>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</si>
  <si>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</si>
  <si>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</si>
  <si>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</si>
  <si>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</si>
  <si>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</si>
  <si>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</si>
  <si>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</si>
  <si>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</si>
  <si>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</si>
  <si>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</si>
  <si>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</si>
  <si>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</si>
  <si>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</si>
  <si>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</si>
  <si>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</si>
  <si>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</si>
  <si>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</si>
  <si>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</si>
  <si>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</si>
  <si>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</si>
  <si>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</si>
  <si>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</si>
  <si>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</si>
  <si>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</si>
  <si>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</si>
  <si>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</si>
  <si>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</si>
  <si>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</si>
  <si>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</si>
  <si>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</si>
  <si>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</si>
  <si>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</si>
  <si>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</si>
  <si>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</si>
  <si>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</si>
  <si>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</si>
  <si>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</si>
  <si>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</si>
  <si>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</si>
  <si>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</si>
  <si>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</si>
  <si>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</si>
  <si>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</si>
  <si>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</si>
  <si>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</si>
  <si>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</si>
  <si>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</si>
  <si>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</si>
  <si>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</si>
  <si>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</si>
  <si>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</si>
  <si>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</si>
  <si>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</si>
  <si>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</si>
  <si>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</si>
  <si>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</si>
  <si>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</si>
  <si>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</si>
  <si>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</si>
  <si>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</si>
  <si>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</si>
  <si>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</si>
  <si>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</si>
  <si>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</si>
  <si>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</si>
  <si>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</si>
  <si>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</si>
  <si>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</si>
  <si>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</si>
  <si>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</si>
  <si>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</si>
  <si>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</si>
  <si>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</si>
  <si>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</si>
  <si>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</si>
  <si>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</si>
  <si>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</si>
  <si>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</si>
  <si>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</si>
  <si>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</si>
  <si>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</si>
  <si>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</si>
  <si>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</si>
  <si>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</si>
  <si>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</si>
  <si>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</si>
  <si>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</si>
  <si>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</si>
  <si>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</si>
  <si>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</si>
  <si>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</si>
  <si>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</si>
  <si>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</si>
  <si>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</si>
  <si>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</si>
  <si>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</si>
  <si>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</si>
  <si>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</si>
  <si>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</si>
  <si>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</si>
  <si>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</si>
  <si>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</si>
  <si>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</si>
  <si>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</si>
  <si>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</si>
  <si>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</si>
  <si>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</si>
  <si>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</si>
  <si>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</si>
  <si>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</si>
  <si>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</si>
  <si>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</si>
  <si>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</si>
  <si>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</si>
  <si>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</si>
  <si>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</si>
  <si>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</si>
  <si>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</si>
  <si>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</si>
  <si>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</si>
  <si>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</si>
  <si>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</si>
  <si>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</si>
  <si>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</si>
  <si>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</si>
  <si>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</si>
  <si>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</si>
  <si>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</si>
  <si>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</si>
  <si>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</si>
  <si>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</si>
  <si>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</si>
  <si>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</si>
  <si>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</si>
  <si>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</si>
  <si>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</si>
  <si>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</si>
  <si>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</si>
  <si>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</si>
  <si>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</si>
  <si>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</si>
  <si>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</si>
  <si>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</si>
  <si>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</si>
  <si>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</si>
  <si>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</si>
  <si>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</si>
  <si>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</si>
  <si>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</si>
  <si>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</si>
  <si>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</si>
  <si>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</si>
  <si>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</si>
  <si>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</si>
  <si>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</si>
  <si>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</si>
  <si>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</si>
  <si>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</si>
  <si>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</si>
  <si>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</si>
  <si>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</si>
  <si>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</si>
  <si>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</si>
  <si>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</si>
  <si>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</si>
  <si>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</si>
  <si>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</si>
  <si>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</si>
  <si>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</si>
  <si>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</si>
  <si>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</si>
  <si>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</si>
  <si>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</si>
  <si>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</si>
  <si>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</si>
  <si>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</si>
  <si>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</si>
  <si>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</si>
  <si>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</si>
  <si>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</si>
  <si>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</si>
  <si>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</si>
  <si>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</si>
  <si>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</si>
  <si>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</si>
  <si>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</si>
  <si>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</si>
  <si>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</si>
  <si>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</si>
  <si>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</si>
  <si>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</si>
  <si>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</si>
  <si>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</si>
  <si>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</si>
  <si>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</si>
  <si>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</si>
  <si>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</si>
  <si>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</si>
  <si>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</si>
  <si>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</si>
  <si>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</si>
  <si>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</si>
  <si>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</si>
  <si>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</si>
  <si>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</si>
  <si>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</si>
  <si>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</si>
  <si>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</si>
  <si>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</si>
  <si>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</si>
  <si>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</si>
  <si>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</si>
  <si>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</si>
  <si>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</si>
  <si>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</si>
  <si>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</si>
  <si>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</si>
  <si>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</si>
  <si>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</si>
  <si>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</si>
  <si>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</si>
  <si>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</si>
  <si>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</si>
  <si>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</si>
  <si>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</si>
  <si>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</si>
  <si>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</si>
  <si>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</si>
  <si>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</si>
  <si>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</si>
  <si>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</si>
  <si>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</si>
  <si>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</si>
  <si>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</si>
  <si>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</si>
  <si>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</si>
  <si>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</si>
  <si>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</si>
  <si>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</si>
  <si>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</si>
  <si>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</si>
  <si>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</si>
  <si>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</si>
  <si>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</si>
  <si>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</si>
  <si>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</si>
  <si>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</si>
  <si>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</si>
  <si>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</si>
  <si>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</si>
  <si>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</si>
  <si>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</si>
  <si>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</si>
  <si>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</si>
  <si>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</si>
  <si>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</si>
  <si>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</si>
  <si>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</si>
  <si>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</si>
  <si>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</si>
  <si>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</si>
  <si>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</si>
  <si>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</si>
  <si>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</si>
  <si>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</si>
  <si>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</si>
  <si>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</si>
  <si>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</si>
  <si>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</si>
  <si>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</si>
  <si>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</si>
  <si>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</si>
  <si>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</si>
  <si>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</si>
  <si>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</si>
  <si>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</si>
  <si>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</si>
  <si>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</si>
  <si>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</si>
  <si>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</si>
  <si>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</si>
  <si>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</si>
  <si>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</si>
  <si>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</si>
  <si>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</si>
  <si>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</si>
  <si>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</si>
  <si>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</si>
  <si>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</si>
  <si>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</si>
  <si>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</si>
  <si>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</si>
  <si>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</si>
  <si>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</si>
  <si>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</si>
  <si>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</si>
  <si>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</si>
  <si>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</si>
  <si>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</si>
  <si>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</si>
  <si>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</si>
  <si>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</si>
  <si>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</si>
  <si>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</si>
  <si>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</si>
  <si>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</si>
  <si>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</si>
  <si>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</si>
  <si>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</si>
  <si>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</si>
  <si>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</si>
  <si>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</si>
  <si>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</si>
  <si>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</si>
  <si>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</si>
  <si>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</si>
  <si>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</si>
  <si>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</si>
  <si>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</si>
  <si>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</si>
  <si>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</si>
  <si>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</si>
  <si>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</si>
  <si>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</si>
  <si>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</si>
  <si>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</si>
  <si>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</si>
  <si>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</si>
  <si>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</si>
  <si>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</si>
  <si>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</si>
  <si>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</si>
  <si>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</si>
  <si>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</si>
  <si>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</si>
  <si>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</si>
  <si>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</si>
  <si>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</si>
  <si>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</si>
  <si>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</si>
  <si>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</si>
  <si>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</si>
  <si>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</si>
  <si>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</si>
  <si>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</si>
  <si>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</si>
  <si>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</si>
  <si>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</si>
  <si>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</si>
  <si>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</si>
  <si>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</si>
  <si>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</si>
  <si>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</si>
  <si>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</si>
  <si>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</si>
  <si>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</si>
  <si>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</si>
  <si>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</si>
  <si>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</si>
  <si>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</si>
  <si>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</si>
  <si>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</si>
  <si>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</si>
  <si>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</si>
  <si>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</si>
  <si>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</si>
  <si>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</si>
  <si>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</si>
  <si>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</si>
  <si>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</si>
  <si>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</si>
  <si>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</si>
  <si>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</si>
  <si>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</si>
  <si>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</si>
  <si>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</si>
  <si>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</si>
  <si>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</si>
  <si>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</si>
  <si>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</si>
  <si>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</si>
  <si>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</si>
  <si>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</si>
  <si>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</si>
  <si>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</si>
  <si>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</si>
  <si>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</si>
  <si>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</si>
  <si>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</si>
  <si>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</si>
  <si>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</si>
  <si>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</si>
  <si>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</si>
  <si>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</si>
  <si>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</si>
  <si>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</si>
  <si>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</si>
  <si>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</si>
  <si>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</si>
  <si>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</si>
  <si>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</si>
  <si>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</si>
  <si>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</si>
  <si>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</si>
  <si>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</si>
  <si>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</si>
  <si>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</si>
  <si>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</si>
  <si>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</si>
  <si>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</si>
  <si>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</si>
  <si>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</si>
  <si>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</si>
  <si>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</si>
  <si>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</si>
  <si>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</si>
  <si>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</si>
  <si>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</si>
  <si>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</si>
  <si>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</si>
  <si>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</si>
  <si>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</si>
  <si>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</si>
  <si>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</si>
  <si>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</si>
  <si>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</si>
  <si>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</si>
  <si>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</si>
  <si>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</si>
  <si>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</si>
  <si>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</si>
  <si>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</si>
  <si>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</si>
  <si>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</si>
  <si>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</si>
  <si>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</si>
  <si>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</si>
  <si>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</si>
  <si>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</si>
  <si>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</si>
  <si>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</si>
  <si>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</si>
  <si>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</si>
  <si>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</si>
  <si>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</si>
  <si>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</si>
  <si>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</si>
  <si>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</si>
  <si>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</si>
  <si>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</si>
  <si>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</si>
  <si>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</si>
  <si>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</si>
  <si>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</si>
  <si>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</si>
  <si>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</si>
  <si>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</si>
  <si>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</si>
  <si>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</si>
  <si>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</si>
  <si>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</si>
  <si>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</si>
  <si>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</si>
  <si>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</si>
  <si>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</si>
  <si>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</si>
  <si>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</si>
  <si>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</si>
  <si>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</si>
  <si>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</si>
  <si>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</si>
  <si>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</si>
  <si>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</si>
  <si>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</si>
  <si>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</si>
  <si>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</si>
  <si>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</si>
  <si>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</si>
  <si>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</si>
  <si>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</si>
  <si>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</si>
  <si>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</si>
  <si>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</si>
  <si>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</si>
  <si>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</si>
  <si>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</si>
  <si>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</si>
  <si>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</si>
  <si>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</si>
  <si>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</si>
  <si>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</si>
  <si>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</si>
  <si>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</si>
  <si>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</si>
  <si>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</si>
  <si>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</si>
  <si>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</si>
  <si>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</si>
  <si>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</si>
  <si>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</si>
  <si>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</si>
  <si>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</si>
  <si>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</si>
  <si>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</si>
  <si>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</si>
  <si>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</si>
  <si>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</si>
  <si>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</si>
  <si>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</si>
  <si>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</si>
  <si>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</si>
  <si>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</si>
  <si>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</si>
  <si>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</si>
  <si>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</si>
  <si>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</si>
  <si>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</si>
  <si>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</si>
  <si>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</si>
  <si>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</si>
  <si>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</si>
  <si>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</si>
  <si>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</si>
  <si>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</si>
  <si>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</si>
  <si>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</si>
  <si>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</si>
  <si>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</si>
  <si>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</si>
  <si>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</si>
  <si>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</si>
  <si>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</si>
  <si>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</si>
  <si>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</si>
  <si>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</si>
  <si>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</si>
  <si>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</si>
  <si>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</si>
  <si>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</si>
  <si>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</si>
  <si>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</si>
  <si>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</si>
  <si>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</si>
  <si>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</si>
  <si>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</si>
  <si>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</si>
  <si>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</si>
  <si>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</si>
  <si>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</si>
  <si>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</si>
  <si>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</si>
  <si>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</si>
  <si>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</si>
  <si>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</si>
  <si>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</si>
  <si>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</si>
  <si>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</si>
  <si>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</si>
  <si>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</si>
  <si>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</si>
  <si>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</si>
  <si>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</si>
  <si>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</si>
  <si>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</si>
  <si>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</si>
  <si>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</si>
  <si>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</si>
  <si>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</si>
  <si>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</si>
  <si>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</si>
  <si>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</si>
  <si>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</si>
  <si>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</si>
  <si>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</si>
  <si>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</si>
  <si>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</si>
  <si>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</si>
  <si>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</si>
  <si>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</si>
  <si>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</si>
  <si>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</si>
  <si>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</si>
  <si>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</si>
  <si>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</si>
  <si>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</si>
  <si>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</si>
  <si>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</si>
  <si>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</si>
  <si>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</si>
  <si>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</si>
  <si>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</si>
  <si>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</si>
  <si>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</si>
  <si>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</si>
  <si>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</si>
  <si>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</si>
  <si>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</si>
  <si>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</si>
  <si>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</si>
  <si>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</si>
  <si>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</si>
  <si>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</si>
  <si>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</si>
  <si>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</si>
  <si>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</si>
  <si>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</si>
  <si>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</si>
  <si>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</si>
  <si>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</si>
  <si>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</si>
  <si>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</si>
  <si>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</si>
  <si>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</si>
  <si>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</si>
  <si>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</si>
  <si>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</si>
  <si>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</si>
  <si>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</si>
  <si>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</si>
  <si>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</si>
  <si>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</si>
  <si>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</si>
  <si>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</si>
  <si>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</si>
  <si>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</si>
  <si>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</si>
  <si>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</si>
  <si>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</si>
  <si>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</si>
  <si>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</si>
  <si>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</si>
  <si>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</si>
  <si>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</si>
  <si>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</si>
  <si>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</si>
  <si>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</si>
  <si>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</si>
  <si>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</si>
  <si>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</si>
  <si>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</si>
  <si>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</si>
  <si>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</si>
  <si>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</si>
  <si>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</si>
  <si>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</si>
  <si>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</si>
  <si>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</si>
  <si>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</si>
  <si>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</si>
  <si>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</si>
  <si>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</si>
  <si>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</si>
  <si>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</si>
  <si>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</si>
  <si>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</si>
  <si>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</si>
  <si>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</si>
  <si>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</si>
  <si>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</si>
  <si>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</si>
  <si>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</si>
  <si>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</si>
  <si>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</si>
  <si>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</si>
  <si>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</si>
  <si>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</si>
  <si>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</si>
  <si>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</si>
  <si>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</si>
  <si>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</si>
  <si>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</si>
  <si>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</si>
  <si>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</si>
  <si>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</si>
  <si>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</si>
  <si>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</si>
  <si>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</si>
  <si>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</si>
  <si>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</si>
  <si>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</si>
  <si>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</si>
  <si>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</si>
  <si>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</si>
  <si>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</si>
  <si>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</si>
  <si>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</si>
  <si>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</si>
  <si>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</si>
  <si>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</si>
  <si>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</si>
  <si>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</si>
  <si>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</si>
  <si>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</si>
  <si>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</si>
  <si>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</si>
  <si>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</si>
  <si>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</si>
  <si>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</si>
  <si>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</si>
  <si>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</si>
  <si>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</si>
  <si>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</si>
  <si>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</si>
  <si>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</si>
  <si>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</si>
  <si>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</si>
  <si>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</si>
  <si>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</si>
  <si>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</si>
  <si>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</si>
  <si>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</si>
  <si>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</si>
  <si>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</si>
  <si>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</si>
  <si>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</si>
  <si>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</si>
  <si>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</si>
  <si>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</si>
  <si>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</si>
  <si>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</si>
  <si>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</si>
  <si>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</si>
  <si>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</si>
  <si>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</si>
  <si>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</si>
  <si>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</si>
  <si>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</si>
  <si>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</si>
  <si>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</si>
  <si>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</si>
  <si>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</si>
  <si>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</si>
  <si>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</si>
  <si>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</si>
  <si>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</si>
  <si>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</si>
  <si>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</si>
  <si>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</si>
  <si>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</si>
  <si>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</si>
  <si>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</si>
  <si>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</si>
  <si>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</si>
  <si>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</si>
  <si>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</si>
  <si>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</si>
  <si>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</si>
  <si>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</si>
  <si>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</si>
  <si>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</si>
  <si>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</si>
  <si>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</si>
  <si>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</si>
  <si>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</si>
  <si>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</si>
  <si>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</si>
  <si>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</si>
  <si>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</si>
  <si>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</si>
  <si>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</si>
  <si>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</si>
  <si>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</si>
  <si>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</si>
  <si>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</si>
  <si>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</si>
  <si>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</si>
  <si>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</si>
  <si>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</si>
  <si>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</si>
  <si>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</si>
  <si>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</si>
  <si>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</si>
  <si>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</si>
  <si>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</si>
  <si>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</si>
  <si>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</si>
  <si>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</si>
  <si>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</si>
  <si>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</si>
  <si>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</si>
  <si>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</si>
  <si>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</si>
  <si>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</si>
  <si>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</si>
  <si>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</si>
  <si>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</si>
  <si>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</si>
  <si>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</si>
  <si>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</si>
  <si>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</si>
  <si>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</si>
  <si>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</si>
  <si>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</si>
  <si>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</si>
  <si>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</si>
  <si>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</si>
  <si>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</si>
  <si>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</si>
  <si>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</si>
  <si>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</si>
  <si>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</si>
  <si>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</si>
  <si>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</si>
  <si>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</si>
  <si>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</si>
  <si>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</si>
  <si>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</si>
  <si>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</si>
  <si>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</si>
  <si>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</si>
  <si>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</si>
  <si>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</si>
  <si>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</si>
  <si>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</si>
  <si>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</si>
  <si>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</si>
  <si>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</si>
  <si>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</si>
  <si>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</si>
  <si>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</si>
  <si>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</si>
  <si>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</si>
  <si>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</si>
  <si>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</si>
  <si>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</si>
  <si>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</si>
  <si>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</si>
  <si>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</si>
  <si>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</si>
  <si>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</si>
  <si>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</si>
  <si>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</si>
  <si>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</si>
  <si>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</si>
  <si>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</si>
  <si>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</si>
  <si>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</si>
  <si>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</si>
  <si>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</si>
  <si>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</si>
  <si>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</si>
  <si>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</si>
  <si>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</si>
  <si>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</si>
  <si>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</si>
  <si>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</si>
  <si>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</si>
  <si>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</si>
  <si>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</si>
  <si>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</si>
  <si>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</si>
  <si>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</si>
  <si>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</si>
  <si>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</si>
  <si>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</si>
  <si>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</si>
  <si>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</si>
  <si>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</si>
  <si>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</si>
  <si>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</si>
  <si>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</si>
  <si>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</si>
  <si>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</si>
  <si>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</si>
  <si>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</si>
  <si>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</si>
  <si>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</si>
  <si>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</si>
  <si>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</si>
  <si>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</si>
  <si>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</si>
  <si>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</si>
  <si>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</si>
  <si>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</si>
  <si>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</si>
  <si>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</si>
  <si>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</si>
  <si>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</si>
  <si>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</si>
  <si>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</si>
  <si>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</si>
  <si>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</si>
  <si>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</si>
  <si>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</si>
  <si>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</si>
  <si>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</si>
  <si>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</si>
  <si>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</si>
  <si>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</si>
  <si>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</si>
  <si>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</si>
  <si>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</si>
  <si>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</si>
  <si>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</si>
  <si>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</si>
  <si>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</si>
  <si>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</si>
  <si>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</si>
  <si>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</si>
  <si>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</si>
  <si>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</si>
  <si>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</si>
  <si>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</si>
  <si>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</si>
  <si>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</si>
  <si>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</si>
  <si>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</si>
  <si>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</si>
  <si>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</si>
  <si>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</si>
  <si>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</si>
  <si>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</si>
  <si>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</si>
  <si>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</si>
  <si>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</si>
  <si>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</si>
  <si>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</si>
  <si>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</si>
  <si>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</si>
  <si>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</si>
  <si>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</si>
  <si>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</si>
  <si>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</si>
  <si>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</si>
  <si>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</si>
  <si>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</si>
  <si>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</si>
  <si>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</si>
  <si>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</si>
  <si>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</si>
  <si>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</si>
  <si>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</si>
  <si>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</si>
  <si>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</si>
  <si>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</si>
  <si>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</si>
  <si>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</si>
  <si>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</si>
  <si>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</si>
  <si>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</si>
  <si>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</si>
  <si>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</si>
  <si>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</si>
  <si>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</si>
  <si>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</si>
  <si>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</si>
  <si>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</si>
  <si>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</si>
  <si>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</si>
  <si>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</si>
  <si>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</si>
  <si>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</si>
  <si>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</si>
  <si>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</si>
  <si>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</si>
  <si>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</si>
  <si>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</si>
  <si>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</si>
  <si>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</si>
  <si>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</si>
  <si>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</si>
  <si>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</si>
  <si>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</si>
  <si>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</si>
  <si>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</si>
  <si>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</si>
  <si>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</si>
  <si>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</si>
  <si>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</si>
  <si>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</si>
  <si>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</si>
  <si>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</si>
  <si>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</si>
  <si>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</si>
  <si>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</si>
  <si>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</si>
  <si>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</si>
  <si>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</si>
  <si>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</si>
  <si>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</si>
  <si>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</si>
  <si>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</si>
  <si>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</si>
  <si>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</si>
  <si>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</si>
  <si>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</si>
  <si>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</si>
  <si>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</si>
  <si>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</si>
  <si>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</si>
  <si>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</si>
  <si>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</si>
  <si>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</si>
  <si>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</si>
  <si>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</si>
  <si>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</si>
  <si>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</si>
  <si>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</si>
  <si>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</si>
  <si>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</si>
  <si>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</si>
  <si>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</si>
  <si>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</si>
  <si>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</si>
  <si>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</si>
  <si>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</si>
  <si>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</si>
  <si>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</si>
  <si>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</si>
  <si>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</si>
  <si>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</si>
  <si>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</si>
  <si>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</si>
  <si>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</si>
  <si>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</si>
  <si>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</si>
  <si>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</si>
  <si>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</si>
  <si>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</si>
  <si>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</si>
  <si>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</si>
  <si>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</si>
  <si>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</si>
  <si>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</si>
  <si>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</si>
  <si>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</si>
  <si>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</si>
  <si>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</si>
  <si>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</si>
  <si>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</si>
  <si>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</si>
  <si>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</si>
  <si>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</si>
  <si>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</si>
  <si>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</si>
  <si>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</si>
  <si>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</si>
  <si>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</si>
  <si>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</si>
  <si>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</si>
  <si>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</si>
  <si>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</si>
  <si>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</si>
  <si>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</si>
  <si>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</si>
  <si>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</si>
  <si>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</si>
  <si>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</si>
  <si>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</si>
  <si>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</si>
  <si>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</si>
  <si>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</si>
  <si>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</si>
  <si>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</si>
  <si>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</si>
  <si>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</si>
  <si>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</si>
  <si>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</si>
  <si>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</si>
  <si>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</si>
  <si>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</si>
  <si>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</si>
  <si>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</si>
  <si>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</si>
  <si>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</si>
  <si>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</si>
  <si>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</si>
  <si>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</si>
  <si>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</si>
  <si>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</si>
  <si>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</si>
  <si>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</si>
  <si>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</si>
  <si>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</si>
  <si>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</si>
  <si>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</si>
  <si>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</si>
  <si>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</si>
  <si>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</si>
  <si>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</si>
  <si>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</si>
  <si>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</si>
  <si>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</si>
  <si>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</si>
  <si>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</si>
  <si>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</si>
  <si>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</si>
  <si>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</si>
  <si>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</si>
  <si>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</si>
  <si>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</si>
  <si>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</si>
  <si>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</si>
  <si>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</si>
  <si>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</si>
  <si>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</si>
  <si>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</si>
  <si>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</si>
  <si>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</si>
  <si>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</si>
  <si>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</si>
  <si>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</si>
  <si>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</si>
  <si>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</si>
  <si>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</si>
  <si>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</si>
  <si>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</si>
  <si>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</si>
  <si>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</si>
  <si>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</si>
  <si>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</si>
  <si>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</si>
  <si>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</si>
  <si>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</si>
  <si>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</si>
  <si>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</si>
  <si>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</si>
  <si>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</si>
  <si>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</si>
  <si>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</si>
  <si>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</si>
  <si>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</si>
  <si>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</si>
  <si>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</si>
  <si>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</si>
  <si>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</si>
  <si>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</si>
  <si>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</si>
  <si>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</si>
  <si>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</si>
  <si>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</si>
  <si>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</si>
  <si>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</si>
  <si>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</si>
  <si>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</si>
  <si>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</si>
  <si>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</si>
  <si>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</si>
  <si>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</si>
  <si>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</si>
  <si>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</si>
  <si>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</si>
  <si>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</si>
  <si>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</si>
  <si>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</si>
  <si>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</si>
  <si>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</si>
  <si>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</si>
  <si>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</si>
  <si>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</si>
  <si>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</si>
  <si>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</si>
  <si>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</si>
  <si>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</si>
  <si>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</si>
  <si>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</si>
  <si>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</si>
  <si>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</si>
  <si>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</si>
  <si>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</si>
  <si>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</si>
  <si>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</si>
  <si>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</si>
  <si>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</si>
  <si>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</si>
  <si>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</si>
  <si>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</si>
  <si>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</si>
  <si>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</si>
  <si>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</si>
  <si>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</si>
  <si>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</si>
  <si>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</si>
  <si>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</si>
  <si>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</si>
  <si>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</si>
  <si>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</si>
  <si>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</si>
  <si>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</si>
  <si>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</si>
  <si>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</si>
  <si>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</si>
  <si>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</si>
  <si>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</si>
  <si>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</si>
  <si>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</si>
  <si>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</si>
  <si>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</si>
  <si>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</si>
  <si>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</si>
  <si>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</si>
  <si>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</si>
  <si>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</si>
  <si>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</si>
  <si>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</si>
  <si>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</si>
  <si>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</si>
  <si>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</si>
  <si>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</si>
  <si>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</si>
  <si>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</si>
  <si>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</si>
  <si>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</si>
  <si>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</si>
  <si>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</si>
  <si>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</si>
  <si>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</si>
  <si>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</si>
  <si>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</si>
  <si>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</si>
  <si>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</si>
  <si>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</si>
  <si>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</si>
  <si>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</si>
  <si>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</si>
  <si>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</si>
  <si>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</si>
  <si>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</si>
  <si>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</si>
  <si>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</si>
  <si>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</si>
  <si>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</si>
  <si>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</si>
  <si>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</si>
  <si>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</si>
  <si>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</si>
  <si>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</si>
  <si>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</si>
  <si>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</si>
  <si>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</si>
  <si>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</si>
  <si>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</si>
  <si>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</si>
  <si>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</si>
  <si>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</si>
  <si>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</si>
  <si>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</si>
  <si>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</si>
  <si>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</si>
  <si>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</si>
  <si>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</si>
  <si>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</si>
  <si>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</si>
  <si>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</si>
  <si>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</si>
  <si>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</si>
  <si>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</si>
  <si>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</si>
  <si>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</si>
  <si>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</si>
  <si>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</si>
  <si>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</si>
  <si>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</si>
  <si>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</si>
  <si>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</si>
  <si>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</si>
  <si>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</si>
  <si>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</si>
  <si>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</si>
  <si>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</si>
  <si>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</si>
  <si>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</si>
  <si>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</si>
  <si>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</si>
  <si>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</si>
  <si>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</si>
  <si>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</si>
  <si>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</si>
  <si>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</si>
  <si>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</si>
  <si>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</si>
  <si>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</si>
  <si>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</si>
  <si>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</si>
  <si>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</si>
  <si>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</si>
  <si>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</si>
  <si>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</si>
  <si>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</si>
  <si>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</si>
  <si>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</si>
  <si>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</si>
  <si>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</si>
  <si>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</si>
  <si>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</si>
  <si>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</si>
  <si>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</si>
  <si>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</si>
  <si>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</si>
  <si>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</si>
  <si>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</si>
  <si>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</si>
  <si>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</si>
  <si>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</si>
  <si>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</si>
  <si>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</si>
  <si>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</si>
  <si>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</si>
  <si>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</si>
  <si>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</si>
  <si>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</si>
  <si>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</si>
  <si>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</si>
  <si>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</si>
  <si>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</si>
  <si>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</si>
  <si>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</si>
  <si>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</si>
  <si>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</si>
  <si>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</si>
  <si>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</si>
  <si>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</si>
  <si>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</si>
  <si>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</si>
  <si>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</si>
  <si>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</si>
  <si>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</si>
  <si>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</si>
  <si>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</si>
  <si>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</si>
  <si>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</si>
  <si>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</si>
  <si>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</si>
  <si>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</si>
  <si>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</si>
  <si>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</si>
  <si>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</si>
  <si>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</si>
  <si>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</si>
  <si>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</si>
  <si>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</si>
  <si>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</si>
  <si>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</si>
  <si>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</si>
  <si>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</si>
  <si>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</si>
  <si>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</si>
  <si>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</si>
  <si>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</si>
  <si>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</si>
  <si>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</si>
  <si>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</si>
  <si>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</si>
  <si>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</si>
  <si>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</si>
  <si>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</si>
  <si>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</si>
  <si>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</si>
  <si>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</si>
  <si>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</si>
  <si>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</si>
  <si>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</si>
  <si>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</si>
  <si>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</si>
  <si>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</si>
  <si>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</si>
  <si>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</si>
  <si>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</si>
  <si>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</si>
  <si>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</si>
  <si>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</si>
  <si>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</si>
  <si>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</si>
  <si>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</si>
  <si>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</si>
  <si>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</si>
  <si>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</si>
  <si>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</si>
  <si>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</si>
  <si>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</si>
  <si>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</si>
  <si>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</si>
  <si>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</si>
  <si>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</si>
  <si>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</si>
  <si>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</si>
  <si>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</si>
  <si>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</si>
  <si>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</si>
  <si>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</si>
  <si>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</si>
  <si>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</si>
  <si>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</si>
  <si>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</si>
  <si>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</si>
  <si>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</si>
  <si>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</si>
  <si>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</si>
  <si>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</si>
  <si>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</si>
  <si>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</si>
  <si>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</si>
  <si>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</si>
  <si>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</si>
  <si>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</si>
  <si>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</si>
  <si>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</si>
  <si>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</si>
  <si>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</si>
  <si>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</si>
  <si>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</si>
  <si>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</si>
  <si>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</si>
  <si>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</si>
  <si>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</si>
  <si>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</si>
  <si>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</si>
  <si>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</si>
  <si>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</si>
  <si>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</si>
  <si>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</si>
  <si>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</si>
  <si>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</si>
  <si>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</si>
  <si>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</si>
  <si>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</si>
  <si>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</si>
  <si>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</si>
  <si>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</si>
  <si>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</si>
  <si>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</si>
  <si>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</si>
  <si>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</si>
  <si>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</si>
  <si>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</si>
  <si>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</si>
  <si>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</si>
  <si>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</si>
  <si>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</si>
  <si>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</si>
  <si>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</si>
  <si>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</si>
  <si>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</si>
  <si>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</si>
  <si>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</si>
  <si>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</si>
  <si>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</si>
  <si>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</si>
  <si>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</si>
  <si>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</si>
  <si>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</si>
  <si>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</si>
  <si>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</si>
  <si>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</si>
  <si>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</si>
  <si>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</si>
  <si>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</si>
  <si>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</si>
  <si>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</si>
  <si>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</si>
  <si>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</si>
  <si>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</si>
  <si>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</si>
  <si>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</si>
  <si>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</si>
  <si>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</si>
  <si>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</si>
  <si>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</si>
  <si>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</si>
  <si>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</si>
  <si>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</si>
  <si>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</si>
  <si>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</si>
  <si>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</si>
  <si>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</si>
  <si>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</si>
  <si>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</si>
  <si>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</si>
  <si>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</si>
  <si>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</si>
  <si>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</si>
  <si>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</si>
  <si>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</si>
  <si>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</si>
  <si>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</si>
  <si>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</si>
  <si>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</si>
  <si>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</si>
  <si>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</si>
  <si>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</si>
  <si>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</si>
  <si>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</si>
  <si>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</si>
  <si>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</si>
  <si>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</si>
  <si>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</si>
  <si>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</si>
  <si>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</si>
  <si>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</si>
  <si>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</si>
  <si>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</si>
  <si>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</si>
  <si>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</si>
  <si>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</si>
  <si>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</si>
  <si>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</si>
  <si>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</si>
  <si>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</si>
  <si>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</si>
  <si>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</si>
  <si>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</si>
  <si>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</si>
  <si>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</si>
  <si>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</si>
  <si>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</si>
  <si>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</si>
  <si>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</si>
  <si>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</si>
  <si>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</si>
  <si>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</si>
  <si>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</si>
  <si>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</si>
  <si>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</si>
  <si>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</si>
  <si>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</si>
  <si>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</si>
  <si>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</si>
  <si>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</si>
  <si>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</si>
  <si>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</si>
  <si>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</si>
  <si>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</si>
  <si>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</si>
  <si>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</si>
  <si>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</si>
  <si>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</si>
  <si>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</si>
  <si>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</si>
  <si>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</si>
  <si>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</si>
  <si>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</si>
  <si>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</si>
  <si>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</si>
  <si>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</si>
  <si>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</si>
  <si>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</si>
  <si>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</si>
  <si>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</si>
  <si>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</si>
  <si>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</si>
  <si>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</si>
  <si>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</si>
  <si>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</si>
  <si>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</si>
  <si>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</si>
  <si>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</si>
  <si>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</si>
  <si>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</si>
  <si>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</si>
  <si>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</si>
  <si>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</si>
  <si>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</si>
  <si>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</si>
  <si>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</si>
  <si>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</si>
  <si>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</si>
  <si>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</si>
  <si>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</si>
  <si>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</si>
  <si>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</si>
  <si>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</si>
  <si>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</si>
  <si>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</si>
  <si>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</si>
  <si>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</si>
  <si>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</si>
  <si>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</si>
  <si>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</si>
  <si>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</si>
  <si>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</si>
  <si>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</si>
  <si>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</si>
  <si>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</si>
  <si>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</si>
  <si>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</si>
  <si>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</si>
  <si>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</si>
  <si>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</si>
  <si>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</si>
  <si>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</si>
  <si>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</si>
  <si>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</si>
  <si>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</si>
  <si>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</si>
  <si>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</si>
  <si>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</si>
  <si>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</si>
  <si>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</si>
  <si>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</si>
  <si>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</si>
  <si>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</si>
  <si>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</si>
  <si>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</si>
  <si>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</si>
  <si>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</si>
  <si>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</si>
  <si>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</si>
  <si>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</si>
  <si>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</si>
  <si>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</si>
  <si>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</si>
  <si>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</si>
  <si>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</si>
  <si>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</si>
  <si>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</si>
  <si>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</si>
  <si>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</si>
  <si>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</si>
  <si>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</si>
  <si>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</si>
  <si>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</si>
  <si>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</si>
  <si>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</si>
  <si>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</si>
  <si>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</si>
  <si>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</si>
  <si>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</si>
  <si>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</si>
  <si>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</si>
  <si>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</si>
  <si>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</si>
  <si>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</si>
  <si>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</si>
  <si>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</si>
  <si>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</si>
  <si>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</si>
  <si>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</si>
  <si>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</si>
  <si>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</si>
  <si>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</si>
  <si>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</si>
  <si>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</si>
  <si>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</si>
  <si>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</si>
  <si>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</si>
  <si>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</si>
  <si>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</si>
  <si>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</si>
  <si>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</si>
  <si>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</si>
  <si>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</si>
  <si>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</si>
  <si>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</si>
  <si>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</si>
  <si>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</si>
  <si>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</si>
  <si>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</si>
  <si>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</si>
  <si>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</si>
  <si>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</si>
  <si>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</si>
  <si>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</si>
  <si>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</si>
  <si>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</si>
  <si>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</si>
  <si>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</si>
  <si>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</si>
  <si>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</si>
  <si>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</si>
  <si>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</si>
  <si>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</si>
  <si>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</si>
  <si>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</si>
  <si>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</si>
  <si>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</si>
  <si>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</si>
  <si>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</si>
  <si>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</si>
  <si>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</si>
  <si>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</si>
  <si>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</si>
  <si>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</si>
  <si>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</si>
  <si>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</si>
  <si>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</si>
  <si>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</si>
  <si>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</si>
  <si>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</si>
  <si>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</si>
  <si>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</si>
  <si>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</si>
  <si>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</si>
  <si>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</si>
  <si>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</si>
  <si>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</si>
  <si>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</si>
  <si>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</si>
  <si>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</si>
  <si>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</si>
  <si>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</si>
  <si>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</si>
  <si>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</si>
  <si>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</si>
  <si>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</si>
  <si>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</si>
  <si>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</si>
  <si>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</si>
  <si>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</si>
  <si>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</si>
  <si>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</si>
  <si>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</si>
  <si>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</si>
  <si>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</si>
  <si>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</si>
  <si>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</si>
  <si>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</si>
  <si>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</si>
  <si>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</si>
  <si>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</si>
  <si>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</si>
  <si>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</si>
  <si>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</si>
  <si>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</si>
  <si>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</si>
  <si>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</si>
  <si>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</si>
  <si>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</si>
  <si>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</si>
  <si>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</si>
  <si>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</si>
  <si>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</si>
  <si>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</si>
  <si>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</si>
  <si>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</si>
  <si>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</si>
  <si>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</si>
  <si>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</si>
  <si>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</si>
  <si>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</si>
  <si>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</si>
  <si>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</si>
  <si>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</si>
  <si>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</si>
  <si>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</si>
  <si>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</si>
  <si>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</si>
  <si>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</si>
  <si>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</si>
  <si>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</si>
  <si>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</si>
  <si>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</si>
  <si>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</si>
  <si>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</si>
  <si>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</si>
  <si>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</si>
  <si>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</si>
  <si>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</si>
  <si>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</si>
  <si>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</si>
  <si>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</si>
  <si>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</si>
  <si>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</si>
  <si>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</si>
  <si>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</si>
  <si>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</si>
  <si>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</si>
  <si>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</si>
  <si>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</si>
  <si>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</si>
  <si>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</si>
  <si>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</si>
  <si>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</si>
  <si>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</si>
  <si>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</si>
  <si>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</si>
  <si>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</si>
  <si>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</si>
  <si>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</si>
  <si>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</si>
  <si>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</si>
  <si>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</si>
  <si>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</si>
  <si>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</si>
  <si>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</si>
  <si>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</si>
  <si>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</si>
  <si>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</si>
  <si>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</si>
  <si>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</si>
  <si>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</si>
  <si>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</si>
  <si>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</si>
  <si>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</si>
  <si>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</si>
  <si>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</si>
  <si>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</si>
  <si>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</si>
  <si>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</si>
  <si>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</si>
  <si>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</si>
  <si>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</si>
  <si>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</si>
  <si>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</si>
  <si>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</si>
  <si>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</si>
  <si>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</si>
  <si>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</si>
  <si>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</si>
  <si>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</si>
  <si>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</si>
  <si>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</si>
  <si>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</si>
  <si>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</si>
  <si>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</si>
  <si>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</si>
  <si>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</si>
  <si>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</si>
  <si>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</si>
  <si>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</si>
  <si>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</si>
  <si>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</si>
  <si>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</si>
  <si>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</si>
  <si>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</si>
  <si>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</si>
  <si>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</si>
  <si>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</si>
  <si>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</si>
  <si>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</si>
  <si>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</si>
  <si>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</si>
  <si>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</si>
  <si>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</si>
  <si>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</si>
  <si>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</si>
  <si>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</si>
  <si>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</si>
  <si>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</si>
  <si>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</si>
  <si>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</si>
  <si>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</si>
  <si>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</si>
  <si>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</si>
  <si>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</si>
  <si>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</si>
  <si>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</si>
  <si>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</si>
  <si>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</si>
  <si>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</si>
  <si>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</si>
  <si>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</si>
  <si>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</si>
  <si>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</si>
  <si>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</si>
  <si>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</si>
  <si>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</si>
  <si>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</si>
  <si>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</si>
  <si>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</si>
  <si>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</si>
  <si>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</si>
  <si>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</si>
  <si>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</si>
  <si>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</si>
  <si>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</si>
  <si>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</si>
  <si>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</si>
  <si>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</si>
  <si>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</si>
  <si>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</si>
  <si>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</si>
  <si>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</si>
  <si>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</si>
  <si>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</si>
  <si>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</si>
  <si>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</si>
  <si>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</si>
  <si>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</si>
  <si>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</si>
  <si>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</si>
  <si>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</si>
  <si>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</si>
  <si>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</si>
  <si>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</si>
  <si>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</si>
  <si>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</si>
  <si>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</si>
  <si>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</si>
  <si>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</si>
  <si>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</si>
  <si>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</si>
  <si>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</si>
  <si>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</si>
  <si>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</si>
  <si>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</si>
  <si>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</si>
  <si>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</si>
  <si>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</si>
  <si>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</si>
  <si>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</si>
  <si>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</si>
  <si>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</si>
  <si>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</si>
  <si>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</si>
  <si>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</si>
  <si>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</si>
  <si>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</si>
  <si>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</si>
  <si>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</si>
  <si>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</si>
  <si>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</si>
  <si>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</si>
  <si>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</si>
  <si>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</si>
  <si>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</si>
  <si>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</si>
  <si>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</si>
  <si>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</si>
  <si>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</si>
  <si>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</si>
  <si>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</si>
  <si>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</si>
  <si>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</si>
  <si>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</si>
  <si>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</si>
  <si>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</si>
  <si>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</si>
  <si>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</si>
  <si>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</si>
  <si>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</si>
  <si>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</si>
  <si>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</si>
  <si>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</si>
  <si>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</si>
  <si>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</si>
  <si>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</si>
  <si>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</si>
  <si>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</si>
  <si>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</si>
  <si>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</si>
  <si>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</si>
  <si>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</si>
  <si>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</si>
  <si>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</si>
  <si>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</si>
  <si>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</si>
  <si>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</si>
  <si>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</si>
  <si>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</si>
  <si>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</si>
  <si>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</si>
  <si>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</si>
  <si>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</si>
  <si>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</si>
  <si>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</si>
  <si>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</si>
  <si>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</si>
  <si>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</si>
  <si>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</si>
  <si>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</si>
  <si>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</si>
  <si>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</si>
  <si>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</si>
  <si>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</si>
  <si>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</si>
  <si>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</si>
  <si>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</si>
  <si>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</si>
  <si>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</si>
  <si>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</si>
  <si>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</si>
  <si>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</si>
  <si>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</si>
  <si>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</si>
  <si>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</si>
  <si>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</si>
  <si>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</si>
  <si>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</si>
  <si>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</si>
  <si>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</si>
  <si>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</si>
  <si>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</si>
  <si>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</si>
  <si>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</si>
  <si>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</si>
  <si>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</si>
  <si>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</si>
  <si>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</si>
  <si>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</si>
  <si>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</si>
  <si>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</si>
  <si>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</si>
  <si>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</si>
  <si>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</si>
  <si>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</si>
  <si>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</si>
  <si>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</si>
  <si>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</si>
  <si>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</si>
  <si>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</si>
  <si>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</si>
  <si>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</si>
  <si>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</si>
  <si>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</si>
  <si>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</si>
  <si>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</si>
  <si>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</si>
  <si>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</si>
  <si>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</si>
  <si>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</si>
  <si>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</si>
  <si>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</si>
  <si>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</si>
  <si>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</si>
  <si>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</si>
  <si>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</si>
  <si>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</si>
  <si>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</si>
  <si>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</si>
  <si>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</si>
  <si>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</si>
  <si>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</si>
  <si>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</si>
  <si>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</si>
  <si>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</si>
  <si>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</si>
  <si>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</si>
  <si>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</si>
  <si>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</si>
  <si>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</si>
  <si>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</si>
  <si>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</si>
  <si>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</si>
  <si>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</si>
  <si>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</si>
  <si>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</si>
  <si>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</si>
  <si>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</si>
  <si>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</si>
  <si>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</si>
  <si>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</si>
  <si>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</si>
  <si>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</si>
  <si>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</si>
  <si>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</si>
  <si>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</si>
  <si>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</si>
  <si>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</si>
  <si>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</si>
  <si>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</si>
  <si>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</si>
  <si>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</si>
  <si>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</si>
  <si>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</si>
  <si>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</si>
  <si>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</si>
  <si>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</si>
  <si>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</si>
  <si>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</si>
  <si>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</si>
  <si>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</si>
  <si>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</si>
  <si>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</si>
  <si>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</si>
  <si>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</si>
  <si>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</si>
  <si>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</si>
  <si>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</si>
  <si>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</si>
  <si>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</si>
  <si>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</si>
  <si>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</si>
  <si>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</si>
  <si>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</si>
  <si>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</si>
  <si>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</si>
  <si>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</si>
  <si>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</si>
  <si>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</si>
  <si>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</si>
  <si>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</si>
  <si>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</si>
  <si>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</si>
  <si>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</si>
  <si>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</si>
  <si>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</si>
  <si>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</si>
  <si>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</si>
  <si>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</si>
  <si>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</si>
  <si>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</si>
  <si>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</si>
  <si>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</si>
  <si>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</si>
  <si>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</si>
  <si>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</si>
  <si>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</si>
  <si>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</si>
  <si>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</si>
  <si>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</si>
  <si>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</si>
  <si>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</si>
  <si>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</si>
  <si>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</si>
  <si>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</si>
  <si>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</si>
  <si>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</si>
  <si>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</si>
  <si>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</si>
  <si>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</si>
  <si>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</si>
  <si>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</si>
  <si>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</si>
  <si>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</si>
  <si>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</si>
  <si>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</si>
  <si>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</si>
  <si>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</si>
  <si>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</si>
  <si>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</si>
  <si>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</si>
  <si>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</si>
  <si>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</si>
  <si>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</si>
  <si>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</si>
  <si>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</si>
  <si>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</si>
  <si>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</si>
  <si>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</si>
  <si>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</si>
  <si>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</si>
  <si>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</si>
  <si>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</si>
  <si>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</si>
  <si>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</si>
  <si>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</si>
  <si>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</si>
  <si>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</si>
  <si>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</si>
  <si>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</si>
  <si>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</si>
  <si>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</si>
  <si>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</si>
  <si>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</si>
  <si>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</si>
  <si>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</si>
  <si>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</si>
  <si>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</si>
  <si>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</si>
  <si>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</si>
  <si>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</si>
  <si>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</si>
  <si>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</si>
  <si>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</si>
  <si>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</si>
  <si>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</si>
  <si>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</si>
  <si>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</si>
  <si>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</si>
  <si>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</si>
  <si>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</si>
  <si>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</si>
  <si>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</si>
  <si>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</si>
  <si>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</si>
  <si>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</si>
  <si>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</si>
  <si>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</si>
  <si>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</si>
  <si>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</si>
  <si>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</si>
  <si>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</si>
  <si>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</si>
  <si>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</si>
  <si>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</si>
  <si>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</si>
  <si>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</si>
  <si>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</si>
  <si>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</si>
  <si>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</si>
  <si>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</si>
  <si>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</si>
  <si>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</si>
  <si>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</si>
  <si>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</si>
  <si>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</si>
  <si>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</si>
  <si>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</si>
  <si>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</si>
  <si>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</si>
  <si>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</si>
  <si>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</si>
  <si>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</si>
  <si>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</si>
  <si>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</si>
  <si>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</si>
  <si>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</si>
  <si>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</si>
  <si>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</si>
  <si>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</si>
  <si>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</si>
  <si>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</si>
  <si>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</si>
  <si>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</si>
  <si>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</si>
  <si>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</si>
  <si>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</si>
  <si>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</si>
  <si>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</si>
  <si>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</si>
  <si>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</si>
  <si>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</si>
  <si>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</si>
  <si>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</si>
  <si>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</si>
  <si>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</si>
  <si>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</si>
  <si>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</si>
  <si>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</si>
  <si>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</si>
  <si>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</si>
  <si>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</si>
  <si>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</si>
  <si>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</si>
  <si>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</si>
  <si>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</si>
  <si>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</si>
  <si>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</si>
  <si>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</si>
  <si>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</si>
  <si>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</si>
  <si>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</si>
  <si>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</si>
  <si>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</si>
  <si>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</si>
  <si>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</si>
  <si>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</si>
  <si>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</si>
  <si>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</si>
  <si>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</si>
  <si>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</si>
  <si>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</si>
  <si>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</si>
  <si>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</si>
  <si>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</si>
  <si>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</si>
  <si>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</si>
  <si>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</si>
  <si>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</si>
  <si>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</si>
  <si>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</si>
  <si>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</si>
  <si>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</si>
  <si>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</si>
  <si>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</si>
  <si>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</si>
  <si>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</si>
  <si>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</si>
  <si>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</si>
  <si>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</si>
  <si>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</si>
  <si>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</si>
  <si>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</si>
  <si>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</si>
  <si>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</si>
  <si>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</si>
  <si>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</si>
  <si>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</si>
  <si>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</si>
  <si>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</si>
  <si>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</si>
  <si>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</si>
  <si>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</si>
  <si>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</si>
  <si>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</si>
  <si>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</si>
  <si>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</si>
  <si>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</si>
  <si>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</si>
  <si>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</si>
  <si>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</si>
  <si>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</si>
  <si>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</si>
  <si>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</si>
  <si>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</si>
  <si>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</si>
  <si>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</si>
  <si>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</si>
  <si>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</si>
  <si>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</si>
  <si>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</si>
  <si>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</si>
  <si>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</si>
  <si>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</si>
  <si>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</si>
  <si>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</si>
  <si>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</si>
  <si>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</si>
  <si>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</si>
  <si>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</si>
  <si>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</si>
  <si>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</si>
  <si>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</si>
  <si>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</si>
  <si>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</si>
  <si>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</si>
  <si>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</si>
  <si>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</si>
  <si>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</si>
  <si>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</si>
  <si>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</si>
  <si>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</si>
  <si>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</si>
  <si>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</si>
  <si>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</si>
  <si>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</si>
  <si>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</si>
  <si>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</si>
  <si>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</si>
  <si>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</si>
  <si>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</si>
  <si>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</si>
  <si>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</si>
  <si>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</si>
  <si>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</si>
  <si>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</si>
  <si>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</si>
  <si>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</si>
  <si>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</si>
  <si>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</si>
  <si>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</si>
  <si>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</si>
  <si>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</si>
  <si>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</si>
  <si>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</si>
  <si>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</si>
  <si>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</si>
  <si>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</si>
  <si>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</si>
  <si>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</si>
  <si>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</si>
  <si>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</si>
  <si>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</si>
  <si>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</si>
  <si>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</si>
  <si>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</si>
  <si>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</si>
  <si>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</si>
  <si>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</si>
  <si>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</si>
  <si>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</si>
  <si>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</si>
  <si>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</si>
  <si>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</si>
  <si>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</si>
  <si>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</si>
  <si>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</si>
  <si>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</si>
  <si>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</si>
  <si>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</si>
  <si>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</si>
  <si>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</si>
  <si>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</si>
  <si>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</si>
  <si>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</si>
  <si>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</si>
  <si>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</si>
  <si>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</si>
  <si>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</si>
  <si>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</si>
  <si>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</si>
  <si>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</si>
  <si>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</si>
  <si>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</si>
  <si>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</si>
  <si>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</si>
  <si>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</si>
  <si>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</si>
  <si>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</si>
  <si>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</si>
  <si>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</si>
  <si>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</si>
  <si>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</si>
  <si>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</si>
  <si>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</si>
  <si>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</si>
  <si>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</si>
  <si>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</si>
  <si>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</si>
  <si>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</si>
  <si>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</si>
  <si>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</si>
  <si>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</si>
  <si>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</si>
  <si>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</si>
  <si>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</si>
  <si>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</si>
  <si>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</si>
  <si>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</si>
  <si>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</si>
  <si>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</si>
  <si>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</si>
  <si>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</si>
  <si>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</si>
  <si>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</si>
  <si>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</si>
  <si>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</si>
  <si>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</si>
  <si>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</si>
  <si>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</si>
  <si>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</si>
  <si>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</si>
  <si>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</si>
  <si>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</si>
  <si>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</si>
  <si>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</si>
  <si>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</si>
  <si>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</si>
  <si>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</si>
  <si>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</si>
  <si>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</si>
  <si>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</si>
  <si>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</si>
  <si>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</si>
  <si>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</si>
  <si>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</si>
  <si>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</si>
  <si>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</si>
  <si>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</si>
  <si>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</si>
  <si>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</si>
  <si>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</si>
  <si>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</si>
  <si>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</si>
  <si>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</si>
  <si>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</si>
  <si>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</si>
  <si>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</si>
  <si>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</si>
  <si>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</si>
  <si>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</si>
  <si>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</si>
  <si>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</si>
  <si>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</si>
  <si>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</si>
  <si>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</si>
  <si>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</si>
  <si>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</si>
  <si>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</si>
  <si>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</si>
  <si>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</si>
  <si>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</si>
  <si>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</si>
  <si>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</si>
  <si>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</si>
  <si>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</si>
  <si>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</si>
  <si>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</si>
  <si>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</si>
  <si>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</si>
  <si>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</si>
  <si>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</si>
  <si>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</si>
  <si>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</si>
  <si>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</si>
  <si>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</si>
  <si>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</si>
  <si>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</si>
  <si>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</si>
  <si>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</si>
  <si>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</si>
  <si>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</si>
  <si>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</si>
  <si>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</si>
  <si>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</si>
  <si>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</si>
  <si>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</si>
  <si>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</si>
  <si>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</si>
  <si>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</si>
  <si>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</si>
  <si>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</si>
  <si>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</si>
  <si>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</si>
  <si>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</si>
  <si>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</si>
  <si>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</si>
  <si>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</si>
  <si>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</si>
  <si>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</si>
  <si>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</si>
  <si>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</si>
  <si>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</si>
  <si>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</si>
  <si>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</si>
  <si>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</si>
  <si>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</si>
  <si>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</si>
  <si>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</si>
  <si>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</si>
  <si>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</si>
  <si>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</si>
  <si>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</si>
  <si>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</si>
  <si>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</si>
  <si>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</si>
  <si>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</si>
  <si>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</si>
  <si>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</si>
  <si>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</si>
  <si>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</si>
  <si>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</si>
  <si>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</si>
  <si>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</si>
  <si>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</si>
  <si>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</si>
  <si>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</si>
  <si>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</si>
  <si>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</si>
  <si>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</si>
  <si>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</si>
  <si>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</si>
  <si>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</si>
  <si>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</si>
  <si>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</si>
  <si>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</si>
  <si>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</si>
  <si>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</si>
  <si>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</si>
  <si>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</si>
  <si>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</si>
  <si>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</si>
  <si>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</si>
  <si>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</si>
  <si>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</si>
  <si>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</si>
  <si>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</si>
  <si>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</si>
  <si>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</si>
  <si>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</si>
  <si>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</si>
  <si>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</si>
  <si>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</si>
  <si>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</si>
  <si>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</si>
  <si>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</si>
  <si>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</si>
  <si>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</si>
  <si>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</si>
  <si>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</si>
  <si>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</si>
  <si>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</si>
  <si>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</si>
  <si>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</si>
  <si>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</si>
  <si>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</si>
  <si>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</si>
  <si>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</si>
  <si>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</si>
  <si>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</si>
  <si>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</si>
  <si>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</si>
  <si>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</si>
  <si>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</si>
  <si>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</si>
  <si>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</si>
  <si>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</si>
  <si>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</si>
  <si>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</si>
  <si>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</si>
  <si>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</si>
  <si>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</si>
  <si>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</si>
  <si>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</si>
  <si>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</si>
  <si>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</si>
  <si>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</si>
  <si>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</si>
  <si>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</si>
  <si>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</si>
  <si>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</si>
  <si>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</si>
  <si>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</si>
  <si>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</si>
  <si>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</si>
  <si>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</si>
  <si>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</si>
  <si>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</si>
  <si>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</si>
  <si>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</si>
  <si>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</si>
  <si>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</si>
  <si>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</si>
  <si>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</si>
  <si>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</si>
  <si>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</si>
  <si>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</si>
  <si>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</si>
  <si>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</si>
  <si>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</si>
  <si>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</si>
  <si>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</si>
  <si>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</si>
  <si>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</si>
  <si>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</si>
  <si>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</si>
  <si>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</si>
  <si>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</si>
  <si>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</si>
  <si>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</si>
  <si>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</si>
  <si>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</si>
  <si>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</si>
  <si>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</si>
  <si>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</si>
  <si>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</si>
  <si>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</si>
  <si>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</si>
  <si>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</si>
  <si>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</si>
  <si>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</si>
  <si>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</si>
  <si>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</si>
  <si>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</si>
  <si>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</si>
  <si>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</si>
  <si>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</si>
  <si>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</si>
  <si>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</si>
  <si>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</si>
  <si>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</si>
  <si>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</si>
  <si>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</si>
  <si>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</si>
  <si>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</si>
  <si>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</si>
  <si>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</si>
  <si>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</si>
  <si>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</si>
  <si>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</si>
  <si>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</si>
  <si>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</si>
  <si>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</si>
  <si>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</si>
  <si>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</si>
  <si>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</si>
  <si>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</si>
  <si>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</si>
  <si>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</si>
  <si>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</si>
  <si>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</si>
  <si>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</si>
  <si>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</si>
  <si>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</si>
  <si>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</si>
  <si>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</si>
  <si>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</si>
  <si>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</si>
  <si>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</si>
  <si>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</si>
  <si>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</si>
  <si>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</si>
  <si>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</si>
  <si>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</si>
  <si>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</si>
  <si>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</si>
  <si>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</si>
  <si>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</si>
  <si>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</si>
  <si>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</si>
  <si>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</si>
  <si>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</si>
  <si>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</si>
  <si>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</si>
  <si>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</si>
  <si>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</si>
  <si>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</si>
  <si>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</si>
  <si>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</si>
  <si>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</si>
  <si>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</si>
  <si>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</si>
  <si>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</si>
  <si>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</si>
  <si>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</si>
  <si>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</si>
  <si>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</si>
  <si>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</si>
  <si>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</si>
  <si>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</si>
  <si>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</si>
  <si>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</si>
  <si>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</si>
  <si>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</si>
  <si>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</si>
  <si>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</si>
  <si>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</si>
  <si>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</si>
  <si>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</si>
  <si>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</si>
  <si>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</si>
  <si>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</si>
  <si>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</si>
  <si>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</si>
  <si>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</si>
  <si>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</si>
  <si>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</si>
  <si>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</si>
  <si>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</si>
  <si>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</si>
  <si>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</si>
  <si>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</si>
  <si>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</si>
  <si>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</si>
  <si>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</si>
  <si>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</si>
  <si>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</si>
  <si>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</si>
  <si>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</si>
  <si>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</si>
  <si>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</si>
  <si>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</si>
  <si>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</si>
  <si>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</si>
  <si>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</si>
  <si>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</si>
  <si>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</si>
  <si>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</si>
  <si>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</si>
  <si>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</si>
  <si>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</si>
  <si>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</si>
  <si>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</si>
  <si>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</si>
  <si>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</si>
  <si>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</si>
  <si>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</si>
  <si>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</si>
  <si>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</si>
  <si>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</si>
  <si>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</si>
  <si>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</si>
  <si>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</si>
  <si>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</si>
  <si>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</si>
  <si>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</si>
  <si>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</si>
  <si>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</si>
  <si>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</si>
  <si>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</si>
  <si>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</si>
  <si>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</si>
  <si>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</si>
  <si>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</si>
  <si>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</si>
  <si>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</si>
  <si>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</si>
  <si>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</si>
  <si>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</si>
  <si>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</si>
  <si>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</si>
  <si>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</si>
  <si>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</si>
  <si>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</si>
  <si>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</si>
  <si>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</si>
  <si>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</si>
  <si>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</si>
  <si>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</si>
  <si>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</si>
  <si>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</si>
  <si>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</si>
  <si>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</si>
  <si>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</si>
  <si>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</si>
  <si>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</si>
  <si>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</si>
  <si>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</si>
  <si>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</si>
  <si>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</si>
  <si>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</si>
  <si>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</si>
  <si>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</si>
  <si>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</si>
  <si>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</si>
  <si>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</si>
  <si>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</si>
  <si>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</si>
  <si>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</si>
  <si>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</si>
  <si>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</si>
  <si>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</si>
  <si>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</si>
  <si>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</si>
  <si>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</si>
  <si>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</si>
  <si>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</si>
  <si>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</si>
  <si>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</si>
  <si>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</si>
  <si>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</si>
  <si>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</si>
  <si>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</si>
  <si>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</si>
  <si>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</si>
  <si>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</si>
  <si>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</si>
  <si>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</si>
  <si>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</si>
  <si>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</si>
  <si>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</si>
  <si>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</si>
  <si>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</si>
  <si>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</si>
  <si>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</si>
  <si>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</si>
  <si>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</si>
  <si>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</si>
  <si>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</si>
  <si>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</si>
  <si>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</si>
  <si>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</si>
  <si>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</si>
  <si>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</si>
  <si>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</si>
  <si>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</si>
  <si>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</si>
  <si>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</si>
  <si>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</si>
  <si>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</si>
  <si>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</si>
  <si>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</si>
  <si>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</si>
  <si>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</si>
  <si>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</si>
  <si>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</si>
  <si>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</si>
  <si>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</si>
  <si>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</si>
  <si>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</si>
  <si>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</si>
  <si>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</si>
  <si>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</si>
  <si>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</si>
  <si>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</si>
  <si>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</si>
  <si>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</si>
  <si>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</si>
  <si>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</si>
  <si>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</si>
  <si>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</si>
  <si>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</si>
  <si>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</si>
  <si>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</si>
  <si>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</si>
  <si>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</si>
  <si>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</si>
  <si>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</si>
  <si>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</si>
  <si>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</si>
  <si>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</si>
  <si>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</si>
  <si>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</si>
  <si>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</si>
  <si>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</si>
  <si>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</si>
  <si>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</si>
  <si>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</si>
  <si>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</si>
  <si>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</si>
  <si>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</si>
  <si>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</si>
  <si>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</si>
  <si>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</si>
  <si>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</si>
  <si>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</si>
  <si>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</si>
  <si>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</si>
  <si>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</si>
  <si>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</si>
  <si>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</si>
  <si>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</si>
  <si>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</si>
  <si>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</si>
  <si>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</si>
  <si>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</si>
  <si>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</si>
  <si>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</si>
  <si>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</si>
  <si>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</si>
  <si>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</si>
  <si>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</si>
  <si>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</si>
  <si>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</si>
  <si>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</si>
  <si>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</si>
  <si>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</si>
  <si>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</si>
  <si>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</si>
  <si>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</si>
  <si>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</si>
  <si>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</si>
  <si>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</si>
  <si>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</si>
  <si>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</si>
  <si>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</si>
  <si>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</si>
  <si>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</si>
  <si>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</si>
  <si>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</si>
  <si>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</si>
  <si>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</si>
  <si>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</si>
  <si>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</si>
  <si>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</si>
  <si>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</si>
  <si>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</si>
  <si>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</si>
  <si>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</si>
  <si>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</si>
  <si>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</si>
  <si>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</si>
  <si>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</si>
  <si>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</si>
  <si>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</si>
  <si>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</si>
  <si>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</si>
  <si>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</si>
  <si>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</si>
  <si>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</si>
  <si>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</si>
  <si>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</si>
  <si>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</si>
  <si>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</si>
  <si>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</si>
  <si>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</si>
  <si>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</si>
  <si>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</si>
  <si>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</si>
  <si>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</si>
  <si>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</si>
  <si>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</si>
  <si>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</si>
  <si>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</si>
  <si>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</si>
  <si>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</si>
  <si>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</si>
  <si>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</si>
  <si>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</si>
  <si>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</si>
  <si>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</si>
  <si>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</si>
  <si>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</si>
  <si>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</si>
  <si>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</si>
  <si>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</si>
  <si>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</si>
  <si>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</si>
  <si>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</si>
  <si>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</si>
  <si>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</si>
  <si>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</si>
  <si>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</si>
  <si>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</si>
  <si>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</si>
  <si>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</si>
  <si>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</si>
  <si>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</si>
  <si>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</si>
  <si>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</si>
  <si>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</si>
  <si>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</si>
  <si>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</si>
  <si>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</si>
  <si>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</si>
  <si>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</si>
  <si>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</si>
  <si>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</si>
  <si>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</si>
  <si>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</si>
  <si>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</si>
  <si>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</si>
  <si>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</si>
  <si>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</si>
  <si>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</si>
  <si>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</si>
  <si>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</si>
  <si>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</si>
  <si>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</si>
  <si>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</si>
  <si>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</si>
  <si>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</si>
  <si>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</si>
  <si>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</si>
  <si>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</si>
  <si>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</si>
  <si>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</si>
  <si>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</si>
  <si>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</si>
  <si>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</si>
  <si>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</si>
  <si>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</si>
  <si>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</si>
  <si>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</si>
  <si>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</si>
  <si>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</si>
  <si>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</si>
  <si>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</si>
  <si>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</si>
  <si>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</si>
  <si>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</si>
  <si>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</si>
  <si>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</si>
  <si>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</si>
  <si>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</si>
  <si>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</si>
  <si>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</si>
  <si>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</si>
  <si>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</si>
  <si>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</si>
  <si>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</si>
  <si>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</si>
  <si>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</si>
  <si>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</si>
  <si>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</si>
  <si>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</si>
  <si>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</si>
  <si>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</si>
  <si>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</si>
  <si>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</si>
  <si>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</si>
  <si>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</si>
  <si>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</si>
  <si>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</si>
  <si>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</si>
  <si>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</si>
  <si>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</si>
  <si>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</si>
  <si>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</si>
  <si>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</si>
  <si>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</si>
  <si>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</si>
  <si>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</si>
  <si>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</si>
  <si>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</si>
  <si>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</si>
  <si>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</si>
  <si>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</si>
  <si>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</si>
  <si>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</si>
  <si>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</si>
  <si>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</si>
  <si>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</si>
  <si>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</si>
  <si>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</si>
  <si>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</si>
  <si>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</si>
  <si>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</si>
  <si>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</si>
  <si>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</si>
  <si>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</si>
  <si>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</si>
  <si>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</si>
  <si>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</si>
  <si>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</si>
  <si>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</si>
  <si>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</si>
  <si>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</si>
  <si>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</si>
  <si>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</si>
  <si>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</si>
  <si>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</si>
  <si>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</si>
  <si>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</si>
  <si>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</si>
  <si>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</si>
  <si>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</si>
  <si>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</si>
  <si>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</si>
  <si>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</si>
  <si>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</si>
  <si>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</si>
  <si>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</si>
  <si>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</si>
  <si>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</si>
  <si>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</si>
  <si>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</si>
  <si>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</si>
  <si>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</si>
  <si>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</si>
  <si>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</si>
  <si>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</si>
  <si>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</si>
  <si>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</si>
  <si>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</si>
  <si>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</si>
  <si>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</si>
  <si>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</si>
  <si>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</si>
  <si>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</si>
  <si>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</si>
  <si>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</si>
  <si>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</si>
  <si>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</si>
  <si>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</si>
  <si>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</si>
  <si>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</si>
  <si>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</si>
  <si>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</si>
  <si>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</si>
  <si>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</si>
  <si>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</si>
  <si>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</si>
  <si>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</si>
  <si>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</si>
  <si>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</si>
  <si>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</si>
  <si>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</si>
  <si>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</si>
  <si>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</si>
  <si>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</si>
  <si>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</si>
  <si>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</si>
  <si>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</si>
  <si>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</si>
  <si>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</si>
  <si>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</si>
  <si>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</si>
  <si>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</si>
  <si>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</si>
  <si>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</si>
  <si>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</si>
  <si>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</si>
  <si>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</si>
  <si>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</si>
  <si>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</si>
  <si>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</si>
  <si>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</si>
  <si>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</si>
  <si>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</si>
  <si>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</si>
  <si>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</si>
  <si>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</si>
  <si>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</si>
  <si>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</si>
  <si>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</si>
  <si>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</si>
  <si>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</si>
  <si>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</si>
  <si>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</si>
  <si>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</si>
  <si>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</si>
  <si>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</si>
  <si>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</si>
  <si>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</si>
  <si>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</si>
  <si>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</si>
  <si>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</si>
  <si>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</si>
  <si>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</si>
  <si>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</si>
  <si>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</si>
  <si>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</si>
  <si>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</si>
  <si>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</si>
  <si>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</si>
  <si>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</si>
  <si>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</si>
  <si>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</si>
  <si>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</si>
  <si>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</si>
  <si>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</si>
  <si>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</si>
  <si>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</si>
  <si>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</si>
  <si>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</si>
  <si>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</si>
  <si>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</si>
  <si>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</si>
  <si>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</si>
  <si>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</si>
  <si>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</si>
  <si>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</si>
  <si>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</si>
  <si>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</si>
  <si>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</si>
  <si>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</si>
  <si>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</si>
  <si>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</si>
  <si>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</si>
  <si>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</si>
  <si>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</si>
  <si>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</si>
  <si>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</si>
  <si>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</si>
  <si>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</si>
  <si>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</si>
  <si>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</si>
  <si>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</si>
  <si>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</si>
  <si>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</si>
  <si>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</si>
  <si>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</si>
  <si>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</si>
  <si>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</si>
  <si>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</si>
  <si>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</si>
  <si>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</si>
  <si>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</si>
  <si>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</si>
  <si>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</si>
  <si>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</si>
  <si>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</si>
  <si>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</si>
  <si>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</si>
  <si>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</si>
  <si>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</si>
  <si>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</si>
  <si>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</si>
  <si>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</si>
  <si>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</si>
  <si>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</si>
  <si>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</si>
  <si>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</si>
  <si>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</si>
  <si>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</si>
  <si>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</si>
  <si>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</si>
  <si>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</si>
  <si>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</si>
  <si>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</si>
  <si>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</si>
  <si>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</si>
  <si>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</si>
  <si>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</si>
  <si>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</si>
  <si>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</si>
  <si>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</si>
  <si>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</si>
  <si>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</si>
  <si>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</si>
  <si>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</si>
  <si>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</si>
  <si>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</si>
  <si>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</si>
  <si>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</si>
  <si>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</si>
  <si>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</si>
  <si>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</si>
  <si>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</si>
  <si>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</si>
  <si>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</si>
  <si>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</si>
  <si>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</si>
  <si>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</si>
  <si>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</si>
  <si>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</si>
  <si>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</si>
  <si>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</si>
  <si>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</si>
  <si>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</si>
  <si>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</si>
  <si>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</si>
  <si>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</si>
  <si>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</si>
  <si>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</si>
  <si>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</si>
  <si>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</si>
  <si>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</si>
  <si>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</si>
  <si>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</si>
  <si>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</si>
  <si>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</si>
  <si>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</si>
  <si>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</si>
  <si>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</si>
  <si>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</si>
  <si>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</si>
  <si>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</si>
  <si>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</si>
  <si>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</si>
  <si>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</si>
  <si>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</si>
  <si>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</si>
  <si>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</si>
  <si>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</si>
  <si>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</si>
  <si>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</si>
  <si>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</si>
  <si>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</si>
  <si>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</si>
  <si>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</si>
  <si>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</si>
  <si>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</si>
  <si>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</si>
  <si>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</si>
  <si>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</si>
  <si>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</si>
  <si>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</si>
  <si>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</si>
  <si>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</si>
  <si>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</si>
  <si>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</si>
  <si>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</si>
  <si>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</si>
  <si>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</si>
  <si>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</si>
  <si>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</si>
  <si>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</si>
  <si>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</si>
  <si>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</si>
  <si>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</si>
  <si>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</si>
  <si>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</si>
  <si>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</si>
  <si>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</si>
  <si>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</si>
  <si>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</si>
  <si>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</si>
  <si>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</si>
  <si>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</si>
  <si>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</si>
  <si>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</si>
  <si>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</si>
  <si>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</si>
  <si>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</si>
  <si>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</si>
  <si>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</si>
  <si>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</si>
  <si>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</si>
  <si>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</si>
  <si>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</si>
  <si>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</si>
  <si>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</si>
  <si>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</si>
  <si>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</si>
  <si>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</si>
  <si>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</si>
  <si>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</si>
  <si>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</si>
  <si>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</si>
  <si>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</si>
  <si>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</si>
  <si>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</si>
  <si>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</si>
  <si>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</si>
  <si>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</si>
  <si>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</si>
  <si>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</si>
  <si>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</si>
  <si>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</si>
  <si>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</si>
  <si>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</si>
  <si>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</si>
  <si>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</si>
  <si>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</si>
  <si>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</si>
  <si>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</si>
  <si>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</si>
  <si>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</si>
  <si>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</si>
  <si>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</si>
  <si>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</si>
  <si>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</si>
  <si>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</si>
  <si>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</si>
  <si>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</si>
  <si>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</si>
  <si>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</si>
  <si>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</si>
  <si>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</si>
  <si>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</si>
  <si>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</si>
  <si>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</si>
  <si>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</si>
  <si>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</si>
  <si>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</si>
  <si>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</si>
  <si>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</si>
  <si>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</si>
  <si>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</si>
  <si>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</si>
  <si>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</si>
  <si>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</si>
  <si>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</si>
  <si>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</si>
  <si>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</si>
  <si>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</si>
  <si>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</si>
  <si>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</si>
  <si>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</si>
  <si>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</si>
  <si>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</si>
  <si>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</si>
  <si>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</si>
  <si>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</si>
  <si>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</si>
  <si>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</si>
  <si>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</si>
  <si>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</si>
  <si>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</si>
  <si>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</si>
  <si>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</si>
  <si>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</si>
  <si>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</si>
  <si>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</si>
  <si>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</si>
  <si>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</si>
  <si>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</si>
  <si>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</si>
  <si>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</si>
  <si>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</si>
  <si>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</si>
  <si>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</si>
  <si>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</si>
  <si>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</si>
  <si>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</si>
  <si>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</si>
  <si>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</si>
  <si>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</si>
  <si>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</si>
  <si>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</si>
  <si>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</si>
  <si>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</si>
  <si>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</si>
  <si>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</si>
  <si>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</si>
  <si>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</si>
  <si>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</si>
  <si>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</si>
  <si>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</si>
  <si>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</si>
  <si>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</si>
  <si>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</si>
  <si>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</si>
  <si>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</si>
  <si>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</si>
  <si>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</si>
  <si>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</si>
  <si>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</si>
  <si>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</si>
  <si>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</si>
  <si>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</si>
  <si>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</si>
  <si>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</si>
  <si>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</si>
  <si>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</si>
  <si>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</si>
  <si>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</si>
  <si>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</si>
  <si>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</si>
  <si>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</si>
  <si>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</si>
  <si>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</si>
  <si>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</si>
  <si>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</si>
  <si>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</si>
  <si>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</si>
  <si>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</si>
  <si>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</si>
  <si>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</si>
  <si>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</si>
  <si>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</si>
  <si>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</si>
  <si>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</si>
  <si>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</si>
  <si>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</si>
  <si>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</si>
  <si>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</si>
  <si>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</si>
  <si>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</si>
  <si>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</si>
  <si>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</si>
  <si>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</si>
  <si>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</si>
  <si>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</si>
  <si>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</si>
  <si>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</si>
  <si>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</si>
  <si>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</si>
  <si>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</si>
  <si>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</si>
  <si>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</si>
  <si>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</si>
  <si>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</si>
  <si>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</si>
  <si>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</si>
  <si>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</si>
  <si>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</si>
  <si>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</si>
  <si>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</si>
  <si>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</si>
  <si>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</si>
  <si>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</si>
  <si>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</si>
  <si>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</si>
  <si>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</si>
  <si>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</si>
  <si>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</si>
  <si>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</si>
  <si>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</si>
  <si>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</si>
  <si>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</si>
  <si>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</si>
  <si>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</si>
  <si>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</si>
  <si>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</si>
  <si>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</si>
  <si>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</si>
  <si>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</si>
  <si>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</si>
  <si>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</si>
  <si>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</si>
  <si>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</si>
  <si>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</si>
  <si>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</si>
  <si>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</si>
  <si>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</si>
  <si>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</si>
  <si>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</si>
  <si>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</si>
  <si>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</si>
  <si>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</si>
  <si>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</si>
  <si>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</si>
  <si>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</si>
  <si>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</si>
  <si>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</si>
  <si>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</si>
  <si>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</si>
  <si>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</si>
  <si>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</si>
  <si>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</si>
  <si>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</si>
  <si>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</si>
  <si>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</si>
  <si>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</si>
  <si>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</si>
  <si>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</si>
  <si>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</si>
  <si>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</si>
  <si>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</si>
  <si>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</si>
  <si>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</si>
  <si>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</si>
  <si>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</si>
  <si>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</si>
  <si>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</si>
  <si>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</si>
  <si>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</si>
  <si>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</si>
  <si>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</si>
  <si>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</si>
  <si>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</si>
  <si>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</si>
  <si>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</si>
  <si>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</si>
  <si>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</si>
  <si>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</si>
  <si>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</si>
  <si>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</si>
  <si>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</si>
  <si>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</si>
  <si>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</si>
  <si>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</si>
  <si>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</si>
  <si>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</si>
  <si>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</si>
  <si>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</si>
  <si>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</si>
  <si>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</si>
  <si>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</si>
  <si>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</si>
  <si>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</si>
  <si>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</si>
  <si>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</si>
  <si>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</si>
  <si>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</si>
  <si>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</si>
  <si>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</si>
  <si>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</si>
  <si>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</si>
  <si>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</si>
  <si>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</si>
  <si>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</si>
  <si>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</si>
  <si>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</si>
  <si>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</si>
  <si>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</si>
  <si>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</si>
  <si>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</si>
  <si>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</si>
  <si>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</si>
  <si>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</si>
  <si>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</si>
  <si>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</si>
  <si>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</si>
  <si>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</si>
  <si>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</si>
  <si>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</si>
  <si>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</si>
  <si>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</si>
  <si>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</si>
  <si>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</si>
  <si>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</si>
  <si>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</si>
  <si>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</si>
  <si>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</si>
  <si>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</si>
  <si>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</si>
  <si>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</si>
  <si>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</si>
  <si>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</si>
  <si>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</si>
  <si>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</si>
  <si>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</si>
  <si>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</si>
  <si>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</si>
  <si>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</si>
  <si>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</si>
  <si>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</si>
  <si>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</si>
  <si>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</si>
  <si>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</si>
  <si>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</si>
  <si>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</si>
  <si>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</si>
  <si>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</si>
  <si>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</si>
  <si>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</si>
  <si>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</si>
  <si>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</si>
  <si>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</si>
  <si>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</si>
  <si>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</si>
  <si>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</si>
  <si>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</si>
  <si>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</si>
  <si>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</si>
  <si>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</si>
  <si>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</si>
  <si>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</si>
  <si>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</si>
  <si>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</si>
  <si>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</si>
  <si>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</si>
  <si>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</si>
  <si>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</si>
  <si>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</si>
  <si>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</si>
  <si>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</si>
  <si>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</si>
  <si>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</si>
  <si>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</si>
  <si>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</si>
  <si>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</si>
  <si>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</si>
  <si>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</si>
  <si>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</si>
  <si>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</si>
  <si>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</si>
  <si>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</si>
  <si>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</si>
  <si>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</si>
  <si>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</si>
  <si>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</si>
  <si>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</si>
  <si>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</si>
  <si>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</si>
  <si>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</si>
  <si>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</si>
  <si>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</si>
  <si>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</si>
  <si>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</si>
  <si>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</si>
  <si>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</si>
  <si>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</si>
  <si>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</si>
  <si>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</si>
  <si>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</si>
  <si>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</si>
  <si>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</si>
  <si>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</si>
  <si>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</si>
  <si>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</si>
  <si>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</si>
  <si>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</si>
  <si>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</si>
  <si>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</si>
  <si>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</si>
  <si>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</si>
  <si>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</si>
  <si>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</si>
  <si>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</si>
  <si>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</si>
  <si>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</si>
  <si>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</si>
  <si>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</si>
  <si>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</si>
  <si>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</si>
  <si>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</si>
  <si>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</si>
  <si>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</si>
  <si>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</si>
  <si>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</si>
  <si>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</si>
  <si>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</si>
  <si>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</si>
  <si>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</si>
  <si>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</si>
  <si>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</si>
  <si>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</si>
  <si>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</si>
  <si>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</si>
  <si>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</si>
  <si>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</si>
  <si>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</si>
  <si>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</si>
  <si>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</si>
  <si>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</si>
  <si>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</si>
  <si>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</si>
  <si>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</si>
  <si>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</si>
  <si>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</si>
  <si>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</si>
  <si>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</si>
  <si>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</si>
  <si>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</si>
  <si>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</si>
  <si>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</si>
  <si>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</si>
  <si>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</si>
  <si>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</si>
  <si>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</si>
  <si>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</si>
  <si>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</si>
  <si>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</si>
  <si>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</si>
  <si>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</si>
  <si>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</si>
  <si>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</si>
  <si>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</si>
  <si>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</si>
  <si>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</si>
  <si>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</si>
  <si>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</si>
  <si>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</si>
  <si>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</si>
  <si>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</si>
  <si>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</si>
  <si>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</si>
  <si>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</si>
  <si>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</si>
  <si>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</si>
  <si>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</si>
  <si>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</si>
  <si>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</si>
  <si>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</si>
  <si>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</si>
  <si>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</si>
  <si>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</si>
  <si>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</si>
  <si>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</si>
  <si>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</si>
  <si>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</si>
  <si>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</si>
  <si>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</si>
  <si>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</si>
  <si>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</si>
  <si>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</si>
  <si>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</si>
  <si>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</si>
  <si>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</si>
  <si>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</si>
  <si>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</si>
  <si>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</si>
  <si>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</si>
  <si>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</si>
  <si>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</si>
  <si>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</si>
  <si>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</si>
  <si>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</si>
  <si>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</si>
  <si>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</si>
  <si>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</si>
  <si>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</si>
  <si>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</si>
  <si>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</si>
  <si>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</si>
  <si>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</si>
  <si>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</si>
  <si>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</si>
  <si>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</si>
  <si>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</si>
  <si>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</si>
  <si>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</si>
  <si>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</si>
  <si>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</si>
  <si>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</si>
  <si>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</si>
  <si>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</si>
  <si>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</si>
  <si>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</si>
  <si>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</si>
  <si>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</si>
  <si>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</si>
  <si>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</si>
  <si>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</si>
  <si>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</si>
  <si>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</si>
  <si>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</si>
  <si>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</si>
  <si>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</si>
  <si>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</si>
  <si>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</si>
  <si>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</si>
  <si>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</si>
  <si>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</si>
  <si>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</si>
  <si>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</si>
  <si>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</si>
  <si>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</si>
  <si>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</si>
  <si>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</si>
  <si>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</si>
  <si>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</si>
  <si>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</si>
  <si>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</si>
  <si>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</si>
  <si>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</si>
  <si>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</si>
  <si>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</si>
  <si>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</si>
  <si>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</si>
  <si>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</si>
  <si>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</si>
  <si>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</si>
  <si>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</si>
  <si>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</si>
  <si>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</si>
  <si>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</si>
  <si>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</si>
  <si>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</si>
  <si>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</si>
  <si>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</si>
  <si>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</si>
  <si>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</si>
  <si>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</si>
  <si>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</si>
  <si>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</si>
  <si>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</si>
  <si>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</si>
  <si>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</si>
  <si>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</si>
  <si>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</si>
  <si>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</si>
  <si>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</si>
  <si>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</si>
  <si>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</si>
  <si>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</si>
  <si>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</si>
  <si>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</si>
  <si>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</si>
  <si>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</si>
  <si>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</si>
  <si>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</si>
  <si>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</si>
  <si>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</si>
  <si>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</si>
  <si>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</si>
  <si>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</si>
  <si>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</si>
  <si>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</si>
  <si>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</si>
  <si>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</si>
  <si>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</si>
  <si>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</si>
  <si>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</si>
  <si>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</si>
  <si>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</si>
  <si>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</si>
  <si>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</si>
  <si>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</si>
  <si>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</si>
  <si>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</si>
  <si>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</si>
  <si>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</si>
  <si>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</si>
  <si>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</si>
  <si>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</si>
  <si>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</si>
  <si>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</si>
  <si>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</si>
  <si>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</si>
  <si>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</si>
  <si>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</si>
  <si>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</si>
  <si>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</si>
  <si>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</si>
  <si>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</si>
  <si>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</si>
  <si>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</si>
  <si>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</si>
  <si>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</si>
  <si>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</si>
  <si>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</si>
  <si>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</si>
  <si>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</si>
  <si>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</si>
  <si>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</si>
  <si>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</si>
  <si>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</si>
  <si>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</si>
  <si>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</si>
  <si>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</si>
  <si>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</si>
  <si>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</si>
  <si>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</si>
  <si>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</si>
  <si>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</si>
  <si>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</si>
  <si>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</si>
  <si>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</si>
  <si>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</si>
  <si>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</si>
  <si>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</si>
  <si>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</si>
  <si>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</si>
  <si>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</si>
  <si>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</si>
  <si>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</si>
  <si>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</si>
  <si>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</si>
  <si>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</si>
  <si>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</si>
  <si>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</si>
  <si>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</si>
  <si>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</si>
  <si>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</si>
  <si>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</si>
  <si>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</si>
  <si>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</si>
  <si>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</si>
  <si>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</si>
  <si>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</si>
  <si>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</si>
  <si>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</si>
  <si>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</si>
  <si>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</si>
  <si>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</si>
  <si>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</si>
  <si>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</si>
  <si>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</si>
  <si>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</si>
  <si>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</si>
  <si>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</si>
  <si>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</si>
  <si>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</si>
  <si>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</si>
  <si>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</si>
  <si>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</si>
  <si>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</si>
  <si>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</si>
  <si>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</si>
  <si>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</si>
  <si>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</si>
  <si>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</si>
  <si>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</si>
  <si>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</si>
  <si>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</si>
  <si>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</si>
  <si>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</si>
  <si>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</si>
  <si>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</si>
  <si>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</si>
  <si>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</si>
  <si>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</si>
  <si>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</si>
  <si>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</si>
  <si>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</si>
  <si>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</si>
  <si>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</si>
  <si>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</si>
  <si>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</si>
  <si>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</si>
  <si>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</si>
  <si>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</si>
  <si>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</si>
  <si>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</si>
  <si>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</si>
  <si>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</si>
  <si>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</si>
  <si>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</si>
  <si>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</si>
  <si>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</si>
  <si>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</si>
  <si>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</si>
  <si>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</si>
  <si>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</si>
  <si>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</si>
  <si>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</si>
  <si>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</si>
  <si>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</si>
  <si>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</si>
  <si>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</si>
  <si>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</si>
  <si>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</si>
  <si>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</si>
  <si>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</si>
  <si>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</si>
  <si>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</si>
  <si>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</si>
  <si>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</si>
  <si>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</si>
  <si>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</si>
  <si>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</si>
  <si>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</si>
  <si>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</si>
  <si>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</si>
  <si>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</si>
  <si>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</si>
  <si>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</si>
  <si>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</si>
  <si>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</si>
  <si>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</si>
  <si>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</si>
  <si>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</si>
  <si>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</si>
  <si>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</si>
  <si>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</si>
  <si>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</si>
  <si>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</si>
  <si>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</si>
  <si>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</si>
  <si>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</si>
  <si>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</si>
  <si>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</si>
  <si>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</si>
  <si>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</si>
  <si>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</si>
  <si>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</si>
  <si>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</si>
  <si>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</si>
  <si>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</si>
  <si>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</si>
  <si>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</si>
  <si>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</si>
  <si>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</si>
  <si>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</si>
  <si>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</si>
  <si>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</si>
  <si>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</si>
  <si>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</si>
  <si>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</si>
  <si>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</si>
  <si>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</si>
  <si>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</si>
  <si>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</si>
  <si>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</si>
  <si>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</si>
  <si>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</si>
  <si>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</si>
  <si>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</si>
  <si>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</si>
  <si>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</si>
  <si>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</si>
  <si>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</si>
  <si>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</si>
  <si>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</si>
  <si>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</si>
  <si>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</si>
  <si>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</si>
  <si>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</si>
  <si>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</si>
  <si>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</si>
  <si>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</si>
  <si>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</si>
  <si>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</si>
  <si>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</si>
  <si>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</si>
  <si>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</si>
  <si>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</si>
  <si>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</si>
  <si>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</si>
  <si>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</si>
  <si>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</si>
  <si>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</si>
  <si>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</si>
  <si>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</si>
  <si>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</si>
  <si>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</si>
  <si>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</si>
  <si>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</si>
  <si>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</si>
  <si>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</si>
  <si>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</si>
  <si>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</si>
  <si>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</si>
  <si>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</si>
  <si>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</si>
  <si>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</si>
  <si>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</si>
  <si>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</si>
  <si>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</si>
  <si>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</si>
  <si>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</si>
  <si>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</si>
  <si>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</si>
  <si>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</si>
  <si>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</si>
  <si>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</si>
  <si>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</si>
  <si>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</si>
  <si>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</si>
  <si>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</si>
  <si>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</si>
  <si>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</si>
  <si>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</si>
  <si>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</si>
  <si>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</si>
  <si>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</si>
  <si>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</si>
  <si>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</si>
  <si>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</si>
  <si>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</si>
  <si>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</si>
  <si>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</si>
  <si>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</si>
  <si>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</si>
  <si>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</si>
  <si>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</si>
  <si>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</si>
  <si>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</si>
  <si>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</si>
  <si>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</si>
  <si>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</si>
  <si>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</si>
  <si>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</si>
  <si>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</si>
  <si>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</si>
  <si>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</si>
  <si>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</si>
  <si>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</si>
  <si>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</si>
  <si>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</si>
  <si>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</si>
  <si>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</si>
  <si>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</si>
  <si>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</si>
  <si>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</si>
  <si>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</si>
  <si>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</si>
  <si>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</si>
  <si>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</si>
  <si>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</si>
  <si>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</si>
  <si>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</si>
  <si>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</si>
  <si>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</si>
  <si>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</si>
  <si>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</si>
  <si>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</si>
  <si>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</si>
  <si>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</si>
  <si>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</si>
  <si>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</si>
  <si>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</si>
  <si>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</si>
  <si>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</si>
  <si>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</si>
  <si>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</si>
  <si>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</si>
  <si>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</si>
  <si>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</si>
  <si>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</si>
  <si>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</si>
  <si>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</si>
  <si>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</si>
  <si>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</si>
  <si>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</si>
  <si>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</si>
  <si>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</si>
  <si>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</si>
  <si>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</si>
  <si>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</si>
  <si>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</si>
  <si>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</si>
  <si>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</si>
  <si>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</si>
  <si>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</si>
  <si>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</si>
  <si>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</si>
  <si>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</si>
  <si>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</si>
  <si>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</si>
  <si>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</si>
  <si>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</si>
  <si>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</si>
  <si>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</si>
  <si>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</si>
  <si>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</si>
  <si>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</si>
  <si>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</si>
  <si>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</si>
  <si>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</si>
  <si>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</si>
  <si>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</si>
  <si>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</si>
  <si>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</si>
  <si>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</si>
  <si>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</si>
  <si>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</si>
  <si>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</si>
  <si>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</si>
  <si>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</si>
  <si>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</si>
  <si>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</si>
  <si>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</si>
  <si>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</si>
  <si>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</si>
  <si>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</si>
  <si>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</si>
  <si>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</si>
  <si>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</si>
  <si>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</si>
  <si>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</si>
  <si>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</si>
  <si>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</si>
  <si>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</si>
  <si>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</si>
  <si>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</si>
  <si>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</si>
  <si>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</si>
  <si>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</si>
  <si>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</si>
  <si>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</si>
  <si>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</si>
  <si>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</si>
  <si>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</si>
  <si>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</si>
  <si>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</si>
  <si>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</si>
  <si>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</si>
  <si>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</si>
  <si>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</si>
  <si>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</si>
  <si>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</si>
  <si>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</si>
  <si>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</si>
  <si>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</si>
  <si>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</si>
  <si>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</si>
  <si>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</si>
  <si>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</si>
  <si>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</si>
  <si>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</si>
  <si>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</si>
  <si>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</si>
  <si>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</si>
  <si>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</si>
  <si>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</si>
  <si>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</si>
  <si>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</si>
  <si>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</si>
  <si>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</si>
  <si>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</si>
  <si>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</si>
  <si>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</si>
  <si>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</si>
  <si>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</si>
  <si>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</si>
  <si>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</si>
  <si>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</si>
  <si>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</si>
  <si>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</si>
  <si>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</si>
  <si>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</si>
  <si>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</si>
  <si>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</si>
  <si>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</si>
  <si>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</si>
  <si>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</si>
  <si>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</si>
  <si>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</si>
  <si>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</si>
  <si>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</si>
  <si>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</si>
  <si>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</si>
  <si>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</si>
  <si>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</si>
  <si>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</si>
  <si>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</si>
  <si>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</si>
  <si>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</si>
  <si>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</si>
  <si>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</si>
  <si>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</si>
  <si>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</si>
  <si>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</si>
  <si>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</si>
  <si>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</si>
  <si>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</si>
  <si>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</si>
  <si>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</si>
  <si>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</si>
  <si>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</si>
  <si>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</si>
  <si>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</si>
  <si>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</si>
  <si>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</si>
  <si>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</si>
  <si>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</si>
  <si>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</si>
  <si>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</si>
  <si>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</si>
  <si>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</si>
  <si>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</si>
  <si>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</si>
  <si>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</si>
  <si>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</si>
  <si>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</si>
  <si>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</si>
  <si>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</si>
  <si>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</si>
  <si>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</si>
  <si>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</si>
  <si>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</si>
  <si>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</si>
  <si>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</si>
  <si>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</si>
  <si>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</si>
  <si>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</si>
  <si>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</si>
  <si>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</si>
  <si>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</si>
  <si>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</si>
  <si>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</si>
  <si>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</si>
  <si>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</si>
  <si>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</si>
  <si>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</si>
  <si>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</si>
  <si>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</si>
  <si>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</si>
  <si>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</si>
  <si>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</si>
  <si>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</si>
  <si>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</si>
  <si>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</si>
  <si>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</si>
  <si>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</si>
  <si>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</si>
  <si>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</si>
  <si>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</si>
  <si>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</si>
  <si>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</si>
  <si>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</si>
  <si>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</si>
  <si>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</si>
  <si>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</si>
  <si>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</si>
  <si>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</si>
  <si>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</si>
  <si>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</si>
  <si>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</si>
  <si>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</si>
  <si>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</si>
  <si>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</si>
  <si>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</si>
  <si>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</si>
  <si>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</si>
  <si>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</si>
  <si>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</si>
  <si>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</si>
  <si>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</si>
  <si>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</si>
  <si>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</si>
  <si>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</si>
  <si>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</si>
  <si>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</si>
  <si>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</si>
  <si>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</si>
  <si>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</si>
  <si>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</si>
  <si>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</si>
  <si>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</si>
  <si>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</si>
  <si>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</si>
  <si>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</si>
  <si>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</si>
  <si>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</si>
  <si>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</si>
  <si>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</si>
  <si>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</si>
  <si>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</si>
  <si>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</si>
  <si>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</si>
  <si>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</si>
  <si>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</si>
  <si>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</si>
  <si>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</si>
  <si>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</si>
  <si>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</si>
  <si>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</si>
  <si>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</si>
  <si>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</si>
  <si>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</si>
  <si>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</si>
  <si>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</si>
  <si>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</si>
  <si>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</si>
  <si>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</si>
  <si>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</si>
  <si>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</si>
  <si>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</si>
  <si>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</si>
  <si>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</si>
  <si>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</si>
  <si>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</si>
  <si>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</si>
  <si>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</si>
  <si>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</si>
  <si>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</si>
  <si>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</si>
  <si>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</si>
  <si>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</si>
  <si>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</si>
  <si>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</si>
  <si>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</si>
  <si>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</si>
  <si>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</si>
  <si>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</si>
  <si>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</si>
  <si>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</si>
  <si>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</si>
  <si>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</si>
  <si>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</si>
  <si>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</si>
  <si>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</si>
  <si>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</si>
  <si>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</si>
  <si>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</si>
  <si>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</si>
  <si>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</si>
  <si>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</si>
  <si>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</si>
  <si>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</si>
  <si>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</si>
  <si>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</si>
  <si>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</si>
  <si>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</si>
  <si>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</si>
  <si>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</si>
  <si>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</si>
  <si>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</si>
  <si>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</si>
  <si>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</si>
  <si>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</si>
  <si>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</si>
  <si>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</si>
  <si>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</si>
  <si>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</si>
  <si>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</si>
  <si>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</si>
  <si>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</si>
  <si>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</si>
  <si>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</si>
  <si>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</si>
  <si>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</si>
  <si>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</si>
  <si>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</si>
  <si>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</si>
  <si>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</si>
  <si>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</si>
  <si>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</si>
  <si>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</si>
  <si>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</si>
  <si>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</si>
  <si>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</si>
  <si>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</si>
  <si>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</si>
  <si>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</si>
  <si>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</si>
  <si>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</si>
  <si>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</si>
  <si>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</si>
  <si>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</si>
  <si>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</si>
  <si>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</si>
  <si>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</si>
  <si>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</si>
  <si>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</si>
  <si>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</si>
  <si>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</si>
  <si>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</si>
  <si>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</si>
  <si>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</si>
  <si>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</si>
  <si>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</si>
  <si>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</si>
  <si>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</si>
  <si>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</si>
  <si>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</si>
  <si>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</si>
  <si>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</si>
  <si>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</si>
  <si>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</si>
  <si>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</si>
  <si>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</si>
  <si>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</si>
  <si>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</si>
  <si>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</si>
  <si>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</si>
  <si>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</si>
  <si>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</si>
  <si>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</si>
  <si>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</si>
  <si>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</si>
  <si>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</si>
  <si>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</si>
  <si>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</si>
  <si>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</si>
  <si>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</si>
  <si>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</si>
  <si>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</si>
  <si>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</si>
  <si>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</si>
  <si>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</si>
  <si>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</si>
  <si>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</si>
  <si>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</si>
  <si>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</si>
  <si>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</si>
  <si>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</si>
  <si>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</si>
  <si>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</si>
  <si>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</si>
  <si>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</si>
  <si>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</si>
  <si>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</si>
  <si>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</si>
  <si>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</si>
  <si>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</si>
  <si>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</si>
  <si>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</si>
  <si>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</si>
  <si>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</si>
  <si>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</si>
  <si>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</si>
  <si>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</si>
  <si>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</si>
  <si>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</si>
  <si>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</si>
  <si>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</si>
  <si>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</si>
  <si>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</si>
  <si>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</si>
  <si>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</si>
  <si>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</si>
  <si>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</si>
  <si>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</si>
  <si>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</si>
  <si>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</si>
  <si>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</si>
  <si>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</si>
  <si>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</si>
  <si>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</si>
  <si>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</si>
  <si>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</si>
  <si>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</si>
  <si>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</si>
  <si>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</si>
  <si>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</si>
  <si>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</si>
  <si>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</si>
  <si>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</si>
  <si>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</si>
  <si>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</si>
  <si>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</si>
  <si>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</si>
  <si>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</si>
  <si>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</si>
  <si>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</si>
  <si>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</si>
  <si>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</si>
  <si>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</si>
  <si>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</si>
  <si>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</si>
  <si>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</si>
  <si>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</si>
  <si>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</si>
  <si>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</si>
  <si>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</si>
  <si>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</si>
  <si>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</si>
  <si>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</si>
  <si>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</si>
  <si>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</si>
  <si>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</si>
  <si>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</si>
  <si>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</si>
  <si>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</si>
  <si>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</si>
  <si>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</si>
  <si>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</si>
  <si>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</si>
  <si>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</si>
  <si>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</si>
  <si>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</si>
  <si>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</si>
  <si>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</si>
  <si>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</si>
  <si>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</si>
  <si>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</si>
  <si>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</si>
  <si>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</si>
  <si>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</si>
  <si>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</si>
  <si>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</si>
  <si>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</si>
  <si>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</si>
  <si>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</si>
  <si>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</si>
  <si>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</si>
  <si>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</si>
  <si>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</si>
  <si>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</si>
  <si>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</si>
  <si>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</si>
  <si>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</si>
  <si>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</si>
  <si>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</si>
  <si>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</si>
  <si>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</si>
  <si>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</si>
  <si>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</si>
  <si>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</si>
  <si>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</si>
  <si>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</si>
  <si>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</si>
  <si>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</si>
  <si>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</si>
  <si>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</si>
  <si>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</si>
  <si>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</si>
  <si>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</si>
  <si>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</si>
  <si>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</si>
  <si>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</si>
  <si>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</si>
  <si>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</si>
  <si>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</si>
  <si>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</si>
  <si>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</si>
  <si>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</si>
  <si>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</si>
  <si>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</si>
  <si>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</si>
  <si>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</si>
  <si>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</si>
  <si>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</si>
  <si>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</si>
  <si>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</si>
  <si>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</si>
  <si>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</si>
  <si>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</si>
  <si>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</si>
  <si>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</si>
  <si>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</si>
  <si>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</si>
  <si>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</si>
  <si>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</si>
  <si>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</si>
  <si>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</si>
  <si>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</si>
  <si>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</si>
  <si>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</si>
  <si>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</si>
  <si>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</si>
  <si>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</si>
  <si>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</si>
  <si>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</si>
  <si>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</si>
  <si>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</si>
  <si>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</si>
  <si>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</si>
  <si>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</si>
  <si>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</si>
  <si>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</si>
  <si>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</si>
  <si>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</si>
  <si>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</si>
  <si>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</si>
  <si>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</si>
  <si>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</si>
  <si>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</si>
  <si>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</si>
  <si>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</si>
  <si>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</si>
  <si>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</si>
  <si>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</si>
  <si>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</si>
  <si>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</si>
  <si>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</si>
  <si>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</si>
  <si>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</si>
  <si>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</si>
  <si>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</si>
  <si>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</si>
  <si>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</si>
  <si>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</si>
  <si>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</si>
  <si>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</si>
  <si>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</si>
  <si>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</si>
  <si>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</si>
  <si>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</si>
  <si>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</si>
  <si>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</si>
  <si>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</si>
  <si>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</si>
  <si>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</si>
  <si>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</si>
  <si>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</si>
  <si>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</si>
  <si>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</si>
  <si>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</si>
  <si>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</si>
  <si>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</si>
  <si>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</si>
  <si>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</si>
  <si>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</si>
  <si>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</si>
  <si>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</si>
  <si>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</si>
  <si>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</si>
  <si>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</si>
  <si>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</si>
  <si>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</si>
  <si>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</si>
  <si>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</si>
  <si>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</si>
  <si>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</si>
  <si>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</si>
  <si>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</si>
  <si>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</si>
  <si>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</si>
  <si>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</si>
  <si>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</si>
  <si>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</si>
  <si>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</si>
  <si>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</si>
  <si>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</si>
  <si>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</si>
  <si>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</si>
  <si>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</si>
  <si>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</si>
  <si>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</si>
  <si>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</si>
  <si>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</si>
  <si>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</si>
  <si>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</si>
  <si>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</si>
  <si>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</si>
  <si>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</si>
  <si>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</si>
  <si>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</si>
  <si>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</si>
  <si>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</si>
  <si>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</si>
  <si>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</si>
  <si>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</si>
  <si>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</si>
  <si>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</si>
  <si>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</si>
  <si>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</si>
  <si>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</si>
  <si>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</si>
  <si>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</si>
  <si>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</si>
  <si>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</si>
  <si>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</si>
  <si>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</si>
  <si>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</si>
  <si>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</si>
  <si>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</si>
  <si>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</si>
  <si>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</si>
  <si>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</si>
  <si>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</si>
  <si>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</si>
  <si>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</si>
  <si>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</si>
  <si>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</si>
  <si>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</si>
  <si>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</si>
  <si>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</si>
  <si>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</si>
  <si>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</si>
  <si>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</si>
  <si>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</si>
  <si>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</si>
  <si>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</si>
  <si>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</si>
  <si>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</si>
  <si>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</si>
  <si>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</si>
  <si>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</si>
  <si>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</si>
  <si>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</si>
  <si>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</si>
  <si>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</si>
  <si>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</si>
  <si>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</si>
  <si>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</si>
  <si>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</si>
  <si>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</si>
  <si>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</si>
  <si>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</si>
  <si>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</si>
  <si>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</si>
  <si>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</si>
  <si>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</si>
  <si>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</si>
  <si>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</si>
  <si>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</si>
  <si>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</si>
  <si>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</si>
  <si>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</si>
  <si>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</si>
  <si>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</si>
  <si>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</si>
  <si>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</si>
  <si>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</si>
  <si>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</si>
  <si>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</si>
  <si>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</si>
  <si>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</si>
  <si>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</si>
  <si>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</si>
  <si>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</si>
  <si>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</si>
  <si>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</si>
  <si>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</si>
  <si>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</si>
  <si>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</si>
  <si>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</si>
  <si>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</si>
  <si>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</si>
  <si>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</si>
  <si>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</si>
  <si>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</si>
  <si>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</si>
  <si>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</si>
  <si>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</si>
  <si>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</si>
  <si>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</si>
  <si>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</si>
  <si>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</si>
  <si>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</si>
  <si>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</si>
  <si>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</si>
  <si>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</si>
  <si>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</si>
  <si>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</si>
  <si>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</si>
  <si>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</si>
  <si>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</si>
  <si>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</si>
  <si>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</si>
  <si>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</si>
  <si>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</si>
  <si>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</si>
  <si>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</si>
  <si>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</si>
  <si>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</si>
  <si>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</si>
  <si>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</si>
  <si>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</si>
  <si>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</si>
  <si>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</si>
  <si>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</si>
  <si>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</si>
  <si>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</si>
  <si>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</si>
  <si>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</si>
  <si>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</si>
  <si>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</si>
  <si>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</si>
  <si>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</si>
  <si>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</si>
  <si>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</si>
  <si>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</si>
  <si>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</si>
  <si>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</si>
  <si>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</si>
  <si>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</si>
  <si>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</si>
  <si>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</si>
  <si>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</si>
  <si>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</si>
  <si>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</si>
  <si>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</si>
  <si>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</si>
  <si>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</si>
  <si>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</si>
  <si>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</si>
  <si>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</si>
  <si>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</si>
  <si>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</si>
  <si>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</si>
  <si>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</si>
  <si>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</si>
  <si>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</si>
  <si>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</si>
  <si>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</si>
  <si>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</si>
  <si>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</si>
  <si>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</si>
  <si>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</si>
  <si>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</si>
  <si>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</si>
  <si>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</si>
  <si>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</si>
  <si>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</si>
  <si>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</si>
  <si>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</si>
  <si>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</si>
  <si>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</si>
  <si>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</si>
  <si>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</si>
  <si>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</si>
  <si>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</si>
  <si>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</si>
  <si>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</si>
  <si>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</si>
  <si>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</si>
  <si>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</si>
  <si>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</si>
  <si>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</si>
  <si>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</si>
  <si>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</si>
  <si>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</si>
  <si>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</si>
  <si>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</si>
  <si>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</si>
  <si>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</si>
  <si>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</si>
  <si>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</si>
  <si>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</si>
  <si>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</si>
  <si>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</si>
  <si>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</si>
  <si>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</si>
  <si>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</si>
  <si>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</si>
  <si>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</si>
  <si>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</si>
  <si>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</si>
  <si>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</si>
  <si>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</si>
  <si>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</si>
  <si>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</si>
  <si>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</si>
  <si>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</si>
  <si>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</si>
  <si>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</si>
  <si>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</si>
  <si>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</si>
  <si>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</si>
  <si>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</si>
  <si>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</si>
  <si>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</si>
  <si>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</si>
  <si>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</si>
  <si>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</si>
  <si>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</si>
  <si>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</si>
  <si>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</si>
  <si>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</si>
  <si>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</si>
  <si>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</si>
  <si>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</si>
  <si>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</si>
  <si>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</si>
  <si>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</si>
  <si>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</si>
  <si>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</si>
  <si>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</si>
  <si>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</si>
  <si>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</si>
  <si>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</si>
  <si>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</si>
  <si>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</si>
  <si>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</si>
  <si>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</si>
  <si>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</si>
  <si>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</si>
  <si>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</si>
  <si>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</si>
  <si>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</si>
  <si>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</si>
  <si>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</si>
  <si>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</si>
  <si>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</si>
  <si>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</si>
  <si>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</si>
  <si>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</si>
  <si>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</si>
  <si>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</si>
  <si>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</si>
  <si>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</si>
  <si>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</si>
  <si>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</si>
  <si>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</si>
  <si>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</si>
  <si>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</si>
  <si>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</si>
  <si>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</si>
  <si>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</si>
  <si>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</si>
  <si>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</si>
  <si>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</si>
  <si>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</si>
  <si>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</si>
  <si>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</si>
  <si>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</si>
  <si>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</si>
  <si>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</si>
  <si>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</si>
  <si>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</si>
  <si>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</si>
  <si>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</si>
  <si>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</si>
  <si>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</si>
  <si>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</si>
  <si>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</si>
  <si>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</si>
  <si>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</si>
  <si>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</si>
  <si>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</si>
  <si>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</si>
  <si>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</si>
  <si>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</si>
  <si>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</si>
  <si>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</si>
  <si>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</si>
  <si>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</si>
  <si>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</si>
  <si>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</si>
  <si>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</si>
  <si>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</si>
  <si>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</si>
  <si>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</si>
  <si>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</si>
  <si>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</si>
  <si>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</si>
  <si>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</si>
  <si>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</si>
  <si>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</si>
  <si>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</si>
  <si>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</si>
  <si>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</si>
  <si>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</si>
  <si>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</si>
  <si>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</si>
  <si>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</si>
  <si>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</si>
  <si>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</si>
  <si>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</si>
  <si>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</si>
  <si>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</si>
  <si>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</si>
  <si>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</si>
  <si>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</si>
  <si>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</si>
  <si>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</si>
  <si>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</si>
  <si>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</si>
  <si>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</si>
  <si>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</si>
  <si>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</si>
  <si>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</si>
  <si>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</si>
  <si>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</si>
  <si>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</si>
  <si>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</si>
  <si>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</si>
  <si>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</si>
  <si>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</si>
  <si>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</si>
  <si>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</si>
  <si>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</si>
  <si>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</si>
  <si>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</si>
  <si>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</si>
  <si>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</si>
  <si>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</si>
  <si>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</si>
  <si>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</si>
  <si>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</si>
  <si>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</si>
  <si>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</si>
  <si>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</si>
  <si>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</si>
  <si>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</si>
  <si>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</si>
  <si>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</si>
  <si>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</si>
  <si>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</si>
  <si>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</si>
  <si>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</si>
  <si>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</si>
  <si>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</si>
  <si>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</si>
  <si>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</si>
  <si>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</si>
  <si>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</si>
  <si>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</si>
  <si>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</si>
  <si>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</si>
  <si>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</si>
  <si>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</si>
  <si>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</si>
  <si>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</si>
  <si>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</si>
  <si>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</si>
  <si>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</si>
  <si>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</si>
  <si>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</si>
  <si>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</si>
  <si>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</si>
  <si>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</si>
  <si>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</si>
  <si>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</si>
  <si>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</si>
  <si>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</si>
  <si>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</si>
  <si>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</si>
  <si>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</si>
  <si>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</si>
  <si>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</si>
  <si>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</si>
  <si>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</si>
  <si>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</si>
  <si>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</si>
  <si>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</si>
  <si>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</si>
  <si>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</si>
  <si>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</si>
  <si>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</si>
  <si>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</si>
  <si>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</si>
  <si>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</si>
  <si>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</si>
  <si>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</si>
  <si>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</si>
  <si>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</si>
  <si>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</si>
  <si>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</si>
  <si>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</si>
  <si>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</si>
  <si>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</si>
  <si>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</si>
  <si>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</si>
  <si>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</si>
  <si>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</si>
  <si>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</si>
  <si>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</si>
  <si>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</si>
  <si>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</si>
  <si>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</si>
  <si>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</si>
  <si>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</si>
  <si>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</si>
  <si>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</si>
  <si>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</si>
  <si>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</si>
  <si>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</si>
  <si>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</si>
  <si>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</si>
  <si>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</si>
  <si>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</si>
  <si>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</si>
  <si>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</si>
  <si>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</si>
  <si>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</si>
  <si>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</si>
  <si>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</si>
  <si>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</si>
  <si>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</si>
  <si>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</si>
  <si>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</si>
  <si>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</si>
  <si>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</si>
  <si>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</si>
  <si>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</si>
  <si>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</si>
  <si>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</si>
  <si>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</si>
  <si>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</si>
  <si>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</si>
  <si>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</si>
  <si>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</si>
  <si>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</si>
  <si>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</si>
  <si>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</si>
  <si>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</si>
  <si>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</si>
  <si>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</si>
  <si>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</si>
  <si>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</si>
  <si>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</si>
  <si>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</si>
  <si>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</si>
  <si>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</si>
  <si>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</si>
  <si>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</si>
  <si>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</si>
  <si>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</si>
  <si>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</si>
  <si>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</si>
  <si>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</si>
  <si>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</si>
  <si>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</si>
  <si>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</si>
  <si>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</si>
  <si>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</si>
  <si>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</si>
  <si>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</si>
  <si>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</si>
  <si>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</si>
  <si>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</si>
  <si>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</si>
  <si>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</si>
  <si>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</si>
  <si>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</si>
  <si>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</si>
  <si>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</si>
  <si>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</si>
  <si>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</si>
  <si>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</si>
  <si>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</si>
  <si>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</si>
  <si>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</si>
  <si>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</si>
  <si>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</si>
  <si>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</si>
  <si>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</si>
  <si>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</si>
  <si>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</si>
  <si>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</si>
  <si>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</si>
  <si>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</si>
  <si>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</si>
  <si>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</si>
  <si>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</si>
  <si>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</si>
  <si>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</si>
  <si>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</si>
  <si>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</si>
  <si>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</si>
  <si>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</si>
  <si>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</si>
  <si>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</si>
  <si>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</si>
  <si>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</si>
  <si>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</si>
  <si>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</si>
  <si>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</si>
  <si>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</si>
  <si>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</si>
  <si>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</si>
  <si>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</si>
  <si>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</si>
  <si>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</si>
  <si>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</si>
  <si>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</si>
  <si>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</si>
  <si>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</si>
  <si>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</si>
  <si>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</si>
  <si>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</si>
  <si>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</si>
  <si>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</si>
  <si>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</si>
  <si>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</si>
  <si>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</si>
  <si>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</si>
  <si>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</si>
  <si>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</si>
  <si>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</si>
  <si>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</si>
  <si>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</si>
  <si>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</si>
  <si>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</si>
  <si>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</si>
  <si>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</si>
  <si>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</si>
  <si>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</si>
  <si>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</si>
  <si>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</si>
  <si>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</si>
  <si>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</si>
  <si>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</si>
  <si>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</si>
  <si>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</si>
  <si>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</si>
  <si>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</si>
  <si>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</si>
  <si>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</si>
  <si>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</si>
  <si>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</si>
  <si>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</si>
  <si>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</si>
  <si>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</si>
  <si>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</si>
  <si>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</si>
  <si>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</si>
  <si>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</si>
  <si>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</si>
  <si>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</si>
  <si>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</si>
  <si>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</si>
  <si>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</si>
  <si>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</si>
  <si>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</si>
  <si>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</si>
  <si>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</si>
  <si>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</si>
  <si>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</si>
  <si>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</si>
  <si>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</si>
  <si>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</si>
  <si>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</si>
  <si>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</si>
  <si>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</si>
  <si>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</si>
  <si>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</si>
  <si>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</si>
  <si>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</si>
  <si>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</si>
  <si>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</si>
  <si>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</si>
  <si>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</si>
  <si>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</si>
  <si>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</si>
  <si>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</si>
  <si>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</si>
  <si>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</si>
  <si>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</si>
  <si>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</si>
  <si>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</si>
  <si>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</si>
  <si>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</si>
  <si>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</si>
  <si>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</si>
  <si>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</si>
  <si>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</si>
  <si>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</si>
  <si>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</si>
  <si>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</si>
  <si>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</si>
  <si>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</si>
  <si>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</si>
  <si>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</si>
  <si>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</si>
  <si>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</si>
  <si>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</si>
  <si>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</si>
  <si>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</si>
  <si>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</si>
  <si>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</si>
  <si>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</si>
  <si>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</si>
  <si>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</si>
  <si>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</si>
  <si>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</si>
  <si>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</si>
  <si>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</si>
  <si>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</si>
  <si>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</si>
  <si>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</si>
  <si>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</si>
  <si>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</si>
  <si>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</si>
  <si>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</si>
  <si>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</si>
  <si>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</si>
  <si>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</si>
  <si>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</si>
  <si>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</si>
  <si>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</si>
  <si>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</si>
  <si>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</si>
  <si>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</si>
  <si>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</si>
  <si>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</si>
  <si>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</si>
  <si>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</si>
  <si>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</si>
  <si>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</si>
  <si>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</si>
  <si>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</si>
  <si>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</si>
  <si>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</si>
  <si>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</si>
  <si>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</si>
  <si>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</si>
  <si>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</si>
  <si>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</si>
  <si>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</si>
  <si>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</si>
  <si>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</si>
  <si>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</si>
  <si>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</si>
  <si>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</si>
  <si>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</si>
  <si>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</si>
  <si>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</si>
  <si>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</si>
  <si>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</si>
  <si>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</si>
  <si>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</si>
  <si>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</si>
  <si>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</si>
  <si>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</si>
  <si>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</si>
  <si>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</si>
  <si>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</si>
  <si>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</si>
  <si>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</si>
  <si>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</si>
  <si>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</si>
  <si>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</si>
  <si>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</si>
  <si>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</si>
  <si>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</si>
  <si>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</si>
  <si>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</si>
  <si>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</si>
  <si>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</si>
  <si>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</si>
  <si>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</si>
  <si>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</si>
  <si>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</si>
  <si>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</si>
  <si>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</si>
  <si>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</si>
  <si>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</si>
  <si>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</si>
  <si>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</si>
  <si>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</si>
  <si>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</si>
  <si>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</si>
  <si>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</si>
  <si>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</si>
  <si>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</si>
  <si>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</si>
  <si>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</si>
  <si>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</si>
  <si>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</si>
  <si>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</si>
  <si>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</si>
  <si>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</si>
  <si>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</si>
  <si>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</si>
  <si>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</si>
  <si>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</si>
  <si>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</si>
  <si>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</si>
  <si>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</si>
  <si>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</si>
  <si>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</si>
  <si>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</si>
  <si>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</si>
  <si>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</si>
  <si>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</si>
  <si>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</si>
  <si>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</si>
  <si>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</si>
  <si>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</si>
  <si>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</si>
  <si>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</si>
  <si>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</si>
  <si>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</si>
  <si>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</si>
  <si>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</si>
  <si>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</si>
  <si>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</si>
  <si>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</si>
  <si>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</si>
  <si>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</si>
  <si>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</si>
  <si>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</si>
  <si>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</si>
  <si>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</si>
  <si>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</si>
  <si>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</si>
  <si>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</si>
  <si>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</si>
  <si>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</si>
  <si>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</si>
  <si>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</si>
  <si>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</si>
  <si>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</si>
  <si>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</si>
  <si>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</si>
  <si>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</si>
  <si>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</si>
  <si>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</si>
  <si>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</si>
  <si>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</si>
  <si>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</si>
  <si>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</si>
  <si>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</si>
  <si>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</si>
  <si>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</si>
  <si>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</si>
  <si>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</si>
  <si>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</si>
  <si>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</si>
  <si>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</si>
  <si>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</si>
  <si>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</si>
  <si>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</si>
  <si>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</si>
  <si>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</si>
  <si>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</si>
  <si>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</si>
  <si>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</si>
  <si>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</si>
  <si>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</si>
  <si>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</si>
  <si>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</si>
  <si>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</si>
  <si>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</si>
  <si>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</si>
  <si>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</si>
  <si>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</si>
  <si>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</si>
  <si>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</si>
  <si>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</si>
  <si>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</si>
  <si>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</si>
  <si>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</si>
  <si>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</si>
  <si>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</si>
  <si>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</si>
  <si>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</si>
  <si>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</si>
  <si>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</si>
  <si>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</si>
  <si>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</si>
  <si>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</si>
  <si>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</si>
  <si>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</si>
  <si>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</si>
  <si>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</si>
  <si>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</si>
  <si>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</si>
  <si>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</si>
  <si>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</si>
  <si>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</si>
  <si>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</si>
  <si>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</si>
  <si>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</si>
  <si>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</si>
  <si>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</si>
  <si>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</si>
  <si>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</si>
  <si>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</si>
  <si>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</si>
  <si>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</si>
  <si>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</si>
  <si>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</si>
  <si>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</si>
  <si>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</si>
  <si>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</si>
  <si>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</si>
  <si>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</si>
  <si>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</si>
  <si>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</si>
  <si>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</si>
  <si>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</si>
  <si>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</si>
  <si>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</si>
  <si>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</si>
  <si>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</si>
  <si>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</si>
  <si>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</si>
  <si>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</si>
  <si>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</si>
  <si>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</si>
  <si>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</si>
  <si>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</si>
  <si>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</si>
  <si>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</si>
  <si>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</si>
  <si>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</si>
  <si>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</si>
  <si>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</si>
  <si>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</si>
  <si>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</si>
  <si>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</si>
  <si>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</si>
  <si>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</si>
  <si>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</si>
  <si>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</si>
  <si>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</si>
  <si>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</si>
  <si>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</si>
  <si>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</si>
  <si>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</si>
  <si>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</si>
  <si>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</si>
  <si>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</si>
  <si>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</si>
  <si>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</si>
  <si>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</si>
  <si>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</si>
  <si>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</si>
  <si>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</si>
  <si>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</si>
  <si>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</si>
  <si>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</si>
  <si>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</si>
  <si>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</si>
  <si>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</si>
  <si>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</si>
  <si>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</si>
  <si>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</si>
  <si>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</si>
  <si>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</si>
  <si>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</si>
  <si>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</si>
  <si>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</si>
  <si>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</si>
  <si>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</si>
  <si>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</si>
  <si>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</si>
  <si>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</si>
  <si>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</si>
  <si>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</si>
  <si>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</si>
  <si>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</si>
  <si>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</si>
  <si>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</si>
  <si>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</si>
  <si>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</si>
  <si>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</si>
  <si>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</si>
  <si>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</si>
  <si>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</si>
  <si>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</si>
  <si>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</si>
  <si>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</si>
  <si>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</si>
  <si>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</si>
  <si>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</si>
  <si>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</si>
  <si>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</si>
  <si>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</si>
  <si>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</si>
  <si>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</si>
  <si>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</si>
  <si>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</si>
  <si>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</si>
  <si>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</si>
  <si>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</si>
  <si>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</si>
  <si>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</si>
  <si>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</si>
  <si>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</si>
  <si>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</si>
  <si>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</si>
  <si>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</si>
  <si>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</si>
  <si>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</si>
  <si>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</si>
  <si>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</si>
  <si>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</si>
  <si>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</si>
  <si>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</si>
  <si>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</si>
  <si>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</si>
  <si>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</si>
  <si>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</si>
  <si>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</si>
  <si>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</si>
  <si>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</si>
  <si>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</si>
  <si>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</si>
  <si>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</si>
  <si>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</si>
  <si>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</si>
  <si>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</si>
  <si>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</si>
  <si>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</si>
  <si>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</si>
  <si>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</si>
  <si>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</si>
  <si>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</si>
  <si>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</si>
  <si>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</si>
  <si>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</si>
  <si>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</si>
  <si>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</si>
  <si>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</si>
  <si>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</si>
  <si>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</si>
  <si>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</si>
  <si>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</si>
  <si>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</si>
  <si>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</si>
  <si>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</si>
  <si>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</si>
  <si>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</si>
  <si>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</si>
  <si>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</si>
  <si>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</si>
  <si>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</si>
  <si>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</si>
  <si>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</si>
  <si>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</si>
  <si>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</si>
  <si>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</si>
  <si>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</si>
  <si>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</si>
  <si>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</si>
  <si>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</si>
  <si>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</si>
  <si>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</si>
  <si>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</si>
  <si>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</si>
  <si>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</si>
  <si>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</si>
  <si>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</si>
  <si>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</si>
  <si>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</si>
  <si>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</si>
  <si>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</si>
  <si>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</si>
  <si>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</si>
  <si>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</si>
  <si>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</si>
  <si>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</si>
  <si>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</si>
  <si>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</si>
  <si>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</si>
  <si>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</si>
  <si>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</si>
  <si>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</si>
  <si>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</si>
  <si>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</si>
  <si>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</si>
  <si>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</si>
  <si>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</si>
  <si>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</si>
  <si>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</si>
  <si>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</si>
  <si>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</si>
  <si>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</si>
  <si>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</si>
  <si>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</si>
  <si>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</si>
  <si>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</si>
  <si>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</si>
  <si>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</si>
  <si>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</si>
  <si>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</si>
  <si>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</si>
  <si>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</si>
  <si>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</si>
  <si>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</si>
  <si>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</si>
  <si>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</si>
  <si>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</si>
  <si>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</si>
  <si>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</si>
  <si>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</si>
  <si>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</si>
  <si>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</si>
  <si>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</si>
  <si>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</si>
  <si>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</si>
  <si>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</si>
  <si>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</si>
  <si>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</si>
  <si>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</si>
  <si>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</si>
  <si>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</si>
  <si>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</si>
  <si>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</si>
  <si>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</si>
  <si>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</si>
  <si>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</si>
  <si>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</si>
  <si>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</si>
  <si>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</si>
  <si>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</si>
  <si>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</si>
  <si>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</si>
  <si>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</si>
  <si>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</si>
  <si>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</si>
  <si>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</si>
  <si>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</si>
  <si>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</si>
  <si>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</si>
  <si>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</si>
  <si>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</si>
  <si>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</si>
  <si>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</si>
  <si>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</si>
  <si>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</si>
  <si>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</si>
  <si>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</si>
  <si>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</si>
  <si>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</si>
  <si>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</si>
  <si>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</si>
  <si>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</si>
  <si>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</si>
  <si>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</si>
  <si>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</si>
  <si>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</si>
  <si>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</si>
  <si>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</si>
  <si>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</si>
  <si>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</si>
  <si>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</si>
  <si>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</si>
  <si>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</si>
  <si>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</si>
  <si>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</si>
  <si>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</si>
  <si>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</si>
  <si>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</si>
  <si>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</si>
  <si>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</si>
  <si>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</si>
  <si>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</si>
  <si>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</si>
  <si>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</si>
  <si>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</si>
  <si>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</si>
  <si>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</si>
  <si>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</si>
  <si>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</si>
  <si>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</si>
  <si>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</si>
  <si>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</si>
  <si>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</si>
  <si>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</si>
  <si>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</si>
  <si>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</si>
  <si>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</si>
  <si>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</si>
  <si>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</si>
  <si>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</si>
  <si>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</si>
  <si>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</si>
  <si>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</si>
  <si>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</si>
  <si>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</si>
  <si>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</si>
  <si>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</si>
  <si>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</si>
  <si>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</si>
  <si>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</si>
  <si>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</si>
  <si>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</si>
  <si>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</si>
  <si>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</si>
  <si>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</si>
  <si>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</si>
  <si>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</si>
  <si>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</si>
  <si>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</si>
  <si>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</si>
  <si>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</si>
  <si>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</si>
  <si>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</si>
  <si>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</si>
  <si>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</si>
  <si>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</si>
  <si>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</si>
  <si>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</si>
  <si>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</si>
  <si>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</si>
  <si>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</si>
  <si>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</si>
  <si>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</si>
  <si>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</si>
  <si>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</si>
  <si>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</si>
  <si>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</si>
  <si>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</si>
  <si>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</si>
  <si>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</si>
  <si>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</si>
  <si>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</si>
  <si>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</si>
  <si>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</si>
  <si>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</si>
  <si>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</si>
  <si>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</si>
  <si>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</si>
  <si>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</si>
  <si>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</si>
  <si>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</si>
  <si>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</si>
  <si>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</si>
  <si>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</si>
  <si>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</si>
  <si>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</si>
  <si>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</si>
  <si>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</si>
  <si>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</si>
  <si>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</si>
  <si>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</si>
  <si>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</si>
  <si>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</si>
  <si>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</si>
  <si>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</si>
  <si>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</si>
  <si>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</si>
  <si>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</si>
  <si>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</si>
  <si>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</si>
  <si>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</si>
  <si>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</si>
  <si>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</si>
  <si>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</si>
  <si>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</si>
  <si>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</si>
  <si>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</si>
  <si>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</si>
  <si>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</si>
  <si>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</si>
  <si>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</si>
  <si>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</si>
  <si>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</si>
  <si>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</si>
  <si>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</si>
  <si>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</si>
  <si>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</si>
  <si>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</si>
  <si>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</si>
  <si>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</si>
  <si>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</si>
  <si>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</si>
  <si>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</si>
  <si>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</si>
  <si>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</si>
  <si>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</si>
  <si>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</si>
  <si>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</si>
  <si>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</si>
  <si>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</si>
  <si>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</si>
  <si>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</si>
  <si>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</si>
  <si>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</si>
  <si>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</si>
  <si>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</si>
  <si>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</si>
  <si>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</si>
  <si>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</si>
  <si>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</si>
  <si>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</si>
  <si>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</si>
  <si>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</si>
  <si>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</si>
  <si>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</si>
  <si>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</si>
  <si>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</si>
  <si>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</si>
  <si>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</si>
  <si>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</si>
  <si>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</si>
  <si>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</si>
  <si>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</si>
  <si>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</si>
  <si>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</si>
  <si>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</si>
  <si>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</si>
  <si>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</si>
  <si>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</si>
  <si>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</si>
  <si>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</si>
  <si>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</si>
  <si>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</si>
  <si>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</si>
  <si>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</si>
  <si>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</si>
  <si>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</si>
  <si>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</si>
  <si>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</si>
  <si>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</si>
  <si>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</si>
  <si>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</si>
  <si>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</si>
  <si>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</si>
  <si>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</si>
  <si>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</si>
  <si>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</si>
  <si>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</si>
  <si>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</si>
  <si>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</si>
  <si>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</si>
  <si>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</si>
  <si>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</si>
  <si>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</si>
  <si>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</si>
  <si>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</si>
  <si>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</si>
  <si>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</si>
  <si>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</si>
  <si>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</si>
  <si>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</si>
  <si>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</si>
  <si>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</si>
  <si>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</si>
  <si>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</si>
  <si>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</si>
  <si>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</si>
  <si>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</si>
  <si>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</si>
  <si>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</si>
  <si>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</si>
  <si>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</si>
  <si>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</si>
  <si>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</si>
  <si>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</si>
  <si>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</si>
  <si>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</si>
  <si>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</si>
  <si>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</si>
  <si>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</si>
  <si>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</si>
  <si>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</si>
  <si>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</si>
  <si>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</si>
  <si>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</si>
  <si>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</si>
  <si>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</si>
  <si>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</si>
  <si>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</si>
  <si>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</si>
  <si>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</si>
  <si>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</si>
  <si>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</si>
  <si>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</si>
  <si>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</si>
  <si>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</si>
  <si>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</si>
  <si>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</si>
  <si>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</si>
  <si>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</si>
  <si>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</si>
  <si>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</si>
  <si>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</si>
  <si>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</si>
  <si>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</si>
  <si>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</si>
  <si>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</si>
  <si>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</si>
  <si>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</si>
  <si>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</si>
  <si>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</si>
  <si>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</si>
  <si>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</si>
  <si>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</si>
  <si>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</si>
  <si>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</si>
  <si>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</si>
  <si>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</si>
  <si>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</si>
  <si>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</si>
  <si>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</si>
  <si>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</si>
  <si>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</si>
  <si>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</si>
  <si>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</si>
  <si>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</si>
  <si>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</si>
  <si>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</si>
  <si>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</si>
  <si>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</si>
  <si>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</si>
  <si>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</si>
  <si>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</si>
  <si>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</si>
  <si>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</si>
  <si>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</si>
  <si>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</si>
  <si>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</si>
  <si>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</si>
  <si>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</si>
  <si>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</si>
  <si>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</si>
  <si>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</si>
  <si>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</si>
  <si>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</si>
  <si>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</si>
  <si>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</si>
  <si>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</si>
  <si>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</si>
  <si>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</si>
  <si>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</si>
  <si>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</si>
  <si>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</si>
  <si>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</si>
  <si>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</si>
  <si>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</si>
  <si>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</si>
  <si>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</si>
  <si>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</si>
  <si>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</si>
  <si>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</si>
  <si>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</si>
  <si>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</si>
  <si>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</si>
  <si>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</si>
  <si>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</si>
  <si>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</si>
  <si>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</si>
  <si>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</si>
  <si>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</si>
  <si>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</si>
  <si>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</si>
  <si>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</si>
  <si>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</si>
  <si>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</si>
  <si>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</si>
  <si>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</si>
  <si>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</si>
  <si>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</si>
  <si>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</si>
  <si>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</si>
  <si>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</si>
  <si>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</si>
  <si>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</si>
  <si>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</si>
  <si>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</si>
  <si>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</si>
  <si>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</si>
  <si>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</si>
  <si>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</si>
  <si>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</si>
  <si>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</si>
  <si>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</si>
  <si>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</si>
  <si>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</si>
  <si>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</si>
  <si>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</si>
  <si>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</si>
  <si>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</si>
  <si>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</si>
  <si>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</si>
  <si>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</si>
  <si>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</si>
  <si>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</si>
  <si>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</si>
  <si>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</si>
  <si>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</si>
  <si>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</si>
  <si>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</si>
  <si>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</si>
  <si>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</si>
  <si>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</si>
  <si>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</si>
  <si>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</si>
  <si>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</si>
  <si>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</si>
  <si>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</si>
  <si>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</si>
  <si>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</si>
  <si>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</si>
  <si>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</si>
  <si>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</si>
  <si>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</si>
  <si>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</si>
  <si>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</si>
  <si>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</si>
  <si>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</si>
  <si>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</si>
  <si>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</si>
  <si>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</si>
  <si>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</si>
  <si>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</si>
  <si>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</si>
  <si>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</si>
  <si>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</si>
  <si>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</si>
  <si>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</si>
  <si>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</si>
  <si>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</si>
  <si>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</si>
  <si>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</si>
  <si>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</si>
  <si>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</si>
  <si>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</si>
  <si>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</si>
  <si>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</si>
  <si>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</si>
  <si>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</si>
  <si>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</si>
  <si>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</si>
  <si>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</si>
  <si>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</si>
  <si>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</si>
  <si>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</si>
  <si>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</si>
  <si>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</si>
  <si>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</si>
  <si>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</si>
  <si>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</si>
  <si>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</si>
  <si>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</si>
  <si>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</si>
  <si>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</si>
  <si>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</si>
  <si>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</si>
  <si>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</si>
  <si>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</si>
  <si>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</si>
  <si>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</si>
  <si>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</si>
  <si>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</si>
  <si>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</si>
  <si>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</si>
  <si>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</si>
  <si>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</si>
  <si>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</si>
  <si>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</si>
  <si>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</si>
  <si>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</si>
  <si>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</si>
  <si>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</si>
  <si>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</si>
  <si>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</si>
  <si>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</si>
  <si>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</si>
  <si>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</si>
  <si>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</si>
  <si>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</si>
  <si>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</si>
  <si>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</si>
  <si>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</si>
  <si>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</si>
  <si>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</si>
  <si>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</si>
  <si>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</si>
  <si>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</si>
  <si>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</si>
  <si>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</si>
  <si>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</si>
  <si>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</si>
  <si>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</si>
  <si>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</si>
  <si>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</si>
  <si>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</si>
  <si>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</si>
  <si>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</si>
  <si>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</si>
  <si>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</si>
  <si>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</si>
  <si>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</si>
  <si>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</si>
  <si>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</si>
  <si>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</si>
  <si>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</si>
  <si>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</si>
  <si>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</si>
  <si>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</si>
  <si>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</si>
  <si>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</si>
  <si>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</si>
  <si>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</si>
  <si>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</si>
  <si>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</si>
  <si>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</si>
  <si>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</si>
  <si>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</si>
  <si>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</si>
  <si>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</si>
  <si>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</si>
  <si>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</si>
  <si>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</si>
  <si>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</si>
  <si>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</si>
  <si>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</si>
  <si>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</si>
  <si>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</si>
  <si>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</si>
  <si>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</si>
  <si>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</si>
  <si>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</si>
  <si>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</si>
  <si>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</si>
  <si>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</si>
  <si>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</si>
  <si>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</si>
  <si>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</si>
  <si>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</si>
  <si>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</si>
  <si>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</si>
  <si>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</si>
  <si>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</si>
  <si>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</si>
  <si>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</si>
  <si>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</si>
  <si>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</si>
  <si>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</si>
  <si>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</si>
  <si>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</si>
  <si>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</si>
  <si>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</si>
  <si>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</si>
  <si>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</si>
  <si>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</si>
  <si>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</si>
  <si>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</si>
  <si>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</si>
  <si>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</si>
  <si>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</si>
  <si>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</si>
  <si>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</si>
  <si>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</si>
  <si>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</si>
  <si>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</si>
  <si>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</si>
  <si>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</si>
  <si>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</si>
  <si>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</si>
  <si>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</si>
  <si>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</si>
  <si>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</si>
  <si>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</si>
  <si>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</si>
  <si>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</si>
  <si>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</si>
  <si>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</si>
  <si>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</si>
  <si>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</si>
  <si>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</si>
  <si>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</si>
  <si>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</si>
  <si>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</si>
  <si>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</si>
  <si>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</si>
  <si>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</si>
  <si>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</si>
  <si>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</si>
  <si>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</si>
  <si>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</si>
  <si>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</si>
  <si>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</si>
  <si>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</si>
  <si>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</si>
  <si>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</si>
  <si>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</si>
  <si>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</si>
  <si>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</si>
  <si>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</si>
  <si>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</si>
  <si>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</si>
  <si>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</si>
  <si>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</si>
  <si>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</si>
  <si>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</si>
  <si>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</si>
  <si>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</si>
  <si>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</si>
  <si>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</si>
  <si>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</si>
  <si>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</si>
  <si>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</si>
  <si>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</si>
  <si>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</si>
  <si>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</si>
  <si>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</si>
  <si>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</si>
  <si>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</si>
  <si>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</si>
  <si>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</si>
  <si>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</si>
  <si>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</si>
  <si>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</si>
  <si>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</si>
  <si>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</si>
  <si>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</si>
  <si>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</si>
  <si>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</si>
  <si>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</si>
  <si>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</si>
  <si>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</si>
  <si>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</si>
  <si>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</si>
  <si>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</si>
  <si>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</si>
  <si>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</si>
  <si>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</si>
  <si>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</si>
  <si>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</si>
  <si>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</si>
  <si>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</si>
  <si>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</si>
  <si>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</si>
  <si>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</si>
  <si>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</si>
  <si>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</si>
  <si>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</si>
  <si>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</si>
  <si>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</si>
  <si>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</si>
  <si>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</si>
  <si>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</si>
  <si>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</si>
  <si>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</si>
  <si>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</si>
  <si>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</si>
  <si>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</si>
  <si>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</si>
  <si>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</si>
  <si>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</si>
  <si>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</si>
  <si>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</si>
  <si>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</si>
  <si>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</si>
  <si>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</si>
  <si>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</si>
  <si>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</si>
  <si>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</si>
  <si>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</si>
  <si>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</si>
  <si>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</si>
  <si>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</si>
  <si>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</si>
  <si>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</si>
  <si>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</si>
  <si>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</si>
  <si>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</si>
  <si>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</si>
  <si>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</si>
  <si>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</si>
  <si>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</si>
  <si>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</si>
  <si>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</si>
  <si>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</si>
  <si>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</si>
  <si>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</si>
  <si>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</si>
  <si>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</si>
  <si>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</si>
  <si>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</si>
  <si>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</si>
  <si>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</si>
  <si>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</si>
  <si>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</si>
  <si>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</si>
  <si>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</si>
  <si>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</si>
  <si>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</si>
  <si>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</si>
  <si>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</si>
  <si>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</si>
  <si>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</si>
  <si>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</si>
  <si>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</si>
  <si>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</si>
  <si>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</si>
  <si>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</si>
  <si>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</si>
  <si>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</si>
  <si>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</si>
  <si>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</si>
  <si>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</si>
  <si>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</si>
  <si>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</si>
  <si>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</si>
  <si>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</si>
  <si>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</si>
  <si>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</si>
  <si>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</si>
  <si>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</si>
  <si>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</si>
  <si>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</si>
  <si>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</si>
  <si>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</si>
  <si>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</si>
  <si>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</si>
  <si>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</si>
  <si>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</si>
  <si>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</si>
  <si>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</si>
  <si>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</si>
  <si>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</si>
  <si>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</si>
  <si>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</si>
  <si>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</si>
  <si>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</si>
  <si>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</si>
  <si>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</si>
  <si>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</si>
  <si>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</si>
  <si>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</si>
  <si>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</si>
  <si>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</si>
  <si>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</si>
  <si>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</si>
  <si>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</si>
  <si>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</si>
  <si>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</si>
  <si>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</si>
  <si>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</si>
  <si>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</si>
  <si>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</si>
  <si>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</si>
  <si>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</si>
  <si>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</si>
  <si>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</si>
  <si>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</si>
  <si>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</si>
  <si>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</si>
  <si>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</si>
  <si>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</si>
  <si>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</si>
  <si>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</si>
  <si>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</si>
  <si>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</si>
  <si>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</si>
  <si>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</si>
  <si>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</si>
  <si>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</si>
  <si>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</si>
  <si>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</si>
  <si>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</si>
  <si>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</si>
  <si>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</si>
  <si>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</si>
  <si>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</si>
  <si>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</si>
  <si>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</si>
  <si>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</si>
  <si>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</si>
  <si>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</si>
  <si>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</si>
  <si>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</si>
  <si>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</si>
  <si>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</si>
  <si>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</si>
  <si>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</si>
  <si>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</si>
  <si>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</si>
  <si>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</si>
  <si>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</si>
  <si>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</si>
  <si>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</si>
  <si>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</si>
  <si>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</si>
  <si>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</si>
  <si>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</si>
  <si>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</si>
  <si>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</si>
  <si>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</si>
  <si>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</si>
  <si>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</si>
  <si>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</si>
  <si>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</si>
  <si>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</si>
  <si>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</si>
  <si>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</si>
  <si>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</si>
  <si>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</si>
  <si>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</si>
  <si>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</si>
  <si>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</si>
  <si>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</si>
  <si>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</si>
  <si>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</si>
  <si>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</si>
  <si>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</si>
  <si>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</si>
  <si>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</si>
  <si>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</si>
  <si>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</si>
  <si>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</si>
  <si>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</si>
  <si>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</si>
  <si>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</si>
  <si>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</si>
  <si>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</si>
  <si>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</si>
  <si>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</si>
  <si>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</si>
  <si>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</si>
  <si>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</si>
  <si>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</si>
  <si>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</si>
  <si>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</si>
  <si>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</si>
  <si>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</si>
  <si>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</si>
  <si>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</si>
  <si>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</si>
  <si>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</si>
  <si>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</si>
  <si>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</si>
  <si>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</si>
  <si>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</si>
  <si>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</si>
  <si>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</si>
  <si>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</si>
  <si>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</si>
  <si>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</si>
  <si>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</si>
  <si>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</si>
  <si>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</si>
  <si>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</si>
  <si>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</si>
  <si>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</si>
  <si>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</si>
  <si>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</si>
  <si>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</si>
  <si>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</si>
  <si>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</si>
  <si>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</si>
  <si>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</si>
  <si>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</si>
  <si>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</si>
  <si>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</si>
  <si>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</si>
  <si>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</si>
  <si>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</si>
  <si>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</si>
  <si>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</si>
  <si>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</si>
  <si>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</si>
  <si>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</si>
  <si>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</si>
  <si>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</si>
  <si>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</si>
  <si>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</si>
  <si>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</si>
  <si>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</si>
  <si>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</si>
  <si>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</si>
  <si>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</si>
  <si>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</si>
  <si>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</si>
  <si>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</si>
  <si>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</si>
  <si>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</si>
  <si>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</si>
  <si>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</si>
  <si>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</si>
  <si>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</si>
  <si>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</si>
  <si>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</si>
  <si>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</si>
  <si>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</si>
  <si>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</si>
  <si>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</si>
  <si>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</si>
  <si>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</si>
  <si>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</si>
  <si>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</si>
  <si>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</si>
  <si>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</si>
  <si>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</si>
  <si>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</si>
  <si>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</si>
  <si>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</si>
  <si>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</si>
  <si>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</si>
  <si>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</si>
  <si>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</si>
  <si>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</si>
  <si>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</si>
  <si>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</si>
  <si>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</si>
  <si>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</si>
  <si>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</si>
  <si>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</si>
  <si>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</si>
  <si>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</si>
  <si>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</si>
  <si>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</si>
  <si>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</si>
  <si>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</si>
  <si>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</si>
  <si>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</si>
  <si>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</si>
  <si>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</si>
  <si>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</si>
  <si>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</si>
  <si>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</si>
  <si>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</si>
  <si>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</si>
  <si>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</si>
  <si>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</si>
  <si>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</si>
  <si>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</si>
  <si>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</si>
  <si>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</si>
  <si>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</si>
  <si>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</si>
  <si>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</si>
  <si>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</si>
  <si>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</si>
  <si>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</si>
  <si>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</si>
  <si>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</si>
  <si>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</si>
  <si>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</si>
  <si>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</si>
  <si>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</si>
  <si>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</si>
  <si>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</si>
  <si>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</si>
  <si>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</si>
  <si>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</si>
  <si>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</si>
  <si>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</si>
  <si>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</si>
  <si>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</si>
  <si>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</si>
  <si>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</si>
  <si>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</si>
  <si>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</si>
  <si>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</si>
  <si>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</si>
  <si>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</si>
  <si>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</si>
  <si>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</si>
  <si>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</si>
  <si>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</si>
  <si>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</si>
  <si>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</si>
  <si>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</si>
  <si>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</si>
  <si>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</si>
  <si>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</si>
  <si>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</si>
  <si>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</si>
  <si>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</si>
  <si>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</si>
  <si>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</si>
  <si>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</si>
  <si>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</si>
  <si>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</si>
  <si>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</si>
  <si>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</si>
  <si>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</si>
  <si>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</si>
  <si>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</si>
  <si>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</si>
  <si>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</si>
  <si>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</si>
  <si>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</si>
  <si>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</si>
  <si>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</si>
  <si>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</si>
  <si>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</si>
  <si>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</si>
  <si>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</si>
  <si>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</si>
  <si>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</si>
  <si>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</si>
  <si>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</si>
  <si>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</si>
  <si>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</si>
  <si>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</si>
  <si>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</si>
  <si>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</si>
  <si>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</si>
  <si>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</si>
  <si>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</si>
  <si>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</si>
  <si>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</si>
  <si>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</si>
  <si>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</si>
  <si>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</si>
  <si>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</si>
  <si>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</si>
  <si>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</si>
  <si>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</si>
  <si>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</si>
  <si>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</si>
  <si>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</si>
  <si>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</si>
  <si>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</si>
  <si>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</si>
  <si>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</si>
  <si>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</si>
  <si>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</si>
  <si>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</si>
  <si>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</si>
  <si>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</si>
  <si>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</si>
  <si>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</si>
  <si>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</si>
  <si>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</si>
  <si>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</si>
  <si>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</si>
  <si>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</si>
  <si>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</si>
  <si>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</si>
  <si>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</si>
  <si>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</si>
  <si>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</si>
  <si>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</si>
  <si>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</si>
  <si>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</si>
  <si>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</si>
  <si>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</si>
  <si>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</si>
  <si>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</si>
  <si>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</si>
  <si>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</si>
  <si>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</si>
  <si>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</si>
  <si>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</si>
  <si>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</si>
  <si>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</si>
  <si>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</si>
  <si>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</si>
  <si>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</si>
  <si>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</si>
  <si>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</si>
  <si>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</si>
  <si>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</si>
  <si>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</si>
  <si>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</si>
  <si>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</si>
  <si>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</si>
  <si>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</si>
  <si>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</si>
  <si>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</si>
  <si>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</si>
  <si>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</si>
  <si>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</si>
  <si>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</si>
  <si>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</si>
  <si>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</si>
  <si>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</si>
  <si>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</si>
  <si>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</si>
  <si>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</si>
  <si>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</si>
  <si>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</si>
  <si>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</si>
  <si>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</si>
  <si>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</si>
  <si>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</si>
  <si>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</si>
  <si>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</si>
  <si>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</si>
  <si>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</si>
  <si>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</si>
  <si>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</si>
  <si>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</si>
  <si>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</si>
  <si>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</si>
  <si>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</si>
  <si>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</si>
  <si>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</si>
  <si>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</si>
  <si>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</si>
  <si>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</si>
  <si>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</si>
  <si>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</si>
  <si>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</si>
  <si>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</si>
  <si>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</si>
  <si>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</si>
  <si>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</si>
  <si>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</si>
  <si>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</si>
  <si>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</si>
  <si>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</si>
  <si>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</si>
  <si>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</si>
  <si>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</si>
  <si>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</si>
  <si>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</si>
  <si>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</si>
  <si>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</si>
  <si>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</si>
  <si>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</si>
  <si>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</si>
  <si>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</si>
  <si>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</si>
  <si>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</si>
  <si>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</si>
  <si>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</si>
  <si>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</si>
  <si>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</si>
  <si>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</si>
  <si>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</si>
  <si>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</si>
  <si>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</si>
  <si>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</si>
  <si>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</si>
  <si>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</si>
  <si>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</si>
  <si>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</si>
  <si>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</si>
  <si>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</si>
  <si>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</si>
  <si>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</si>
  <si>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</si>
  <si>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</si>
  <si>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</si>
  <si>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</si>
  <si>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</si>
  <si>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</si>
  <si>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</si>
  <si>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</si>
  <si>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</si>
  <si>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</si>
  <si>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</si>
  <si>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</si>
  <si>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</si>
  <si>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</si>
  <si>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</si>
  <si>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</si>
  <si>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</si>
  <si>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</si>
  <si>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</si>
  <si>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</si>
  <si>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</si>
  <si>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</si>
  <si>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</si>
  <si>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</si>
  <si>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</si>
  <si>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</si>
  <si>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</si>
  <si>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</si>
  <si>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</si>
  <si>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</si>
  <si>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</si>
  <si>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</si>
  <si>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</si>
  <si>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</si>
  <si>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</si>
  <si>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</si>
  <si>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</si>
  <si>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</si>
  <si>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</si>
  <si>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</si>
  <si>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</si>
  <si>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</si>
  <si>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</si>
  <si>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</si>
  <si>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</si>
  <si>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</si>
  <si>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</si>
  <si>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</si>
  <si>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</si>
  <si>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</si>
  <si>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</si>
  <si>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</si>
  <si>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</si>
  <si>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</si>
  <si>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</si>
  <si>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</si>
  <si>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</si>
  <si>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</si>
  <si>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</si>
  <si>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</si>
  <si>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</si>
  <si>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</si>
  <si>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</si>
  <si>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</si>
  <si>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</si>
  <si>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</si>
  <si>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</si>
  <si>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</si>
  <si>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</si>
  <si>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</si>
  <si>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</si>
  <si>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</si>
  <si>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</si>
  <si>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</si>
  <si>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</si>
  <si>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</si>
  <si>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</si>
  <si>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</si>
  <si>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</si>
  <si>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</si>
  <si>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</si>
  <si>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</si>
  <si>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</si>
  <si>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</si>
  <si>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</si>
  <si>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</si>
  <si>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</si>
  <si>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</si>
  <si>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</si>
  <si>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</si>
  <si>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</si>
  <si>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</si>
  <si>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</si>
  <si>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</si>
  <si>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</si>
  <si>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</si>
  <si>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</si>
  <si>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</si>
  <si>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</si>
  <si>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</si>
  <si>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</si>
  <si>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</si>
  <si>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</si>
  <si>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</si>
  <si>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</si>
  <si>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</si>
  <si>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</si>
  <si>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</si>
  <si>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</si>
  <si>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</si>
  <si>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</si>
  <si>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</si>
  <si>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</si>
  <si>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</si>
  <si>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</si>
  <si>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</si>
  <si>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</si>
  <si>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</si>
  <si>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</si>
  <si>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</si>
  <si>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</si>
  <si>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</si>
  <si>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</si>
  <si>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</si>
  <si>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</si>
  <si>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</si>
  <si>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</si>
  <si>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</si>
  <si>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</si>
  <si>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</si>
  <si>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</si>
  <si>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</si>
  <si>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</si>
  <si>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</si>
  <si>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</si>
  <si>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</si>
  <si>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</si>
  <si>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</si>
  <si>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</si>
  <si>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</si>
  <si>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</si>
  <si>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</si>
  <si>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</si>
  <si>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</si>
  <si>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</si>
  <si>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</si>
  <si>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</si>
  <si>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</si>
  <si>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</si>
  <si>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</si>
  <si>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</si>
  <si>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</si>
  <si>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</si>
  <si>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</si>
  <si>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</si>
  <si>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</si>
  <si>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</si>
  <si>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</si>
  <si>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</si>
  <si>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</si>
  <si>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</si>
  <si>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</si>
  <si>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</si>
  <si>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</si>
  <si>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</si>
  <si>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</si>
  <si>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</si>
  <si>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</si>
  <si>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</si>
  <si>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</si>
  <si>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</si>
  <si>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</si>
  <si>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</si>
  <si>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</si>
  <si>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</si>
  <si>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</si>
  <si>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</si>
  <si>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</si>
  <si>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</si>
  <si>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</si>
  <si>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</si>
  <si>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</si>
  <si>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</si>
  <si>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</si>
  <si>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</si>
  <si>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</si>
  <si>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</si>
  <si>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</si>
  <si>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</si>
  <si>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</si>
  <si>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</si>
  <si>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</si>
  <si>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</si>
  <si>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</si>
  <si>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</si>
  <si>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</si>
  <si>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</si>
  <si>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</si>
  <si>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</si>
  <si>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</si>
  <si>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</si>
  <si>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</si>
  <si>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</si>
  <si>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</si>
  <si>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</si>
  <si>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</si>
  <si>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</si>
  <si>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</si>
  <si>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</si>
  <si>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</si>
  <si>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</si>
  <si>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</si>
  <si>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</si>
  <si>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</si>
  <si>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</si>
  <si>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</si>
  <si>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</si>
  <si>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</si>
  <si>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</si>
  <si>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</si>
  <si>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</si>
  <si>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</si>
  <si>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</si>
  <si>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</si>
  <si>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</si>
  <si>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</si>
  <si>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</si>
  <si>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</si>
  <si>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</si>
  <si>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</si>
  <si>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</si>
  <si>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</si>
  <si>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</si>
  <si>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</si>
  <si>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</si>
  <si>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</si>
  <si>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</si>
  <si>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</si>
  <si>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</si>
  <si>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</si>
  <si>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</si>
  <si>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</si>
  <si>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</si>
  <si>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</si>
  <si>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</si>
  <si>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</si>
  <si>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</si>
  <si>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</si>
  <si>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</si>
  <si>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</si>
  <si>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</si>
  <si>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</si>
  <si>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</si>
  <si>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</si>
  <si>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</si>
  <si>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</si>
  <si>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</si>
  <si>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</si>
  <si>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</si>
  <si>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</si>
  <si>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</si>
  <si>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</si>
  <si>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</si>
  <si>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</si>
  <si>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</si>
  <si>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</si>
  <si>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</si>
  <si>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</si>
  <si>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</si>
  <si>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</si>
  <si>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</si>
  <si>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</si>
  <si>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</si>
  <si>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</si>
  <si>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</si>
  <si>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</si>
  <si>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</si>
  <si>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</si>
  <si>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</si>
  <si>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</si>
  <si>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</si>
  <si>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</si>
  <si>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</si>
  <si>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</si>
  <si>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</si>
  <si>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</si>
  <si>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</si>
  <si>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</si>
  <si>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</si>
  <si>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</si>
  <si>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</si>
  <si>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</si>
  <si>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</si>
  <si>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</si>
  <si>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</si>
  <si>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</si>
  <si>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</si>
  <si>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</si>
  <si>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</si>
  <si>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</si>
  <si>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</si>
  <si>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</si>
  <si>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</si>
  <si>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</si>
  <si>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</si>
  <si>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</si>
  <si>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</si>
  <si>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</si>
  <si>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</si>
  <si>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</si>
  <si>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</si>
  <si>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</si>
  <si>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</si>
  <si>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</si>
  <si>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</si>
  <si>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</si>
  <si>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</si>
  <si>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</si>
  <si>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</si>
  <si>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</si>
  <si>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</si>
  <si>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</si>
  <si>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</si>
  <si>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</si>
  <si>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</si>
  <si>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</si>
  <si>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</si>
  <si>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</si>
  <si>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</si>
  <si>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</si>
  <si>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</si>
  <si>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</si>
  <si>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</si>
  <si>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</si>
  <si>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</si>
  <si>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</si>
  <si>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</si>
  <si>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</si>
  <si>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</si>
  <si>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</si>
  <si>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</si>
  <si>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</si>
  <si>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</si>
  <si>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</si>
  <si>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</si>
  <si>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</si>
  <si>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</si>
  <si>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</si>
  <si>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</si>
  <si>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</si>
  <si>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</si>
  <si>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</si>
  <si>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</si>
  <si>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</si>
  <si>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</si>
  <si>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</si>
  <si>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</si>
  <si>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</si>
  <si>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</si>
  <si>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</si>
  <si>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</si>
  <si>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</si>
  <si>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</si>
  <si>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</si>
  <si>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</si>
  <si>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</si>
  <si>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</si>
  <si>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</si>
  <si>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</si>
  <si>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</si>
  <si>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</si>
  <si>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</si>
  <si>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</si>
  <si>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</si>
  <si>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</si>
  <si>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</si>
  <si>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</si>
  <si>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</si>
  <si>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</si>
  <si>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</si>
  <si>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</si>
  <si>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</si>
  <si>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</si>
  <si>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</si>
  <si>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</si>
  <si>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</si>
  <si>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</si>
  <si>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</si>
  <si>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</si>
  <si>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</si>
  <si>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</si>
  <si>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</si>
  <si>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</si>
  <si>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</si>
  <si>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</si>
  <si>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</si>
  <si>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</si>
  <si>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</si>
  <si>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</si>
  <si>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</si>
  <si>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</si>
  <si>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</si>
  <si>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</si>
  <si>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</si>
  <si>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</si>
  <si>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</si>
  <si>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</si>
  <si>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</si>
  <si>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</si>
  <si>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</si>
  <si>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</si>
  <si>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</si>
  <si>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</si>
  <si>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</si>
  <si>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</si>
  <si>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</si>
  <si>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</si>
  <si>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</si>
  <si>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</si>
  <si>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</si>
  <si>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</si>
  <si>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</si>
  <si>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</si>
  <si>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</si>
  <si>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</si>
  <si>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</si>
  <si>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</si>
  <si>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</si>
  <si>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</si>
  <si>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</si>
  <si>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</si>
  <si>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</si>
  <si>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</si>
  <si>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</si>
  <si>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</si>
  <si>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</si>
  <si>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</si>
  <si>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</si>
  <si>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</si>
  <si>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</si>
  <si>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</si>
  <si>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</si>
  <si>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</si>
  <si>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</si>
  <si>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</si>
  <si>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</si>
  <si>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</si>
  <si>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</si>
  <si>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</si>
  <si>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</si>
  <si>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</si>
  <si>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</si>
  <si>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</si>
  <si>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</si>
  <si>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</si>
  <si>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</si>
  <si>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</si>
  <si>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</si>
  <si>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</si>
  <si>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</si>
  <si>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</si>
  <si>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</si>
  <si>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</si>
  <si>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</si>
  <si>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</si>
  <si>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</si>
  <si>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</si>
  <si>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</si>
  <si>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</si>
  <si>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</si>
  <si>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</si>
  <si>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</si>
  <si>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</si>
  <si>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</si>
  <si>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</si>
  <si>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</si>
  <si>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</si>
  <si>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</si>
  <si>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</si>
  <si>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</si>
  <si>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</si>
  <si>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</si>
  <si>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</si>
  <si>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</si>
  <si>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</si>
  <si>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</si>
  <si>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</si>
  <si>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</si>
  <si>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</si>
  <si>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</si>
  <si>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</si>
  <si>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</si>
  <si>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</si>
  <si>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</si>
  <si>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</si>
  <si>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</si>
  <si>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</si>
  <si>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</si>
  <si>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</si>
  <si>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</si>
  <si>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</si>
  <si>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</si>
  <si>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</si>
  <si>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</si>
  <si>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</si>
  <si>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</si>
  <si>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</si>
  <si>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</si>
  <si>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</si>
  <si>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</si>
  <si>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</si>
  <si>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</si>
  <si>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</si>
  <si>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</si>
  <si>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</si>
  <si>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</si>
  <si>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</si>
  <si>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</si>
  <si>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</si>
  <si>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</si>
  <si>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</si>
  <si>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</si>
  <si>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</si>
  <si>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</si>
  <si>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</si>
  <si>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</si>
  <si>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</si>
  <si>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</si>
  <si>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</si>
  <si>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</si>
  <si>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</si>
  <si>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</si>
  <si>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</si>
  <si>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</si>
  <si>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</si>
  <si>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</si>
  <si>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</si>
  <si>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</si>
  <si>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</si>
  <si>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</si>
  <si>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</si>
  <si>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</si>
  <si>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</si>
  <si>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</si>
  <si>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</si>
  <si>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</si>
  <si>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</si>
  <si>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</si>
  <si>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</si>
  <si>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</si>
  <si>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</si>
  <si>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</si>
  <si>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</si>
  <si>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</si>
  <si>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</si>
  <si>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</si>
  <si>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</si>
  <si>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</si>
  <si>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</si>
  <si>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</si>
  <si>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</si>
  <si>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</si>
  <si>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</si>
  <si>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</si>
  <si>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</si>
  <si>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</si>
  <si>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</si>
  <si>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</si>
  <si>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</si>
  <si>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</si>
  <si>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</si>
  <si>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</si>
  <si>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</si>
  <si>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</si>
  <si>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</si>
  <si>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</si>
  <si>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</si>
  <si>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</si>
  <si>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</si>
  <si>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</si>
  <si>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</si>
  <si>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</si>
  <si>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</si>
  <si>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</si>
  <si>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</si>
  <si>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</si>
  <si>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</si>
  <si>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</si>
  <si>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</si>
  <si>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</si>
  <si>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</si>
  <si>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</si>
  <si>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</si>
  <si>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</si>
  <si>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</si>
  <si>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</si>
  <si>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</si>
  <si>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</si>
  <si>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</si>
  <si>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</si>
  <si>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</si>
  <si>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</si>
  <si>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</si>
  <si>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</si>
  <si>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</si>
  <si>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</si>
  <si>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</si>
  <si>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</si>
  <si>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</si>
  <si>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</si>
  <si>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</si>
  <si>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</si>
  <si>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</si>
  <si>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</si>
  <si>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</si>
  <si>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</si>
  <si>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</si>
  <si>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</si>
  <si>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</si>
  <si>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</si>
  <si>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</si>
  <si>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</si>
  <si>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</si>
  <si>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</si>
  <si>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</si>
  <si>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</si>
  <si>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</si>
  <si>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</si>
  <si>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</si>
  <si>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</si>
  <si>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</si>
  <si>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</si>
  <si>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</si>
  <si>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</si>
  <si>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</si>
  <si>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</si>
  <si>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</si>
  <si>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</si>
  <si>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</si>
  <si>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</si>
  <si>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</si>
  <si>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</si>
  <si>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</si>
  <si>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</si>
  <si>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</si>
  <si>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</si>
  <si>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</si>
  <si>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</si>
  <si>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</si>
  <si>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</si>
  <si>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</si>
  <si>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</si>
  <si>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</si>
  <si>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</si>
  <si>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</si>
  <si>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</si>
  <si>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</si>
  <si>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</si>
  <si>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</si>
  <si>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</si>
  <si>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</si>
  <si>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</si>
  <si>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</si>
  <si>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</si>
  <si>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</si>
  <si>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</si>
  <si>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</si>
  <si>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</si>
  <si>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</si>
  <si>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</si>
  <si>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</si>
  <si>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</si>
  <si>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</si>
  <si>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</si>
  <si>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</si>
  <si>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</si>
  <si>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</si>
  <si>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</si>
  <si>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</si>
  <si>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</si>
  <si>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</si>
  <si>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</si>
  <si>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</si>
  <si>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</si>
  <si>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</si>
  <si>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</si>
  <si>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</si>
  <si>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</si>
  <si>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</si>
  <si>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</si>
  <si>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</si>
  <si>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</si>
  <si>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</si>
  <si>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</si>
  <si>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</si>
  <si>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</si>
  <si>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</si>
  <si>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</si>
  <si>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</si>
  <si>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</si>
  <si>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</si>
  <si>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</si>
  <si>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</si>
  <si>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</si>
  <si>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</si>
  <si>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</si>
  <si>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</si>
  <si>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</si>
  <si>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</si>
  <si>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</si>
  <si>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</si>
  <si>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</si>
  <si>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</si>
  <si>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</si>
  <si>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</si>
  <si>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</si>
  <si>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</si>
  <si>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</si>
  <si>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</si>
  <si>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</si>
  <si>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</si>
  <si>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</si>
  <si>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</si>
  <si>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</si>
  <si>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</si>
  <si>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</si>
  <si>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</si>
  <si>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</si>
  <si>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</si>
  <si>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</si>
  <si>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</si>
  <si>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</si>
  <si>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</si>
  <si>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</si>
  <si>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</si>
  <si>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</si>
  <si>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</si>
  <si>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</si>
  <si>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</si>
  <si>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</si>
  <si>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</si>
  <si>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</si>
  <si>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</si>
  <si>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</si>
  <si>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</si>
  <si>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</si>
  <si>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</si>
  <si>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</si>
  <si>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</si>
  <si>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</si>
  <si>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</si>
  <si>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</si>
  <si>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</si>
  <si>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</si>
  <si>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</si>
  <si>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</si>
  <si>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</si>
  <si>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</si>
  <si>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</si>
  <si>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</si>
  <si>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</si>
  <si>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</si>
  <si>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</si>
  <si>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</si>
  <si>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</si>
  <si>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</si>
  <si>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</si>
  <si>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</si>
  <si>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</si>
  <si>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</si>
  <si>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</si>
  <si>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</si>
  <si>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</si>
  <si>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</si>
  <si>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</si>
  <si>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</si>
  <si>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</si>
  <si>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</si>
  <si>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</si>
  <si>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</si>
  <si>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</si>
  <si>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</si>
  <si>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</si>
  <si>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</si>
  <si>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</si>
  <si>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</si>
  <si>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</si>
  <si>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</si>
  <si>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</si>
  <si>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</si>
  <si>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</si>
  <si>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</si>
  <si>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</si>
  <si>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</si>
  <si>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</si>
  <si>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</si>
  <si>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</si>
  <si>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</si>
  <si>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</si>
  <si>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</si>
  <si>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</si>
  <si>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</si>
  <si>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</si>
  <si>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</si>
  <si>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</si>
  <si>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</si>
  <si>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</si>
  <si>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</si>
  <si>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</si>
  <si>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</si>
  <si>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</si>
  <si>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</si>
  <si>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</si>
  <si>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</si>
  <si>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</si>
  <si>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</si>
  <si>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</si>
  <si>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</si>
  <si>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</si>
  <si>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</si>
  <si>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</si>
  <si>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</si>
  <si>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</si>
  <si>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</si>
  <si>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</si>
  <si>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</si>
  <si>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</si>
  <si>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</si>
  <si>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</si>
  <si>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</si>
  <si>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</si>
  <si>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</si>
  <si>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</si>
  <si>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</si>
  <si>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</si>
  <si>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</si>
  <si>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</si>
  <si>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</si>
  <si>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</si>
  <si>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</si>
  <si>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</si>
  <si>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</si>
  <si>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</si>
  <si>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</si>
  <si>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</si>
  <si>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</si>
  <si>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</si>
  <si>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</si>
  <si>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</si>
  <si>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</si>
  <si>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</si>
  <si>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</si>
  <si>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</si>
  <si>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</si>
  <si>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</si>
  <si>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</si>
  <si>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</si>
  <si>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</si>
  <si>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</si>
  <si>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</si>
  <si>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</si>
  <si>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</si>
  <si>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</si>
  <si>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</si>
  <si>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</si>
  <si>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</si>
  <si>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</si>
  <si>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</si>
  <si>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</si>
  <si>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</si>
  <si>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</si>
  <si>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</si>
  <si>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</si>
  <si>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</si>
  <si>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</si>
  <si>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</si>
  <si>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</si>
  <si>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</si>
  <si>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</si>
  <si>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</si>
  <si>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</si>
  <si>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</si>
  <si>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</si>
  <si>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</si>
  <si>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</si>
  <si>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</si>
  <si>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</si>
  <si>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</si>
  <si>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</si>
  <si>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</si>
  <si>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</si>
  <si>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</si>
  <si>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</si>
  <si>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</si>
  <si>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</si>
  <si>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</si>
  <si>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</si>
  <si>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</si>
  <si>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</si>
  <si>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</si>
  <si>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</si>
  <si>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</si>
  <si>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</si>
  <si>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</si>
  <si>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</si>
  <si>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</si>
  <si>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</si>
  <si>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</si>
  <si>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</si>
  <si>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</si>
  <si>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</si>
  <si>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</si>
  <si>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</si>
  <si>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</si>
  <si>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</si>
  <si>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</si>
  <si>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</si>
  <si>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</si>
  <si>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</si>
  <si>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</si>
  <si>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</si>
  <si>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</si>
  <si>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</si>
  <si>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</si>
  <si>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</si>
  <si>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</si>
  <si>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</si>
  <si>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</si>
  <si>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</si>
  <si>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</si>
  <si>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</si>
  <si>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</si>
  <si>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</si>
  <si>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</si>
  <si>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</si>
  <si>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</si>
  <si>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</si>
  <si>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</si>
  <si>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</si>
  <si>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</si>
  <si>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</si>
  <si>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</si>
  <si>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</si>
  <si>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</si>
  <si>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</si>
  <si>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</si>
  <si>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</si>
  <si>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</si>
  <si>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</si>
  <si>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</si>
  <si>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</si>
  <si>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</si>
  <si>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</si>
  <si>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</si>
  <si>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</si>
  <si>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</si>
  <si>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</si>
  <si>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</si>
  <si>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</si>
  <si>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</si>
  <si>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</si>
  <si>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</si>
  <si>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</si>
  <si>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</si>
  <si>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</si>
  <si>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</si>
  <si>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</si>
  <si>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</si>
  <si>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</si>
  <si>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</si>
  <si>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</si>
  <si>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</si>
  <si>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</si>
  <si>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</si>
  <si>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</si>
  <si>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</si>
  <si>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</si>
  <si>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</si>
  <si>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</si>
  <si>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</si>
  <si>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</si>
  <si>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</si>
  <si>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</si>
  <si>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</si>
  <si>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</si>
  <si>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</si>
  <si>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</si>
  <si>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</si>
  <si>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</si>
  <si>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</si>
  <si>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</si>
  <si>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</si>
  <si>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</si>
  <si>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</si>
  <si>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</si>
  <si>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</si>
  <si>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</si>
  <si>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</si>
  <si>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</si>
  <si>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</si>
  <si>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</si>
  <si>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</si>
  <si>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</si>
  <si>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</si>
  <si>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</si>
  <si>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</si>
  <si>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</si>
  <si>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</si>
  <si>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</si>
  <si>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</si>
  <si>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</si>
  <si>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</si>
  <si>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</si>
  <si>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</si>
  <si>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</si>
  <si>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</si>
  <si>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</si>
  <si>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</si>
  <si>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</si>
  <si>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</si>
  <si>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</si>
  <si>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</si>
  <si>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</si>
  <si>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</si>
  <si>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</si>
  <si>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</si>
  <si>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</si>
  <si>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</si>
  <si>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</si>
  <si>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</si>
  <si>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</si>
  <si>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</si>
  <si>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</si>
  <si>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</si>
  <si>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</si>
  <si>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</si>
  <si>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</si>
  <si>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</si>
  <si>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</si>
  <si>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</si>
  <si>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</si>
  <si>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</si>
  <si>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</si>
  <si>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</si>
  <si>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</si>
  <si>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</si>
  <si>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</si>
  <si>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</si>
  <si>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</si>
  <si>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</si>
  <si>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</si>
  <si>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</si>
  <si>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</si>
  <si>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</si>
  <si>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</si>
  <si>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</si>
  <si>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</si>
  <si>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</si>
  <si>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</si>
  <si>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</si>
  <si>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</si>
  <si>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</si>
  <si>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</si>
  <si>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</si>
  <si>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</si>
  <si>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</si>
  <si>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</si>
  <si>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</si>
  <si>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</si>
  <si>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</si>
  <si>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</si>
  <si>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</si>
  <si>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</si>
  <si>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</si>
  <si>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</si>
  <si>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</si>
  <si>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</si>
  <si>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</si>
  <si>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</si>
  <si>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</si>
  <si>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</si>
  <si>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</si>
  <si>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</si>
  <si>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</si>
  <si>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</si>
  <si>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</si>
  <si>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</si>
  <si>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</si>
  <si>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</si>
  <si>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</si>
  <si>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</si>
  <si>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</si>
  <si>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</si>
  <si>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</si>
  <si>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</si>
  <si>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</si>
  <si>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</si>
  <si>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</si>
  <si>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</si>
  <si>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</si>
  <si>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</si>
  <si>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</si>
  <si>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</si>
  <si>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</si>
  <si>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</si>
  <si>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</si>
  <si>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</si>
  <si>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</si>
  <si>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</si>
  <si>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</si>
  <si>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</si>
  <si>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</si>
  <si>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</si>
  <si>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</si>
  <si>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</si>
  <si>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</si>
  <si>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</si>
  <si>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</si>
  <si>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</si>
  <si>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</si>
  <si>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</si>
  <si>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</si>
  <si>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</si>
  <si>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</si>
  <si>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</si>
  <si>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</si>
  <si>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</si>
  <si>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</si>
  <si>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</si>
  <si>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</si>
  <si>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</si>
  <si>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</si>
  <si>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</si>
  <si>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</si>
  <si>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</si>
  <si>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</si>
  <si>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</si>
  <si>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</si>
  <si>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</si>
  <si>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</si>
  <si>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</si>
  <si>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</si>
  <si>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</si>
  <si>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</si>
  <si>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</si>
  <si>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</si>
  <si>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</si>
  <si>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</si>
  <si>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</si>
  <si>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</si>
  <si>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</si>
  <si>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</si>
  <si>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</si>
  <si>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</si>
  <si>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</si>
  <si>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</si>
  <si>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</si>
  <si>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</si>
  <si>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</si>
  <si>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</si>
  <si>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</si>
  <si>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</si>
  <si>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</si>
  <si>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</si>
  <si>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</si>
  <si>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</si>
  <si>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</si>
  <si>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</si>
  <si>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</si>
  <si>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</si>
  <si>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</si>
  <si>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</si>
  <si>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</si>
  <si>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</si>
  <si>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</si>
  <si>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</si>
  <si>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</si>
  <si>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</si>
  <si>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</si>
  <si>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</si>
  <si>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</si>
  <si>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</si>
  <si>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</si>
  <si>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</si>
  <si>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</si>
  <si>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</si>
  <si>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</si>
  <si>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</si>
  <si>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</si>
  <si>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</si>
  <si>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</si>
  <si>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</si>
  <si>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</si>
  <si>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</si>
  <si>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</si>
  <si>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</si>
  <si>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</si>
  <si>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</si>
  <si>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</si>
  <si>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</si>
  <si>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</si>
  <si>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</si>
  <si>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</si>
  <si>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</si>
  <si>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</si>
  <si>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</si>
  <si>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</si>
  <si>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</si>
  <si>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</si>
  <si>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</si>
  <si>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</si>
  <si>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</si>
  <si>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</si>
  <si>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</si>
  <si>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</si>
  <si>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</si>
  <si>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</si>
  <si>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</si>
  <si>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</si>
  <si>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</si>
  <si>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</si>
  <si>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</si>
  <si>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</si>
  <si>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</si>
  <si>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</si>
  <si>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</si>
  <si>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</si>
  <si>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</si>
  <si>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</si>
  <si>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</si>
  <si>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</si>
  <si>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</si>
  <si>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</si>
  <si>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</si>
  <si>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</si>
  <si>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</si>
  <si>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</si>
  <si>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</si>
  <si>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</si>
  <si>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</si>
  <si>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</si>
  <si>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</si>
  <si>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</si>
  <si>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</si>
  <si>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</si>
  <si>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</si>
  <si>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</si>
  <si>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</si>
  <si>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</si>
  <si>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</si>
  <si>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</si>
  <si>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</si>
  <si>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</si>
  <si>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</si>
  <si>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</si>
  <si>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</si>
  <si>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</si>
  <si>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</si>
  <si>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</si>
  <si>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</si>
  <si>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</si>
  <si>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</si>
  <si>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</si>
  <si>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</si>
  <si>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</si>
  <si>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</si>
  <si>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</si>
  <si>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</si>
  <si>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</si>
  <si>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</si>
  <si>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</si>
  <si>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</si>
  <si>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</si>
  <si>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</si>
  <si>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</si>
  <si>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</si>
  <si>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</si>
  <si>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</si>
  <si>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</si>
  <si>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</si>
  <si>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</si>
  <si>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</si>
  <si>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</si>
  <si>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</si>
  <si>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</si>
  <si>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</si>
  <si>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</si>
  <si>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</si>
  <si>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</si>
  <si>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</si>
  <si>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</si>
  <si>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</si>
  <si>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</si>
  <si>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</si>
  <si>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</si>
  <si>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</si>
  <si>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</si>
  <si>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</si>
  <si>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</si>
  <si>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</si>
  <si>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</si>
  <si>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</si>
  <si>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</si>
  <si>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</si>
  <si>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</si>
  <si>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</si>
  <si>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</si>
  <si>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</si>
  <si>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</si>
  <si>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</si>
  <si>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</si>
  <si>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</si>
  <si>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</si>
  <si>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</si>
  <si>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</si>
  <si>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</si>
  <si>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</si>
  <si>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</si>
  <si>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</si>
  <si>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</si>
  <si>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</si>
  <si>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</si>
  <si>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</si>
  <si>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</si>
  <si>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</si>
  <si>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</si>
  <si>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</si>
  <si>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</si>
  <si>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</si>
  <si>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</si>
  <si>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</si>
  <si>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</si>
  <si>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</si>
  <si>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</si>
  <si>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</si>
  <si>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</si>
  <si>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</si>
  <si>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</si>
  <si>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</si>
  <si>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</si>
  <si>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</si>
  <si>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</si>
  <si>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</si>
  <si>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</si>
  <si>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</si>
  <si>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</si>
  <si>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</si>
  <si>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</si>
  <si>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</si>
  <si>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</si>
  <si>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</si>
  <si>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</si>
  <si>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</si>
  <si>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</si>
  <si>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</si>
  <si>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</si>
  <si>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</si>
  <si>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</si>
  <si>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</si>
  <si>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</si>
  <si>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</si>
  <si>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</si>
  <si>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</si>
  <si>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</si>
  <si>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</si>
  <si>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</si>
  <si>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</si>
  <si>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</si>
  <si>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</si>
  <si>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</si>
  <si>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</si>
  <si>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</si>
  <si>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</si>
  <si>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</si>
  <si>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</si>
  <si>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</si>
  <si>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</si>
  <si>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</si>
  <si>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</si>
  <si>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</si>
  <si>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</si>
  <si>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</si>
  <si>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</si>
  <si>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</si>
  <si>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</si>
  <si>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</si>
  <si>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</si>
  <si>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</si>
  <si>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</si>
  <si>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</si>
  <si>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</si>
  <si>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</si>
  <si>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</si>
  <si>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</si>
  <si>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</si>
  <si>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</si>
  <si>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</si>
  <si>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</si>
  <si>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</si>
  <si>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</si>
  <si>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</si>
  <si>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</si>
  <si>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</si>
  <si>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</si>
  <si>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</si>
  <si>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</si>
  <si>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</si>
  <si>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</si>
  <si>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</si>
  <si>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</si>
  <si>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</si>
  <si>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</si>
  <si>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</si>
  <si>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</si>
  <si>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</si>
  <si>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</si>
  <si>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</si>
  <si>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</si>
  <si>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</si>
  <si>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</si>
  <si>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</si>
  <si>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</si>
  <si>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</si>
  <si>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</si>
  <si>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</si>
  <si>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</si>
  <si>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</si>
  <si>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</si>
  <si>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</si>
  <si>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</si>
  <si>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</si>
  <si>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</si>
  <si>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</si>
  <si>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</si>
  <si>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</si>
  <si>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</si>
  <si>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</si>
  <si>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</si>
  <si>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</si>
  <si>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</si>
  <si>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</si>
  <si>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</si>
  <si>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</si>
  <si>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</si>
  <si>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</si>
  <si>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</si>
  <si>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</si>
  <si>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</si>
  <si>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</si>
  <si>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</si>
  <si>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</si>
  <si>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</si>
  <si>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</si>
  <si>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</si>
  <si>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</si>
  <si>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</si>
  <si>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</si>
  <si>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</si>
  <si>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</si>
  <si>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</si>
  <si>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</si>
  <si>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</si>
  <si>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</si>
  <si>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</si>
  <si>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</si>
  <si>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</si>
  <si>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</si>
  <si>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</si>
  <si>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</si>
  <si>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</si>
  <si>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</si>
  <si>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</si>
  <si>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</si>
  <si>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</si>
  <si>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</si>
  <si>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</si>
  <si>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</si>
  <si>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</si>
  <si>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</si>
  <si>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</si>
  <si>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</si>
  <si>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</si>
  <si>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</si>
  <si>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</si>
  <si>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</si>
  <si>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</si>
  <si>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</si>
  <si>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</si>
  <si>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</si>
  <si>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</si>
  <si>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</si>
  <si>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</si>
  <si>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</si>
  <si>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</si>
  <si>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</si>
  <si>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</si>
  <si>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</si>
  <si>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</si>
  <si>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</si>
  <si>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</si>
  <si>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</si>
  <si>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</si>
  <si>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</si>
  <si>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</si>
  <si>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</si>
  <si>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</si>
  <si>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</si>
  <si>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</si>
  <si>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</si>
  <si>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</si>
  <si>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</si>
  <si>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</si>
  <si>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</si>
  <si>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</si>
  <si>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</si>
  <si>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</si>
  <si>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</si>
  <si>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</si>
  <si>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</si>
  <si>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</si>
  <si>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</si>
  <si>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</si>
  <si>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</si>
  <si>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</si>
  <si>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</si>
  <si>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</si>
  <si>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</si>
  <si>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</si>
  <si>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</si>
  <si>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</si>
  <si>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</si>
  <si>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</si>
  <si>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</si>
  <si>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</si>
  <si>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</si>
  <si>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</si>
  <si>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</si>
  <si>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</si>
  <si>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</si>
  <si>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</si>
  <si>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</si>
  <si>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</si>
  <si>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</si>
  <si>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</si>
  <si>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</si>
  <si>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</si>
  <si>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</si>
  <si>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</si>
  <si>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</si>
  <si>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</si>
  <si>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</si>
  <si>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</si>
  <si>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</si>
  <si>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</si>
  <si>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</si>
  <si>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</si>
  <si>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</si>
  <si>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</si>
  <si>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</si>
  <si>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</si>
  <si>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</si>
  <si>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</si>
  <si>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</si>
  <si>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</si>
  <si>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</si>
  <si>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</si>
  <si>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</si>
  <si>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</si>
  <si>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</si>
  <si>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</si>
  <si>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</si>
  <si>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</si>
  <si>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</si>
  <si>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</si>
  <si>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</si>
  <si>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</si>
  <si>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</si>
  <si>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</si>
  <si>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</si>
  <si>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</si>
  <si>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</si>
  <si>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</si>
  <si>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</si>
  <si>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</si>
  <si>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</si>
  <si>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</si>
  <si>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</si>
  <si>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</si>
  <si>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</si>
  <si>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</si>
  <si>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</si>
  <si>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</si>
  <si>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</si>
  <si>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</si>
  <si>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</si>
  <si>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</si>
  <si>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</si>
  <si>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</si>
  <si>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</si>
  <si>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</si>
  <si>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</si>
  <si>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</si>
  <si>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</si>
  <si>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</si>
  <si>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</si>
  <si>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</si>
  <si>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</si>
  <si>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</si>
  <si>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</si>
  <si>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</si>
  <si>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</si>
  <si>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</si>
  <si>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</si>
  <si>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</si>
  <si>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</si>
  <si>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</si>
  <si>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</si>
  <si>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</si>
  <si>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</si>
  <si>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</si>
  <si>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</si>
  <si>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</si>
  <si>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</si>
  <si>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</si>
  <si>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</si>
  <si>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</si>
  <si>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</si>
  <si>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</si>
  <si>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</si>
  <si>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</si>
  <si>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</si>
  <si>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</si>
  <si>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</si>
  <si>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</si>
  <si>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</si>
  <si>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</si>
  <si>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</si>
  <si>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</si>
  <si>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</si>
  <si>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</si>
  <si>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</si>
  <si>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</si>
  <si>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</si>
  <si>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</si>
  <si>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</si>
  <si>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</si>
  <si>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</si>
  <si>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</si>
  <si>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</si>
  <si>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</si>
  <si>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</si>
  <si>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</si>
  <si>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</si>
  <si>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</si>
  <si>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</si>
  <si>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</si>
  <si>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</si>
  <si>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</si>
  <si>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</si>
  <si>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</si>
  <si>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</si>
  <si>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</si>
  <si>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</si>
  <si>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</si>
  <si>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</si>
  <si>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</si>
  <si>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</si>
  <si>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</si>
  <si>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</si>
  <si>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</si>
  <si>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</si>
  <si>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</si>
  <si>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</si>
  <si>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</si>
  <si>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</si>
  <si>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</si>
  <si>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</si>
  <si>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</si>
  <si>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</si>
  <si>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</si>
  <si>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</si>
  <si>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</si>
  <si>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</si>
  <si>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</si>
  <si>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</si>
  <si>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</si>
  <si>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</si>
  <si>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</si>
  <si>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</si>
  <si>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</si>
  <si>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</si>
  <si>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</si>
  <si>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</si>
  <si>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</si>
  <si>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</si>
  <si>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</si>
  <si>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</si>
  <si>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</si>
  <si>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</si>
  <si>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</si>
  <si>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</si>
  <si>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</si>
  <si>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</si>
  <si>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</si>
  <si>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</si>
  <si>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</si>
  <si>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</si>
  <si>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</si>
  <si>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</si>
  <si>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</si>
  <si>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</si>
  <si>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</si>
  <si>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</si>
  <si>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</si>
  <si>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</si>
  <si>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</si>
  <si>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</si>
  <si>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</si>
  <si>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</si>
  <si>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</si>
  <si>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</si>
  <si>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</si>
  <si>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</si>
  <si>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</si>
  <si>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</si>
  <si>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</si>
  <si>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</si>
  <si>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</si>
  <si>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</si>
  <si>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</si>
  <si>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</si>
  <si>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</si>
  <si>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</si>
  <si>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</si>
  <si>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</si>
  <si>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</si>
  <si>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</si>
  <si>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</si>
  <si>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</si>
  <si>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</si>
  <si>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</si>
  <si>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</si>
  <si>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</si>
  <si>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</si>
  <si>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</si>
  <si>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</si>
  <si>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</si>
  <si>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</si>
  <si>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</si>
  <si>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</si>
  <si>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</si>
  <si>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</si>
  <si>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</si>
  <si>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</si>
  <si>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</si>
  <si>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</si>
  <si>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</si>
  <si>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</si>
  <si>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</si>
  <si>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</si>
  <si>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</si>
  <si>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</si>
  <si>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</si>
  <si>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</si>
  <si>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</si>
  <si>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</si>
  <si>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</si>
  <si>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</si>
  <si>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</si>
  <si>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</si>
  <si>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</si>
  <si>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</si>
  <si>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</si>
  <si>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</si>
  <si>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</si>
  <si>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</si>
  <si>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</si>
  <si>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</si>
  <si>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</si>
  <si>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</si>
  <si>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</si>
  <si>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</si>
  <si>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</si>
  <si>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</si>
  <si>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</si>
  <si>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</si>
  <si>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</si>
  <si>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</si>
  <si>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</si>
  <si>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</si>
  <si>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</si>
  <si>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</si>
  <si>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</si>
  <si>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</si>
  <si>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</si>
  <si>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</si>
  <si>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</si>
  <si>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</si>
  <si>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</si>
  <si>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</si>
  <si>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</si>
  <si>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</si>
  <si>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</si>
  <si>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</si>
  <si>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</si>
  <si>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</si>
  <si>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</si>
  <si>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</si>
  <si>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</si>
  <si>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</si>
  <si>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</si>
  <si>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</si>
  <si>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</si>
  <si>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</si>
  <si>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</si>
  <si>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</si>
  <si>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</si>
  <si>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</si>
  <si>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</si>
  <si>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</si>
  <si>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</si>
  <si>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</si>
  <si>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</si>
  <si>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</si>
  <si>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</si>
  <si>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</si>
  <si>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</si>
  <si>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</si>
  <si>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</si>
  <si>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</si>
  <si>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</si>
  <si>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</si>
  <si>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</si>
  <si>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</si>
  <si>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</si>
  <si>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</si>
  <si>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</si>
  <si>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</si>
  <si>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</si>
  <si>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</si>
  <si>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</si>
  <si>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</si>
  <si>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</si>
  <si>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</si>
  <si>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</si>
  <si>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</si>
  <si>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</si>
  <si>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</si>
  <si>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</si>
  <si>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</si>
  <si>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</si>
  <si>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</si>
  <si>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</si>
  <si>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</si>
  <si>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</si>
  <si>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</si>
  <si>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</si>
  <si>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</si>
  <si>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</si>
  <si>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</si>
  <si>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</si>
  <si>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</si>
  <si>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</si>
  <si>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</si>
  <si>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</si>
  <si>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</si>
  <si>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</si>
  <si>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</si>
  <si>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</si>
  <si>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</si>
  <si>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</si>
  <si>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</si>
  <si>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</si>
  <si>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</si>
  <si>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</si>
  <si>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</si>
  <si>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</si>
  <si>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</si>
  <si>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</si>
  <si>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</si>
  <si>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</si>
  <si>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</si>
  <si>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</si>
  <si>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</si>
  <si>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</si>
  <si>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</si>
  <si>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</si>
  <si>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</si>
  <si>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</si>
  <si>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</si>
  <si>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</si>
  <si>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</si>
  <si>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</si>
  <si>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</si>
  <si>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</si>
  <si>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</si>
  <si>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</si>
  <si>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</si>
  <si>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</si>
  <si>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</si>
  <si>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</si>
  <si>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</si>
  <si>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</si>
  <si>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</si>
  <si>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</si>
  <si>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</si>
  <si>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</si>
  <si>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</si>
  <si>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</si>
  <si>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</si>
  <si>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</si>
  <si>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</si>
  <si>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</si>
  <si>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</si>
  <si>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</si>
  <si>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</si>
  <si>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</si>
  <si>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</si>
  <si>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</si>
  <si>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</si>
  <si>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</si>
  <si>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</si>
  <si>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</si>
  <si>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</si>
  <si>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</si>
  <si>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</si>
  <si>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</si>
  <si>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</si>
  <si>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</si>
  <si>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</si>
  <si>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</si>
  <si>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</si>
  <si>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</si>
  <si>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</si>
  <si>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</si>
  <si>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</si>
  <si>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</si>
  <si>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</si>
  <si>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</si>
  <si>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</si>
  <si>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</si>
  <si>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</si>
  <si>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</si>
  <si>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</si>
  <si>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</si>
  <si>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</si>
  <si>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</si>
  <si>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</si>
  <si>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</si>
  <si>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</si>
  <si>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</si>
  <si>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</si>
  <si>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</si>
  <si>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</si>
  <si>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</si>
  <si>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</si>
  <si>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</si>
  <si>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</si>
  <si>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</si>
  <si>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</si>
  <si>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</si>
  <si>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</si>
  <si>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</si>
  <si>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</si>
  <si>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</si>
  <si>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</si>
  <si>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</si>
  <si>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</si>
  <si>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</si>
  <si>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</si>
  <si>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</si>
  <si>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</si>
  <si>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</si>
  <si>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</si>
  <si>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</si>
  <si>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</si>
  <si>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</si>
  <si>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</si>
  <si>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</si>
  <si>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</si>
  <si>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</si>
  <si>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</si>
  <si>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</si>
  <si>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</si>
  <si>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</si>
  <si>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</si>
  <si>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</si>
  <si>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</si>
  <si>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</si>
  <si>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</si>
  <si>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</si>
  <si>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</si>
  <si>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</si>
  <si>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</si>
  <si>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</si>
  <si>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</si>
  <si>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</si>
  <si>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</si>
  <si>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</si>
  <si>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</si>
  <si>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</si>
  <si>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</si>
  <si>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</si>
  <si>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</si>
  <si>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</si>
  <si>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</si>
  <si>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</si>
  <si>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</si>
  <si>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</si>
  <si>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</si>
  <si>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</si>
  <si>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</si>
  <si>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</si>
  <si>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</si>
  <si>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</si>
  <si>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</si>
  <si>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</si>
  <si>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</si>
  <si>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</si>
  <si>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</si>
  <si>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</si>
  <si>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</si>
  <si>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</si>
  <si>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</si>
  <si>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</si>
  <si>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</si>
  <si>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</si>
  <si>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</si>
  <si>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</si>
  <si>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</si>
  <si>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</si>
  <si>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</si>
  <si>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</si>
  <si>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</si>
  <si>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</si>
  <si>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</si>
  <si>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</si>
  <si>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</si>
  <si>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</si>
  <si>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</si>
  <si>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</si>
  <si>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</si>
  <si>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</si>
  <si>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</si>
  <si>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</si>
  <si>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</si>
  <si>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</si>
  <si>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</si>
  <si>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</si>
  <si>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</si>
  <si>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</si>
  <si>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</si>
  <si>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</si>
  <si>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</si>
  <si>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</si>
  <si>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</si>
  <si>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</si>
  <si>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</si>
  <si>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</si>
  <si>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</si>
  <si>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</si>
  <si>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</si>
  <si>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</si>
  <si>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</si>
  <si>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</si>
  <si>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</si>
  <si>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</si>
  <si>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</si>
  <si>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</si>
  <si>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</si>
  <si>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</si>
  <si>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</si>
  <si>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</si>
  <si>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</si>
  <si>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</si>
  <si>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</si>
  <si>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</si>
  <si>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</si>
  <si>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</si>
  <si>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</si>
  <si>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</si>
  <si>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</si>
  <si>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</si>
  <si>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</si>
  <si>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</si>
  <si>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</si>
  <si>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</si>
  <si>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</si>
  <si>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</si>
  <si>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</si>
  <si>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</si>
  <si>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</si>
  <si>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</si>
  <si>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</si>
  <si>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</si>
  <si>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</si>
  <si>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</si>
  <si>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</si>
  <si>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</si>
  <si>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</si>
  <si>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</si>
  <si>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</si>
  <si>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</si>
  <si>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</si>
  <si>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</si>
  <si>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</si>
  <si>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</si>
  <si>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</si>
  <si>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</si>
  <si>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</si>
  <si>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</si>
  <si>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</si>
  <si>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</si>
  <si>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</si>
  <si>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</si>
  <si>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</si>
  <si>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</si>
  <si>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</si>
  <si>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</si>
  <si>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</si>
  <si>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</si>
  <si>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</si>
  <si>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</si>
  <si>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</si>
  <si>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</si>
  <si>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</si>
  <si>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</si>
  <si>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</si>
  <si>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</si>
  <si>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</si>
  <si>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</si>
  <si>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</si>
  <si>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</si>
  <si>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</si>
  <si>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</si>
  <si>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</si>
  <si>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</si>
  <si>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</si>
  <si>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</si>
  <si>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</si>
  <si>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</si>
  <si>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</si>
  <si>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</si>
  <si>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</si>
  <si>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</si>
  <si>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</si>
  <si>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</si>
  <si>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</si>
  <si>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</si>
  <si>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</si>
  <si>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</si>
  <si>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</si>
  <si>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</si>
  <si>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</si>
  <si>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</si>
  <si>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</si>
  <si>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</si>
  <si>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</si>
  <si>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</si>
  <si>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</si>
  <si>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</si>
  <si>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</si>
  <si>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</si>
  <si>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</si>
  <si>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</si>
  <si>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</si>
  <si>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</si>
  <si>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</si>
  <si>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</si>
  <si>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</si>
  <si>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</si>
  <si>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</si>
  <si>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</si>
  <si>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</si>
  <si>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</si>
  <si>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</si>
  <si>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</si>
  <si>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</si>
  <si>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</si>
  <si>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</si>
  <si>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</si>
  <si>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</si>
  <si>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</si>
  <si>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</si>
  <si>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</si>
  <si>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</si>
  <si>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</si>
  <si>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</si>
  <si>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</si>
  <si>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</si>
  <si>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</si>
  <si>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</si>
  <si>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</si>
  <si>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</si>
  <si>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</si>
  <si>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</si>
  <si>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</si>
  <si>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</si>
  <si>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</si>
  <si>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</si>
  <si>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</si>
  <si>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</si>
  <si>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</si>
  <si>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</si>
  <si>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</si>
  <si>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</si>
  <si>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</si>
  <si>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</si>
  <si>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</si>
  <si>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</si>
  <si>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</si>
  <si>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</si>
  <si>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</si>
  <si>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</si>
  <si>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</si>
  <si>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</si>
  <si>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</si>
  <si>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</si>
  <si>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</si>
  <si>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</si>
  <si>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</si>
  <si>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</si>
  <si>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</si>
  <si>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</si>
  <si>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</si>
  <si>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</si>
  <si>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</si>
  <si>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</si>
  <si>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</si>
  <si>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</si>
  <si>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</si>
  <si>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</si>
  <si>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</si>
  <si>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</si>
  <si>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</si>
  <si>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</si>
  <si>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</si>
  <si>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</si>
  <si>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</si>
  <si>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</si>
  <si>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</si>
  <si>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</si>
  <si>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</si>
  <si>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</si>
  <si>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</si>
  <si>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</si>
  <si>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</si>
  <si>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</si>
  <si>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</si>
  <si>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</si>
  <si>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</si>
  <si>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</si>
  <si>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</si>
  <si>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</si>
  <si>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</si>
  <si>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</si>
  <si>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</si>
  <si>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</si>
  <si>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</si>
  <si>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</si>
  <si>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</si>
  <si>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</si>
  <si>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</si>
  <si>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</si>
  <si>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</si>
  <si>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</si>
  <si>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</si>
  <si>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</si>
  <si>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</si>
  <si>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</si>
  <si>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</si>
  <si>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</si>
  <si>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</si>
  <si>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</si>
  <si>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</si>
  <si>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</si>
  <si>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</si>
  <si>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</si>
  <si>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</si>
  <si>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</si>
  <si>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</si>
  <si>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</si>
  <si>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</si>
  <si>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</si>
  <si>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</si>
  <si>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</si>
  <si>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</si>
  <si>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</si>
  <si>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</si>
  <si>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</si>
  <si>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</si>
  <si>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</si>
  <si>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</si>
  <si>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</si>
  <si>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</si>
  <si>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</si>
  <si>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</si>
  <si>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</si>
  <si>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</si>
  <si>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</si>
  <si>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</si>
  <si>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</si>
  <si>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</si>
  <si>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</si>
  <si>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</si>
  <si>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</si>
  <si>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</si>
  <si>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</si>
  <si>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</si>
  <si>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</si>
  <si>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</si>
  <si>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</si>
  <si>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</si>
  <si>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</si>
  <si>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</si>
  <si>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</si>
  <si>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</si>
  <si>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</si>
  <si>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</si>
  <si>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</si>
  <si>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</si>
  <si>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</si>
  <si>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</si>
  <si>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</si>
  <si>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</si>
  <si>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</si>
  <si>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</si>
  <si>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</si>
  <si>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</si>
  <si>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</si>
  <si>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</si>
  <si>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</si>
  <si>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</si>
  <si>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</si>
  <si>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</si>
  <si>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</si>
  <si>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</si>
  <si>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</si>
  <si>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</si>
  <si>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</si>
  <si>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</si>
  <si>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</si>
  <si>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</si>
  <si>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</si>
  <si>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</si>
  <si>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</si>
  <si>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</si>
  <si>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</si>
  <si>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</si>
  <si>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</si>
  <si>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</si>
  <si>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</si>
  <si>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</si>
  <si>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</si>
  <si>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</si>
  <si>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</si>
  <si>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</si>
  <si>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</si>
  <si>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</si>
  <si>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</si>
  <si>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</si>
  <si>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</si>
  <si>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</si>
  <si>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</si>
  <si>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</si>
  <si>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</si>
  <si>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</si>
  <si>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</si>
  <si>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</si>
  <si>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</si>
  <si>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</si>
  <si>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</si>
  <si>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</si>
  <si>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</si>
  <si>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</si>
  <si>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</si>
  <si>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</si>
  <si>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</si>
  <si>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</si>
  <si>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</si>
  <si>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</si>
  <si>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</si>
  <si>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</si>
  <si>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</si>
  <si>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</si>
  <si>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</si>
  <si>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</si>
  <si>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</si>
  <si>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</si>
  <si>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</si>
  <si>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</si>
  <si>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</si>
  <si>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</si>
  <si>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</si>
  <si>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</si>
  <si>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</si>
  <si>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</si>
  <si>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</si>
  <si>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</si>
  <si>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</si>
  <si>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</si>
  <si>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</si>
  <si>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</si>
  <si>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</si>
  <si>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</si>
  <si>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</si>
  <si>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</si>
  <si>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</si>
  <si>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</si>
  <si>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</si>
  <si>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</si>
  <si>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</si>
  <si>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</si>
  <si>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</si>
  <si>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</si>
  <si>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</si>
  <si>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</si>
  <si>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</si>
  <si>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</si>
  <si>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</si>
  <si>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</si>
  <si>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</si>
  <si>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</si>
  <si>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</si>
  <si>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</si>
  <si>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</si>
  <si>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</si>
  <si>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</si>
  <si>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</si>
  <si>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</si>
  <si>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</si>
  <si>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</si>
  <si>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</si>
  <si>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</si>
  <si>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</si>
  <si>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</si>
  <si>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</si>
  <si>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</si>
  <si>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</si>
  <si>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</si>
  <si>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</si>
  <si>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</si>
  <si>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</si>
  <si>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</si>
  <si>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</si>
  <si>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</si>
  <si>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</si>
  <si>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</si>
  <si>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</si>
  <si>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</si>
  <si>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</si>
  <si>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</si>
  <si>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</si>
  <si>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</si>
  <si>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</si>
  <si>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</si>
  <si>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</si>
  <si>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</si>
  <si>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</si>
  <si>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</si>
  <si>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</si>
  <si>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</si>
  <si>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</si>
  <si>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</si>
  <si>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</si>
  <si>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</si>
  <si>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</si>
  <si>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</si>
  <si>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</si>
  <si>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</si>
  <si>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</si>
  <si>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</si>
  <si>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</si>
  <si>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</si>
  <si>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</si>
  <si>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</si>
  <si>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</si>
  <si>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</si>
  <si>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</si>
  <si>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</si>
  <si>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</si>
  <si>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</si>
  <si>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</si>
  <si>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</si>
  <si>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</si>
  <si>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</si>
  <si>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</si>
  <si>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</si>
  <si>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</si>
  <si>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</si>
  <si>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</si>
  <si>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</si>
  <si>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</si>
  <si>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</si>
  <si>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</si>
  <si>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</si>
  <si>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</si>
  <si>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</si>
  <si>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</si>
  <si>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</si>
  <si>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</si>
  <si>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</si>
  <si>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</si>
  <si>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</si>
  <si>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</si>
  <si>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</si>
  <si>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</si>
  <si>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</si>
  <si>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</si>
  <si>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</si>
  <si>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</si>
  <si>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</si>
  <si>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</si>
  <si>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</si>
  <si>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</si>
  <si>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</si>
  <si>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</si>
  <si>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</si>
  <si>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</si>
  <si>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</si>
  <si>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</si>
  <si>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</si>
  <si>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</si>
  <si>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</si>
  <si>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</si>
  <si>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</si>
  <si>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</si>
  <si>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</si>
  <si>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</si>
  <si>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</si>
  <si>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</si>
  <si>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</si>
  <si>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</si>
  <si>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</si>
  <si>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</si>
  <si>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</si>
  <si>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</si>
  <si>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</si>
  <si>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</si>
  <si>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</si>
  <si>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</si>
  <si>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</si>
  <si>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</si>
  <si>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</si>
  <si>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</si>
  <si>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</si>
  <si>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</si>
  <si>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</si>
  <si>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</si>
  <si>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</si>
  <si>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</si>
  <si>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</si>
  <si>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</si>
  <si>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</si>
  <si>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</si>
  <si>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</si>
  <si>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</si>
  <si>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</si>
  <si>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</si>
  <si>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</si>
  <si>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</si>
  <si>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</si>
  <si>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</si>
  <si>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</si>
  <si>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</si>
  <si>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</si>
  <si>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</si>
  <si>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</si>
  <si>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</si>
  <si>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</si>
  <si>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</si>
  <si>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</si>
  <si>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</si>
  <si>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</si>
  <si>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</si>
  <si>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</si>
  <si>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</si>
  <si>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</si>
  <si>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</si>
  <si>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</si>
  <si>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</si>
  <si>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</si>
  <si>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</si>
  <si>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</si>
  <si>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</si>
  <si>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</si>
  <si>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</si>
  <si>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</si>
  <si>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</si>
  <si>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</si>
  <si>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</si>
  <si>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</si>
  <si>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</si>
  <si>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</si>
  <si>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</si>
  <si>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</si>
  <si>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</si>
  <si>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</si>
  <si>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</si>
  <si>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</si>
  <si>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</si>
  <si>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</si>
  <si>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</si>
  <si>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</si>
  <si>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</si>
  <si>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</si>
  <si>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</si>
  <si>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</si>
  <si>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</si>
  <si>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</si>
  <si>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</si>
  <si>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</si>
  <si>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</si>
  <si>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</si>
  <si>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</si>
  <si>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</si>
  <si>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</si>
  <si>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</si>
  <si>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</si>
  <si>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</si>
  <si>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</si>
  <si>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</si>
  <si>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</si>
  <si>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</si>
  <si>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</si>
  <si>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</si>
  <si>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</si>
  <si>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</si>
  <si>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</si>
  <si>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</si>
  <si>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</si>
  <si>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</si>
  <si>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</si>
  <si>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</si>
  <si>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</si>
  <si>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</si>
  <si>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</si>
  <si>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</si>
  <si>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</si>
  <si>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</si>
  <si>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</si>
  <si>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</si>
  <si>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</si>
  <si>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</si>
  <si>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</si>
  <si>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</si>
  <si>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</si>
  <si>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</si>
  <si>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</si>
  <si>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</si>
  <si>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</si>
  <si>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</si>
  <si>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</si>
  <si>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</si>
  <si>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</si>
  <si>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</si>
  <si>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</si>
  <si>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</si>
  <si>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</si>
  <si>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</si>
  <si>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</si>
  <si>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</si>
  <si>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</si>
  <si>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</si>
  <si>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</si>
  <si>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</si>
  <si>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</si>
  <si>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</si>
  <si>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</si>
  <si>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</si>
  <si>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</si>
  <si>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</si>
  <si>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</si>
  <si>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</si>
  <si>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</si>
  <si>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</si>
  <si>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</si>
  <si>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</si>
  <si>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</si>
  <si>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</si>
  <si>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</si>
  <si>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</si>
  <si>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</si>
  <si>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</si>
  <si>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</si>
  <si>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</si>
  <si>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</si>
  <si>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</si>
  <si>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</si>
  <si>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</si>
  <si>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</si>
  <si>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</si>
  <si>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</si>
  <si>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</si>
  <si>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</si>
  <si>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</si>
  <si>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</si>
  <si>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</si>
  <si>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</si>
  <si>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</si>
  <si>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</si>
  <si>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</si>
  <si>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</si>
  <si>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</si>
  <si>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</si>
  <si>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</si>
  <si>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</si>
  <si>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</si>
  <si>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</si>
  <si>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</si>
  <si>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</si>
  <si>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</si>
  <si>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</si>
  <si>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</si>
  <si>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</si>
  <si>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</si>
  <si>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</si>
  <si>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</si>
  <si>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</si>
  <si>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</si>
  <si>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</si>
  <si>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</si>
  <si>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</si>
  <si>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</si>
  <si>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</si>
  <si>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</si>
  <si>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</si>
  <si>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</si>
  <si>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</si>
  <si>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</si>
  <si>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</si>
  <si>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</si>
  <si>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</si>
  <si>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</si>
  <si>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</si>
  <si>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</si>
  <si>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</si>
  <si>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</si>
  <si>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</si>
  <si>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</si>
  <si>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</si>
  <si>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</si>
  <si>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</si>
  <si>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</si>
  <si>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</si>
  <si>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</si>
  <si>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</si>
  <si>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</si>
  <si>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</si>
  <si>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</si>
  <si>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</si>
  <si>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</si>
  <si>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</si>
  <si>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</si>
  <si>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</si>
  <si>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</si>
  <si>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</si>
  <si>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</si>
  <si>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</si>
  <si>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</si>
  <si>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</si>
  <si>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</si>
  <si>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</si>
  <si>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</si>
  <si>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</si>
  <si>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</si>
  <si>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</si>
  <si>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</si>
  <si>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</si>
  <si>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</si>
  <si>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</si>
  <si>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</si>
  <si>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</si>
  <si>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</si>
  <si>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</si>
  <si>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</si>
  <si>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</si>
  <si>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</si>
  <si>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</si>
  <si>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</si>
  <si>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</si>
  <si>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</si>
  <si>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</si>
  <si>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</si>
  <si>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</si>
  <si>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</si>
  <si>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</si>
  <si>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</si>
  <si>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</si>
  <si>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</si>
  <si>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</si>
  <si>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</si>
  <si>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</si>
  <si>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</si>
  <si>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</si>
  <si>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</si>
  <si>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</si>
  <si>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</si>
  <si>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</si>
  <si>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</si>
  <si>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</si>
  <si>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</si>
  <si>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</si>
  <si>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</si>
  <si>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</si>
  <si>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</si>
  <si>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</si>
  <si>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</si>
  <si>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</si>
  <si>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</si>
  <si>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</si>
  <si>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</si>
  <si>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</si>
  <si>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</si>
  <si>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</si>
  <si>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</si>
  <si>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</si>
  <si>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</si>
  <si>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</si>
  <si>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</si>
  <si>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</si>
  <si>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</si>
  <si>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</si>
  <si>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</si>
  <si>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</si>
  <si>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</si>
  <si>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</si>
  <si>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</si>
  <si>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</si>
  <si>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</si>
  <si>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</si>
  <si>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</si>
  <si>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</si>
  <si>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</si>
  <si>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</si>
  <si>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</si>
  <si>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</si>
  <si>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</si>
  <si>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</si>
  <si>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</si>
  <si>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</si>
  <si>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</si>
  <si>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</si>
  <si>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</si>
  <si>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</si>
  <si>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</si>
  <si>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</si>
  <si>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</si>
  <si>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</si>
  <si>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</si>
  <si>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</si>
  <si>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</si>
  <si>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</si>
  <si>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</si>
  <si>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</si>
  <si>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</si>
  <si>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</si>
  <si>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</si>
  <si>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</si>
  <si>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</si>
  <si>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</si>
  <si>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</si>
  <si>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</si>
  <si>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</si>
  <si>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</si>
  <si>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</si>
  <si>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</si>
  <si>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</si>
  <si>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</si>
  <si>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</si>
  <si>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</si>
  <si>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</si>
  <si>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</si>
  <si>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</si>
  <si>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</si>
  <si>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</si>
  <si>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</si>
  <si>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</si>
  <si>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</si>
  <si>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</si>
  <si>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</si>
  <si>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</si>
  <si>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</si>
  <si>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</si>
  <si>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</si>
  <si>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</si>
  <si>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</si>
  <si>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</si>
  <si>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</si>
  <si>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</si>
  <si>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</si>
  <si>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</si>
  <si>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</si>
  <si>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</si>
  <si>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</si>
  <si>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</si>
  <si>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</si>
  <si>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</si>
  <si>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</si>
  <si>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</si>
  <si>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</si>
  <si>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</si>
  <si>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</si>
  <si>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</si>
  <si>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</si>
  <si>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</si>
  <si>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</si>
  <si>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</si>
  <si>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</si>
  <si>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</si>
  <si>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</si>
  <si>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</si>
  <si>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</si>
  <si>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</si>
  <si>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</si>
  <si>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</si>
  <si>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</si>
  <si>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</si>
  <si>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</si>
  <si>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</si>
  <si>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</si>
  <si>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</si>
  <si>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</si>
  <si>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</si>
  <si>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</si>
  <si>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</si>
  <si>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</si>
  <si>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</si>
  <si>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</si>
  <si>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</si>
  <si>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</si>
  <si>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</si>
  <si>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</si>
  <si>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</si>
  <si>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</si>
  <si>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</si>
  <si>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</si>
  <si>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</si>
  <si>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</si>
  <si>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</si>
  <si>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</si>
  <si>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</si>
  <si>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</si>
  <si>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</si>
  <si>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</si>
  <si>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</si>
  <si>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</si>
  <si>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</si>
  <si>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</si>
  <si>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</si>
  <si>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</si>
  <si>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</si>
  <si>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</si>
  <si>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</si>
  <si>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</si>
  <si>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</si>
  <si>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</si>
  <si>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</si>
  <si>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</si>
  <si>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</si>
  <si>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</si>
  <si>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</si>
  <si>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</si>
  <si>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</si>
  <si>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</si>
  <si>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</si>
  <si>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</si>
  <si>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</si>
  <si>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</si>
  <si>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</si>
  <si>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</si>
  <si>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</si>
  <si>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</si>
  <si>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</si>
  <si>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</si>
  <si>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</si>
  <si>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</si>
  <si>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</si>
  <si>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</si>
  <si>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</si>
  <si>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</si>
  <si>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</si>
  <si>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</si>
  <si>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</si>
  <si>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</si>
  <si>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</si>
  <si>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</si>
  <si>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</si>
  <si>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</si>
  <si>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</si>
  <si>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</si>
  <si>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</si>
  <si>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</si>
  <si>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</si>
  <si>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</si>
  <si>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</si>
  <si>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</si>
  <si>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</si>
  <si>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</si>
  <si>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</si>
  <si>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</si>
  <si>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</si>
  <si>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</si>
  <si>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</si>
  <si>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</si>
  <si>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</si>
  <si>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</si>
  <si>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</si>
  <si>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</si>
  <si>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</si>
  <si>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</si>
  <si>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</si>
  <si>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</si>
  <si>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</si>
  <si>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</si>
  <si>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</si>
  <si>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</si>
  <si>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</si>
  <si>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</si>
  <si>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</si>
  <si>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</si>
  <si>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</si>
  <si>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</si>
  <si>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</si>
  <si>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</si>
  <si>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</si>
  <si>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</si>
  <si>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</si>
  <si>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</si>
  <si>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</si>
  <si>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</si>
  <si>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</si>
  <si>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</si>
  <si>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</si>
  <si>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</si>
  <si>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</si>
  <si>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</si>
  <si>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</si>
  <si>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</si>
  <si>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</si>
  <si>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</si>
  <si>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</si>
  <si>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</si>
  <si>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</si>
  <si>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</si>
  <si>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</si>
  <si>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</si>
  <si>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</si>
  <si>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</si>
  <si>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</si>
  <si>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</si>
  <si>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</si>
  <si>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</si>
  <si>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</si>
  <si>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</si>
  <si>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</si>
  <si>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</si>
  <si>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</si>
  <si>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</si>
  <si>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</si>
  <si>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</si>
  <si>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</si>
  <si>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</si>
  <si>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</si>
  <si>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</si>
  <si>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</si>
  <si>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</si>
  <si>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</si>
  <si>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</si>
  <si>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</si>
  <si>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</si>
  <si>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</si>
  <si>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</si>
  <si>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</si>
  <si>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</si>
  <si>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</si>
  <si>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</si>
  <si>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</si>
  <si>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</si>
  <si>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</si>
  <si>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</si>
  <si>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</si>
  <si>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</si>
  <si>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</si>
  <si>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</si>
  <si>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</si>
  <si>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</si>
  <si>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</si>
  <si>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</si>
  <si>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</si>
  <si>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</si>
  <si>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</si>
  <si>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</si>
  <si>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</si>
  <si>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</si>
  <si>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</si>
  <si>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</si>
  <si>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</si>
  <si>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</si>
  <si>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</si>
  <si>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</si>
  <si>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</si>
  <si>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</si>
  <si>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</si>
  <si>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</si>
  <si>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</si>
  <si>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</si>
  <si>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</si>
  <si>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</si>
  <si>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</si>
  <si>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</si>
  <si>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</si>
  <si>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</si>
  <si>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</si>
  <si>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</si>
  <si>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</si>
  <si>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</si>
  <si>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</si>
  <si>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</si>
  <si>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</si>
  <si>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</si>
  <si>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</si>
  <si>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</si>
  <si>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</si>
  <si>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</si>
  <si>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</si>
  <si>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</si>
  <si>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</si>
  <si>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</si>
  <si>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</si>
  <si>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</si>
  <si>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</si>
  <si>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</si>
  <si>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</si>
  <si>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</si>
  <si>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</si>
  <si>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</si>
  <si>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</si>
  <si>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</si>
  <si>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</si>
  <si>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</si>
  <si>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</si>
  <si>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</si>
  <si>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</si>
  <si>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</si>
  <si>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</si>
  <si>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</si>
  <si>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</si>
  <si>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</si>
  <si>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</si>
  <si>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</si>
  <si>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</si>
  <si>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</si>
  <si>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</si>
  <si>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</si>
  <si>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</si>
  <si>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</si>
  <si>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</si>
  <si>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</si>
  <si>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</si>
  <si>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</si>
  <si>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</si>
  <si>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</si>
  <si>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</si>
  <si>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</si>
  <si>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</si>
  <si>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</si>
  <si>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</si>
  <si>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</si>
  <si>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</si>
  <si>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</si>
  <si>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</si>
  <si>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</si>
  <si>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</si>
  <si>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</si>
  <si>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</si>
  <si>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</si>
  <si>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</si>
  <si>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</si>
  <si>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</si>
  <si>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</si>
  <si>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</si>
  <si>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</si>
  <si>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</si>
  <si>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</si>
  <si>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</si>
  <si>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</si>
  <si>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</si>
  <si>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</si>
  <si>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</si>
  <si>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</si>
  <si>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</si>
  <si>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</si>
  <si>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</si>
  <si>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</si>
  <si>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</si>
  <si>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</si>
  <si>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</si>
  <si>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</si>
  <si>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</si>
  <si>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</si>
  <si>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</si>
  <si>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</si>
  <si>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</si>
  <si>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</si>
  <si>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</si>
  <si>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</si>
  <si>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</si>
  <si>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</si>
  <si>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</si>
  <si>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</si>
  <si>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</si>
  <si>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</si>
  <si>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</si>
  <si>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</si>
  <si>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</si>
  <si>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</si>
  <si>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</si>
  <si>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</si>
  <si>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</si>
  <si>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</si>
  <si>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</si>
  <si>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</si>
  <si>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</si>
  <si>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</si>
  <si>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</si>
  <si>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</si>
  <si>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</si>
  <si>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</si>
  <si>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</si>
  <si>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</si>
  <si>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</si>
  <si>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</si>
  <si>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</si>
  <si>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</si>
  <si>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</si>
  <si>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</si>
  <si>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</si>
  <si>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</si>
  <si>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</si>
  <si>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</si>
  <si>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</si>
  <si>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</si>
  <si>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</si>
  <si>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</si>
  <si>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</si>
  <si>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</si>
  <si>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</si>
  <si>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</si>
  <si>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</si>
  <si>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</si>
  <si>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</si>
  <si>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</si>
  <si>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</si>
  <si>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</si>
  <si>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</si>
  <si>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</si>
  <si>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</si>
  <si>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</si>
  <si>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</si>
  <si>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</si>
  <si>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</si>
  <si>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</si>
  <si>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</si>
  <si>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</si>
  <si>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</si>
  <si>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</si>
  <si>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</si>
  <si>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</si>
  <si>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</si>
  <si>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</si>
  <si>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</si>
  <si>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</si>
  <si>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</si>
  <si>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</si>
  <si>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</si>
  <si>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</si>
  <si>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</si>
  <si>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</si>
  <si>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</si>
  <si>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</si>
  <si>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</si>
  <si>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</si>
  <si>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</si>
  <si>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</si>
  <si>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</si>
  <si>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</si>
  <si>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</si>
  <si>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</si>
  <si>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</si>
  <si>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</si>
  <si>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</si>
  <si>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</si>
  <si>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</si>
  <si>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</si>
  <si>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</si>
  <si>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</si>
  <si>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</si>
  <si>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</si>
  <si>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</si>
  <si>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</si>
  <si>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</si>
  <si>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</si>
  <si>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</si>
  <si>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</si>
  <si>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</si>
  <si>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</si>
  <si>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</si>
  <si>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</si>
  <si>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</si>
  <si>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</si>
  <si>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</si>
  <si>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</si>
  <si>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</si>
  <si>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</si>
  <si>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</si>
  <si>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</si>
  <si>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</si>
  <si>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</si>
  <si>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</si>
  <si>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</si>
  <si>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</si>
  <si>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</si>
  <si>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</si>
  <si>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</si>
  <si>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</si>
  <si>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</si>
  <si>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</si>
  <si>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</si>
  <si>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</si>
  <si>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</si>
  <si>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</si>
  <si>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</si>
  <si>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</si>
  <si>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</si>
  <si>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</si>
  <si>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</si>
  <si>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</si>
  <si>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</si>
  <si>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</si>
  <si>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</si>
  <si>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</si>
  <si>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</si>
  <si>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</si>
  <si>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</si>
  <si>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</si>
  <si>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</si>
  <si>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</si>
  <si>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</si>
  <si>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</si>
  <si>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</si>
  <si>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</si>
  <si>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</si>
  <si>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</si>
  <si>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</si>
  <si>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</si>
  <si>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</si>
  <si>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</si>
  <si>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</si>
  <si>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</si>
  <si>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</si>
  <si>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</si>
  <si>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</si>
  <si>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</si>
  <si>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</si>
  <si>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</si>
  <si>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</si>
  <si>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</si>
  <si>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</si>
  <si>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</si>
  <si>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</si>
  <si>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</si>
  <si>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</si>
  <si>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</si>
  <si>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</si>
  <si>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</si>
  <si>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</si>
  <si>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</si>
  <si>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</si>
  <si>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</si>
  <si>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</si>
  <si>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</si>
  <si>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</si>
  <si>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</si>
  <si>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</si>
  <si>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</si>
  <si>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</si>
  <si>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</si>
  <si>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</si>
  <si>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</si>
  <si>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</si>
  <si>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</si>
  <si>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</si>
  <si>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</si>
  <si>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</si>
  <si>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</si>
  <si>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</si>
  <si>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</si>
  <si>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</si>
  <si>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</si>
  <si>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</si>
  <si>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</si>
  <si>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</si>
  <si>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</si>
  <si>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</si>
  <si>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</si>
  <si>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</si>
  <si>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</si>
  <si>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</si>
  <si>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</si>
  <si>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</si>
  <si>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</si>
  <si>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</si>
  <si>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</si>
  <si>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</si>
  <si>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</si>
  <si>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</si>
  <si>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</si>
  <si>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</si>
  <si>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</si>
  <si>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</si>
  <si>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</si>
  <si>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</si>
  <si>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</si>
  <si>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</si>
  <si>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</si>
  <si>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</si>
  <si>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</si>
  <si>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</si>
  <si>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</si>
  <si>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</si>
  <si>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</si>
  <si>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</si>
  <si>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</si>
  <si>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</si>
  <si>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</si>
  <si>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</si>
  <si>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</si>
  <si>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</si>
  <si>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</si>
  <si>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</si>
  <si>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</si>
  <si>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</si>
  <si>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</si>
  <si>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</si>
  <si>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</si>
  <si>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</si>
  <si>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</si>
  <si>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</si>
  <si>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</si>
  <si>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</si>
  <si>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</si>
  <si>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</si>
  <si>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</si>
  <si>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</si>
  <si>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</si>
  <si>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</si>
  <si>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</si>
  <si>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</si>
  <si>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</si>
  <si>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</si>
  <si>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</si>
  <si>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</si>
  <si>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</si>
  <si>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</si>
  <si>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</si>
  <si>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</si>
  <si>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</si>
  <si>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</si>
  <si>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</si>
  <si>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</si>
  <si>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</si>
  <si>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</si>
  <si>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</si>
  <si>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</si>
  <si>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</si>
  <si>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</si>
  <si>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</si>
  <si>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</si>
  <si>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</si>
  <si>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</si>
  <si>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</si>
  <si>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</si>
  <si>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</si>
  <si>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</si>
  <si>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</si>
  <si>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</si>
  <si>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</si>
  <si>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</si>
  <si>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</si>
  <si>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</si>
  <si>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</si>
  <si>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</si>
  <si>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</si>
  <si>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</si>
  <si>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</si>
  <si>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</si>
  <si>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</si>
  <si>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</si>
  <si>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</si>
  <si>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</si>
  <si>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</si>
  <si>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</si>
  <si>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</si>
  <si>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</si>
  <si>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</si>
  <si>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</si>
  <si>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</si>
  <si>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</si>
  <si>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</si>
  <si>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</si>
  <si>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</si>
  <si>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</si>
  <si>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</si>
  <si>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</si>
  <si>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</si>
  <si>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</si>
  <si>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</si>
  <si>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</si>
  <si>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</si>
  <si>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</si>
  <si>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</si>
  <si>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</si>
  <si>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</si>
  <si>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</si>
  <si>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</si>
  <si>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</si>
  <si>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</si>
  <si>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</si>
  <si>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</si>
  <si>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</si>
  <si>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</si>
  <si>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</si>
  <si>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</si>
  <si>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</si>
  <si>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</si>
  <si>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</si>
  <si>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</si>
  <si>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</si>
  <si>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</si>
  <si>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</si>
  <si>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</si>
  <si>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</si>
  <si>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</si>
  <si>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</si>
  <si>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</si>
  <si>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</si>
  <si>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</si>
  <si>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</si>
  <si>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</si>
  <si>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</si>
  <si>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</si>
  <si>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</si>
  <si>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</si>
  <si>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</si>
  <si>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</si>
  <si>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</si>
  <si>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</si>
  <si>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</si>
  <si>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</si>
  <si>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</si>
  <si>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</si>
  <si>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</si>
  <si>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</si>
  <si>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</si>
  <si>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</si>
  <si>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</si>
  <si>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</si>
  <si>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</si>
  <si>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</si>
  <si>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</si>
  <si>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</si>
  <si>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</si>
  <si>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</si>
  <si>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</si>
  <si>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</si>
  <si>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</si>
  <si>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</si>
  <si>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</si>
  <si>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</si>
  <si>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</si>
  <si>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</si>
  <si>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</si>
  <si>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</si>
  <si>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</si>
  <si>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</si>
  <si>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</si>
  <si>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</si>
  <si>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</si>
  <si>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</si>
  <si>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</si>
  <si>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</si>
  <si>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</si>
  <si>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</si>
  <si>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</si>
  <si>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</si>
  <si>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</si>
  <si>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</si>
  <si>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</si>
  <si>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</si>
  <si>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</si>
  <si>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</si>
  <si>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</si>
  <si>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</si>
  <si>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</si>
  <si>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</si>
  <si>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</si>
  <si>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</si>
  <si>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</si>
  <si>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</si>
  <si>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</si>
  <si>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</si>
  <si>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</si>
  <si>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</si>
  <si>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</si>
  <si>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</si>
  <si>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</si>
  <si>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</si>
  <si>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</si>
  <si>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</si>
  <si>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</si>
  <si>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</si>
  <si>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</si>
  <si>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</si>
  <si>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</si>
  <si>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</si>
  <si>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</si>
  <si>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</si>
  <si>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</si>
  <si>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</si>
  <si>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</si>
  <si>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</si>
  <si>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</si>
  <si>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</si>
  <si>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</si>
  <si>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</si>
  <si>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</si>
  <si>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</si>
  <si>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</si>
  <si>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</si>
  <si>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</si>
  <si>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</si>
  <si>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</si>
  <si>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</si>
  <si>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</si>
  <si>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</si>
  <si>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</si>
  <si>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</si>
  <si>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</si>
  <si>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</si>
  <si>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</si>
  <si>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</si>
  <si>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</si>
  <si>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</si>
  <si>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</si>
  <si>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</si>
  <si>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</si>
  <si>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</si>
  <si>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</si>
  <si>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</si>
  <si>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</si>
  <si>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</si>
  <si>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</si>
  <si>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</si>
  <si>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</si>
  <si>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</si>
  <si>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</si>
  <si>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</si>
  <si>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</si>
  <si>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</si>
  <si>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</si>
  <si>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</si>
  <si>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</si>
  <si>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</si>
  <si>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</si>
  <si>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</si>
  <si>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</si>
  <si>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</si>
  <si>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</si>
  <si>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</si>
  <si>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</si>
  <si>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</si>
  <si>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</si>
  <si>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</si>
  <si>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</si>
  <si>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</si>
  <si>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</si>
  <si>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</si>
  <si>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</si>
  <si>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</si>
  <si>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</si>
  <si>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</si>
  <si>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</si>
  <si>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</si>
  <si>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</si>
  <si>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</si>
  <si>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</si>
  <si>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</si>
  <si>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</si>
  <si>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</si>
  <si>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</si>
  <si>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</si>
  <si>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</si>
  <si>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</si>
  <si>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</si>
  <si>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</si>
  <si>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</si>
  <si>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</si>
  <si>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</si>
  <si>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</si>
  <si>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</si>
  <si>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</si>
  <si>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</si>
  <si>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</si>
  <si>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</si>
  <si>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</si>
  <si>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</si>
  <si>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</si>
  <si>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</si>
  <si>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</si>
  <si>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</si>
  <si>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</si>
  <si>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</si>
  <si>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</si>
  <si>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</si>
  <si>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</si>
  <si>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</si>
  <si>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</si>
  <si>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</si>
  <si>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</si>
  <si>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</si>
  <si>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</si>
  <si>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</si>
  <si>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</si>
  <si>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</si>
  <si>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</si>
  <si>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</si>
  <si>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</si>
  <si>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</si>
  <si>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</si>
  <si>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</si>
  <si>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</si>
  <si>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</si>
  <si>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</si>
  <si>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</si>
  <si>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</si>
  <si>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</si>
  <si>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</si>
  <si>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</si>
  <si>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</si>
  <si>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</si>
  <si>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</si>
  <si>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</si>
  <si>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</si>
  <si>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</si>
  <si>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</si>
  <si>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</si>
  <si>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</si>
  <si>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</si>
  <si>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</si>
  <si>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</si>
  <si>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</si>
  <si>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</si>
  <si>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</si>
  <si>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</si>
  <si>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</si>
  <si>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</si>
  <si>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</si>
  <si>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</si>
  <si>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</si>
  <si>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</si>
  <si>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</si>
  <si>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</si>
  <si>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</si>
  <si>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</si>
  <si>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</si>
  <si>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</si>
  <si>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</si>
  <si>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</si>
  <si>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</si>
  <si>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</si>
  <si>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</si>
  <si>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</si>
  <si>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</si>
  <si>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</si>
  <si>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</si>
  <si>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</si>
  <si>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</si>
  <si>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</si>
  <si>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</si>
  <si>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</si>
  <si>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</si>
  <si>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</si>
  <si>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</si>
  <si>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</si>
  <si>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</si>
  <si>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</si>
  <si>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</si>
  <si>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</si>
  <si>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</si>
  <si>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</si>
  <si>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</si>
  <si>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</si>
  <si>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</si>
  <si>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</si>
  <si>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</si>
  <si>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</si>
  <si>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</si>
  <si>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</si>
  <si>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</si>
  <si>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</si>
  <si>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</si>
  <si>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</si>
  <si>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</si>
  <si>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</si>
  <si>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</si>
  <si>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</si>
  <si>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</si>
  <si>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</si>
  <si>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</si>
  <si>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</si>
  <si>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</si>
  <si>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</si>
  <si>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</si>
  <si>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</si>
  <si>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</si>
  <si>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</si>
  <si>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</si>
  <si>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</si>
  <si>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</si>
  <si>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</si>
  <si>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</si>
  <si>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</si>
  <si>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</si>
  <si>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</si>
  <si>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</si>
  <si>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</si>
  <si>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</si>
  <si>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</si>
  <si>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</si>
  <si>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</si>
  <si>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</si>
  <si>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</si>
  <si>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</si>
  <si>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</si>
  <si>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</si>
  <si>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</si>
  <si>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</si>
  <si>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</si>
  <si>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</si>
  <si>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</si>
  <si>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</si>
  <si>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</si>
  <si>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</si>
  <si>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</si>
  <si>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</si>
  <si>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</si>
  <si>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</si>
  <si>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</si>
  <si>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</si>
  <si>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</si>
  <si>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</si>
  <si>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</si>
  <si>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</si>
  <si>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</si>
  <si>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</si>
  <si>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</si>
  <si>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</si>
  <si>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</si>
  <si>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</si>
  <si>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</si>
  <si>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</si>
  <si>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</si>
  <si>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</si>
  <si>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</si>
  <si>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</si>
  <si>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</si>
  <si>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</si>
  <si>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</si>
  <si>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</si>
  <si>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</si>
  <si>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</si>
  <si>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</si>
  <si>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</si>
  <si>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</si>
  <si>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</si>
  <si>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</si>
  <si>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</si>
  <si>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</si>
  <si>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</si>
  <si>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</si>
  <si>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</si>
  <si>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</si>
  <si>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</si>
  <si>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</si>
  <si>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</si>
  <si>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</si>
  <si>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</si>
  <si>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</si>
  <si>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</si>
  <si>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</si>
  <si>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</si>
  <si>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</si>
  <si>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</si>
  <si>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</si>
  <si>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</si>
  <si>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</si>
  <si>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</si>
  <si>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</si>
  <si>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</si>
  <si>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</si>
  <si>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</si>
  <si>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</si>
  <si>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</si>
  <si>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</si>
  <si>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</si>
  <si>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</si>
  <si>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</si>
  <si>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</si>
  <si>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</si>
  <si>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</si>
  <si>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</si>
  <si>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</si>
  <si>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</si>
  <si>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</si>
  <si>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</si>
  <si>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</si>
  <si>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</si>
  <si>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</si>
  <si>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</si>
  <si>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</si>
  <si>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</si>
  <si>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</si>
  <si>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</si>
  <si>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</si>
  <si>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</si>
  <si>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</si>
  <si>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</si>
  <si>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</si>
  <si>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</si>
  <si>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</si>
  <si>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</si>
  <si>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</si>
  <si>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</si>
  <si>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</si>
  <si>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</si>
  <si>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</si>
  <si>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</si>
  <si>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</si>
  <si>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</si>
  <si>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</si>
  <si>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</si>
  <si>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</si>
  <si>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</si>
  <si>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</si>
  <si>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</si>
  <si>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</si>
  <si>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</si>
  <si>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</si>
  <si>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</si>
  <si>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</si>
  <si>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</si>
  <si>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</si>
  <si>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</si>
  <si>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</si>
  <si>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</si>
  <si>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</si>
  <si>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</si>
  <si>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</si>
  <si>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</si>
  <si>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</si>
  <si>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</si>
  <si>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</si>
  <si>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</si>
  <si>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</si>
  <si>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</si>
  <si>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</si>
  <si>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</si>
  <si>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</si>
  <si>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</si>
  <si>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</si>
  <si>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</si>
  <si>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</si>
  <si>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</si>
  <si>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</si>
  <si>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</si>
  <si>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</si>
  <si>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</si>
  <si>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</si>
  <si>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</si>
  <si>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</si>
  <si>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</si>
  <si>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</si>
  <si>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</si>
  <si>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</si>
  <si>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</si>
  <si>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</si>
  <si>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</si>
  <si>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</si>
  <si>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</si>
  <si>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</si>
  <si>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</si>
  <si>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</si>
  <si>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</si>
  <si>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</si>
  <si>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</si>
  <si>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</si>
  <si>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</si>
  <si>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</si>
  <si>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</si>
  <si>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</si>
  <si>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</si>
  <si>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</si>
  <si>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</si>
  <si>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</si>
  <si>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</si>
  <si>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</si>
  <si>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</si>
  <si>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</si>
  <si>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</si>
  <si>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</si>
  <si>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</si>
  <si>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</si>
  <si>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</si>
  <si>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</si>
  <si>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</si>
  <si>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</si>
  <si>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</si>
  <si>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</si>
  <si>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</si>
  <si>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</si>
  <si>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</si>
  <si>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</si>
  <si>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</si>
  <si>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</si>
  <si>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</si>
  <si>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</si>
  <si>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</si>
  <si>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</si>
  <si>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</si>
  <si>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</si>
  <si>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</si>
  <si>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</si>
  <si>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</si>
  <si>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</si>
  <si>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</si>
  <si>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</si>
  <si>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</si>
  <si>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</si>
  <si>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</si>
  <si>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</si>
  <si>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</si>
  <si>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</si>
  <si>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</si>
  <si>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</si>
  <si>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</si>
  <si>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</si>
  <si>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</si>
  <si>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</si>
  <si>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</si>
  <si>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</si>
  <si>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</si>
  <si>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</si>
  <si>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</si>
  <si>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</si>
  <si>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</si>
  <si>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</si>
  <si>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</si>
  <si>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</si>
  <si>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</si>
  <si>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</si>
  <si>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</si>
  <si>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</si>
  <si>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</si>
  <si>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</si>
  <si>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</si>
  <si>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</si>
  <si>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</si>
  <si>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</si>
  <si>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</si>
  <si>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</si>
  <si>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</si>
  <si>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</si>
  <si>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</si>
  <si>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</si>
  <si>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</si>
  <si>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</si>
  <si>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</si>
  <si>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</si>
  <si>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</si>
  <si>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</si>
  <si>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</si>
  <si>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</si>
  <si>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</si>
  <si>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</si>
  <si>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</si>
  <si>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</si>
  <si>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</si>
  <si>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</si>
  <si>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</si>
  <si>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</si>
  <si>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</si>
  <si>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</si>
  <si>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</si>
  <si>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</si>
  <si>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</si>
  <si>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</si>
  <si>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</si>
  <si>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</si>
  <si>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</si>
  <si>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</si>
  <si>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</si>
  <si>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</si>
  <si>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</si>
  <si>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</si>
  <si>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</si>
  <si>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</si>
  <si>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</si>
  <si>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</si>
  <si>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</si>
  <si>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</si>
  <si>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</si>
  <si>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</si>
  <si>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</si>
  <si>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</si>
  <si>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</si>
  <si>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</si>
  <si>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</si>
  <si>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</si>
  <si>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</si>
  <si>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</si>
  <si>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</si>
  <si>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</si>
  <si>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</si>
  <si>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</si>
  <si>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</si>
  <si>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</si>
  <si>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</si>
  <si>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</si>
  <si>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</si>
  <si>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</si>
  <si>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</si>
  <si>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</si>
  <si>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</si>
  <si>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</si>
  <si>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</si>
  <si>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</si>
  <si>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</si>
  <si>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</si>
  <si>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</si>
  <si>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</si>
  <si>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</si>
  <si>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</si>
  <si>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</si>
  <si>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</si>
  <si>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</si>
  <si>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</si>
  <si>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</si>
  <si>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</si>
  <si>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</si>
  <si>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</si>
  <si>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</si>
  <si>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</si>
  <si>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</si>
  <si>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</si>
  <si>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</si>
  <si>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</si>
  <si>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</si>
  <si>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</si>
  <si>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</si>
  <si>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</si>
  <si>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</si>
  <si>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</si>
  <si>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</si>
  <si>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</si>
  <si>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</si>
  <si>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</si>
  <si>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</si>
  <si>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</si>
  <si>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</si>
  <si>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</si>
  <si>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</si>
  <si>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</si>
  <si>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</si>
  <si>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</si>
  <si>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</si>
  <si>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</si>
  <si>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</si>
  <si>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</si>
  <si>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</si>
  <si>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</si>
  <si>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</si>
  <si>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</si>
  <si>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</si>
  <si>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</si>
  <si>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</si>
  <si>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</si>
  <si>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</si>
  <si>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</si>
  <si>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</si>
  <si>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</si>
  <si>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</si>
  <si>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</si>
  <si>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</si>
  <si>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</si>
  <si>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</si>
  <si>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</si>
  <si>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</si>
  <si>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</si>
  <si>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</si>
  <si>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</si>
  <si>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</si>
  <si>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</si>
  <si>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</si>
  <si>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</si>
  <si>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</si>
  <si>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</si>
  <si>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</si>
  <si>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</si>
  <si>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</si>
  <si>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</si>
  <si>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</si>
  <si>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</si>
  <si>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</si>
  <si>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</si>
  <si>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</si>
  <si>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</si>
  <si>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</si>
  <si>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</si>
  <si>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</si>
  <si>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</si>
  <si>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</si>
  <si>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</si>
  <si>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</si>
  <si>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</si>
  <si>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</si>
  <si>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</si>
  <si>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</si>
  <si>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</si>
  <si>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</si>
  <si>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</si>
  <si>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</si>
  <si>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</si>
  <si>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</si>
  <si>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</si>
  <si>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</si>
  <si>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</si>
  <si>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</si>
  <si>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</si>
  <si>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</si>
  <si>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</si>
  <si>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</si>
  <si>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</si>
  <si>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</si>
  <si>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</si>
  <si>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</si>
  <si>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</si>
  <si>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</si>
  <si>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</si>
  <si>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</si>
  <si>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</si>
  <si>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</si>
  <si>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</si>
  <si>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</si>
  <si>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</si>
  <si>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</si>
  <si>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</si>
  <si>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</si>
  <si>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</si>
  <si>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</si>
  <si>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</si>
  <si>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</si>
  <si>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</si>
  <si>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</si>
  <si>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</si>
  <si>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</si>
  <si>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</si>
  <si>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</si>
  <si>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</si>
  <si>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</si>
  <si>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</si>
  <si>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</si>
  <si>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</si>
  <si>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</si>
  <si>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</si>
  <si>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</si>
  <si>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</si>
  <si>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</si>
  <si>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</si>
  <si>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</si>
  <si>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</si>
  <si>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</si>
  <si>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</si>
  <si>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</si>
  <si>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</si>
  <si>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</si>
  <si>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</si>
  <si>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</si>
  <si>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</si>
  <si>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</si>
  <si>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</si>
  <si>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</si>
  <si>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</si>
  <si>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</si>
  <si>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</si>
  <si>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</si>
  <si>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</si>
  <si>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</si>
  <si>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</si>
  <si>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</si>
  <si>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</si>
  <si>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</si>
  <si>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</si>
  <si>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</si>
  <si>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</si>
  <si>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</si>
  <si>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</si>
  <si>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</si>
  <si>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</si>
  <si>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</si>
  <si>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</si>
  <si>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</si>
  <si>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</si>
  <si>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</si>
  <si>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</si>
  <si>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</si>
  <si>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</si>
  <si>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</si>
  <si>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</si>
  <si>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</si>
  <si>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</si>
  <si>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</si>
  <si>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</si>
  <si>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</si>
  <si>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</si>
  <si>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</si>
  <si>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</si>
  <si>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</si>
  <si>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</si>
  <si>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</si>
  <si>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</si>
  <si>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</si>
  <si>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</si>
  <si>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</si>
  <si>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</si>
  <si>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</si>
  <si>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</si>
  <si>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</si>
  <si>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</si>
  <si>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</si>
  <si>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</si>
  <si>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</si>
  <si>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</si>
  <si>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</si>
  <si>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</si>
  <si>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</si>
  <si>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</si>
  <si>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</si>
  <si>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</si>
  <si>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</si>
  <si>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</si>
  <si>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</si>
  <si>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</si>
  <si>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</si>
  <si>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</si>
  <si>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</si>
  <si>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</si>
  <si>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</si>
  <si>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</si>
  <si>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</si>
  <si>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</si>
  <si>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</si>
  <si>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</si>
  <si>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</si>
  <si>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</si>
  <si>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</si>
  <si>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</si>
  <si>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</si>
  <si>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</si>
  <si>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</si>
  <si>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</si>
  <si>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</si>
  <si>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</si>
  <si>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</si>
  <si>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</si>
  <si>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</si>
  <si>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</si>
  <si>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</si>
  <si>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</si>
  <si>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</si>
  <si>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</si>
  <si>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</si>
  <si>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</si>
  <si>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</si>
  <si>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</si>
  <si>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</si>
  <si>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</si>
  <si>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</si>
  <si>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</si>
  <si>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</si>
  <si>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</si>
  <si>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</si>
  <si>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</si>
  <si>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</si>
  <si>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</si>
  <si>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</si>
  <si>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</si>
  <si>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</si>
  <si>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</si>
  <si>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</si>
  <si>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</si>
  <si>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</si>
  <si>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</si>
  <si>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</si>
  <si>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</si>
  <si>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</si>
  <si>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</si>
  <si>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</si>
  <si>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</si>
  <si>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</si>
  <si>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</si>
  <si>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</si>
  <si>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</si>
  <si>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</si>
  <si>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</si>
  <si>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</si>
  <si>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</si>
  <si>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</si>
  <si>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</si>
  <si>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</si>
  <si>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</si>
  <si>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</si>
  <si>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</si>
  <si>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</si>
  <si>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</si>
  <si>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</si>
  <si>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</si>
  <si>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</si>
  <si>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</si>
  <si>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</si>
  <si>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</si>
  <si>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</si>
  <si>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</si>
  <si>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</si>
  <si>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</si>
  <si>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</si>
  <si>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</si>
  <si>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</si>
  <si>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</si>
  <si>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</si>
  <si>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</si>
  <si>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</si>
  <si>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</si>
  <si>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</si>
  <si>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</si>
  <si>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</si>
  <si>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</si>
  <si>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</si>
  <si>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</si>
  <si>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</si>
  <si>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</si>
  <si>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</si>
  <si>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</si>
  <si>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</si>
  <si>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</si>
  <si>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</si>
  <si>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</si>
  <si>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</si>
  <si>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</si>
  <si>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</si>
  <si>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</si>
  <si>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</si>
  <si>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</si>
  <si>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</si>
  <si>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</si>
  <si>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</si>
  <si>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</si>
  <si>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</si>
  <si>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</si>
  <si>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</si>
  <si>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</si>
  <si>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</si>
  <si>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</si>
  <si>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</si>
  <si>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</si>
  <si>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</si>
  <si>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</si>
  <si>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</si>
  <si>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</si>
  <si>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</si>
  <si>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</si>
  <si>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</si>
  <si>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</si>
  <si>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</si>
  <si>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</si>
  <si>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</si>
  <si>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</si>
  <si>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</si>
  <si>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</si>
  <si>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</si>
  <si>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</si>
  <si>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</si>
  <si>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</si>
  <si>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</si>
  <si>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</si>
  <si>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</si>
  <si>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</si>
  <si>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</si>
  <si>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</si>
  <si>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</si>
  <si>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</si>
  <si>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</si>
  <si>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</si>
  <si>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</si>
  <si>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</si>
  <si>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</si>
  <si>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</si>
  <si>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</si>
  <si>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</si>
  <si>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</si>
  <si>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</si>
  <si>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</si>
  <si>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</si>
  <si>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</si>
  <si>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</si>
  <si>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</si>
  <si>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</si>
  <si>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</si>
  <si>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</si>
  <si>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</si>
  <si>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</si>
  <si>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</si>
  <si>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</si>
  <si>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</si>
  <si>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</si>
  <si>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</si>
  <si>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</si>
  <si>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</si>
  <si>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</si>
  <si>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</si>
  <si>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</si>
  <si>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</si>
  <si>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</si>
  <si>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</si>
  <si>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</si>
  <si>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</si>
  <si>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</si>
  <si>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</si>
  <si>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</si>
  <si>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</si>
  <si>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</si>
  <si>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</si>
  <si>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</si>
  <si>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</si>
  <si>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</si>
  <si>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</si>
  <si>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</si>
  <si>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</si>
  <si>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</si>
  <si>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</si>
  <si>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</si>
  <si>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</si>
  <si>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</si>
  <si>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</si>
  <si>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</si>
  <si>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</si>
  <si>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</si>
  <si>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</si>
  <si>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</si>
  <si>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</si>
  <si>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</si>
  <si>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</si>
  <si>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</si>
  <si>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</si>
  <si>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</si>
  <si>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</si>
  <si>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</si>
  <si>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</si>
  <si>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</si>
  <si>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</si>
  <si>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</si>
  <si>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</si>
  <si>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</si>
  <si>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</si>
  <si>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</si>
  <si>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</si>
  <si>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</si>
  <si>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</si>
  <si>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</si>
  <si>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</si>
  <si>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</si>
  <si>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</si>
  <si>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</si>
  <si>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</si>
  <si>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</si>
  <si>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</si>
  <si>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</si>
  <si>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</si>
  <si>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</si>
  <si>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</si>
  <si>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</si>
  <si>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</si>
  <si>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</si>
  <si>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</si>
  <si>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</si>
  <si>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</si>
  <si>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</si>
  <si>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</si>
  <si>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</si>
  <si>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</si>
  <si>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</si>
  <si>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</si>
  <si>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</si>
  <si>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</si>
  <si>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</si>
  <si>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</si>
  <si>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</si>
  <si>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</si>
  <si>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</si>
  <si>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</si>
  <si>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</si>
  <si>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</si>
  <si>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</si>
  <si>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</si>
  <si>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</si>
  <si>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</si>
  <si>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</si>
  <si>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</si>
  <si>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</si>
  <si>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</si>
  <si>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</si>
  <si>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</si>
  <si>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</si>
  <si>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</si>
  <si>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</si>
  <si>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</si>
  <si>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</si>
  <si>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</si>
  <si>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</si>
  <si>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</si>
  <si>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</si>
  <si>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</si>
  <si>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</si>
  <si>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</si>
  <si>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</si>
  <si>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</si>
  <si>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</si>
  <si>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</si>
  <si>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</si>
  <si>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</si>
  <si>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</si>
  <si>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</si>
  <si>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</si>
  <si>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</si>
  <si>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</si>
  <si>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</si>
  <si>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</si>
  <si>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</si>
  <si>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</si>
  <si>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</si>
  <si>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</si>
  <si>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</si>
  <si>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</si>
  <si>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</si>
  <si>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</si>
  <si>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</si>
  <si>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</si>
  <si>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</si>
  <si>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</si>
  <si>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</si>
  <si>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</si>
  <si>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</si>
  <si>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</si>
  <si>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</si>
  <si>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</si>
  <si>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</si>
  <si>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</si>
  <si>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</si>
  <si>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</si>
  <si>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</si>
  <si>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</si>
  <si>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</si>
  <si>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</si>
  <si>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</si>
  <si>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</si>
  <si>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</si>
  <si>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</si>
  <si>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</si>
  <si>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</si>
  <si>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</si>
  <si>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</si>
  <si>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</si>
  <si>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</si>
  <si>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</si>
  <si>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</si>
  <si>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</si>
  <si>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</si>
  <si>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</si>
  <si>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</si>
  <si>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</si>
  <si>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</si>
  <si>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</si>
  <si>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</si>
  <si>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</si>
  <si>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</si>
  <si>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</si>
  <si>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</si>
  <si>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</si>
  <si>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</si>
  <si>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</si>
  <si>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</si>
  <si>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</si>
  <si>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</si>
  <si>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</si>
  <si>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</si>
  <si>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</si>
  <si>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</si>
  <si>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</si>
  <si>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</si>
  <si>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</si>
  <si>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</si>
  <si>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</si>
  <si>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</si>
  <si>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</si>
  <si>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</si>
  <si>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</si>
  <si>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</si>
  <si>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</si>
  <si>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</si>
  <si>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</si>
  <si>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</si>
  <si>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</si>
  <si>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</si>
  <si>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</si>
  <si>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</si>
  <si>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</si>
  <si>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</si>
  <si>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</si>
  <si>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</si>
  <si>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</si>
  <si>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</si>
  <si>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</si>
  <si>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</si>
  <si>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</si>
  <si>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</si>
  <si>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</si>
  <si>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</si>
  <si>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</si>
  <si>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</si>
  <si>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</si>
  <si>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</si>
  <si>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</si>
  <si>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</si>
  <si>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</si>
  <si>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</si>
  <si>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</si>
  <si>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</si>
  <si>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</si>
  <si>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</si>
  <si>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</si>
  <si>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</si>
  <si>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</si>
  <si>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</si>
  <si>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</si>
  <si>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</si>
  <si>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</si>
  <si>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</si>
  <si>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</si>
  <si>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</si>
  <si>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</si>
  <si>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</si>
  <si>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</si>
  <si>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</si>
  <si>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</si>
  <si>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</si>
  <si>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</si>
  <si>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</si>
  <si>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</si>
  <si>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</si>
  <si>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</si>
  <si>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</si>
  <si>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</si>
  <si>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</si>
  <si>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</si>
  <si>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</si>
  <si>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</si>
  <si>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</si>
  <si>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</si>
  <si>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</si>
  <si>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</si>
  <si>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</si>
  <si>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</si>
  <si>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</si>
  <si>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</si>
  <si>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</si>
  <si>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</si>
  <si>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</si>
  <si>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</si>
  <si>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</si>
  <si>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</si>
  <si>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</si>
  <si>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</si>
  <si>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</si>
  <si>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</si>
  <si>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</si>
  <si>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</si>
  <si>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</si>
  <si>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</si>
  <si>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</si>
  <si>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</si>
  <si>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</si>
  <si>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</si>
  <si>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</si>
  <si>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</si>
  <si>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</si>
  <si>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</si>
  <si>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</si>
  <si>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</si>
  <si>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</si>
  <si>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</si>
  <si>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</si>
  <si>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</si>
  <si>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</si>
  <si>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</si>
  <si>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</si>
  <si>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</si>
  <si>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</si>
  <si>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</si>
  <si>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</si>
  <si>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</si>
  <si>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</si>
  <si>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</si>
  <si>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</si>
  <si>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</si>
  <si>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</si>
  <si>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</si>
  <si>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</si>
  <si>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</si>
  <si>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</si>
  <si>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</si>
  <si>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</si>
  <si>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</si>
  <si>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</si>
  <si>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</si>
  <si>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</si>
  <si>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</si>
  <si>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</si>
  <si>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</si>
  <si>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</si>
  <si>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</si>
  <si>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</si>
  <si>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</si>
  <si>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</si>
  <si>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</si>
  <si>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</si>
  <si>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</si>
  <si>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</si>
  <si>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</si>
  <si>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</si>
  <si>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</si>
  <si>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</si>
  <si>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</si>
  <si>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</si>
  <si>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</si>
  <si>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</si>
  <si>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</si>
  <si>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</si>
  <si>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</si>
  <si>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</si>
  <si>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</si>
  <si>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</si>
  <si>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</si>
  <si>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</si>
  <si>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</si>
  <si>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</si>
  <si>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</si>
  <si>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</si>
  <si>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</si>
  <si>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</si>
  <si>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</si>
  <si>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</si>
  <si>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</si>
  <si>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</si>
  <si>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</si>
  <si>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</si>
  <si>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</si>
  <si>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</si>
  <si>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</si>
  <si>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</si>
  <si>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</si>
  <si>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</si>
  <si>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</si>
  <si>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</si>
  <si>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</si>
  <si>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</si>
  <si>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</si>
  <si>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</si>
  <si>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</si>
  <si>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</si>
  <si>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</si>
  <si>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</si>
  <si>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</si>
  <si>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</si>
  <si>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</si>
  <si>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</si>
  <si>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</si>
  <si>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</si>
  <si>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</si>
  <si>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</si>
  <si>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</si>
  <si>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</si>
  <si>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</si>
  <si>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</si>
  <si>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</si>
  <si>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</si>
  <si>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</si>
  <si>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</si>
  <si>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</si>
  <si>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</si>
  <si>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</si>
  <si>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</si>
  <si>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</si>
  <si>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</si>
  <si>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</si>
  <si>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</si>
  <si>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</si>
  <si>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</si>
  <si>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</si>
  <si>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</si>
  <si>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</si>
  <si>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</si>
  <si>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</si>
  <si>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</si>
  <si>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</si>
  <si>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</si>
  <si>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</si>
  <si>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</si>
  <si>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</si>
  <si>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</si>
  <si>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</si>
  <si>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</si>
  <si>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</si>
  <si>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</si>
  <si>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</si>
  <si>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</si>
  <si>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</si>
  <si>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</si>
  <si>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</si>
  <si>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</si>
  <si>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</si>
  <si>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</si>
  <si>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</si>
  <si>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</si>
  <si>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</si>
  <si>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</si>
  <si>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</si>
  <si>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</si>
  <si>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</si>
  <si>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</si>
  <si>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</si>
  <si>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</si>
  <si>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</si>
  <si>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</si>
  <si>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</si>
  <si>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</si>
  <si>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</si>
  <si>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</si>
  <si>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</si>
  <si>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</si>
  <si>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</si>
  <si>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</si>
  <si>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</si>
  <si>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</si>
  <si>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</si>
  <si>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</si>
  <si>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</si>
  <si>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</si>
  <si>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</si>
  <si>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</si>
  <si>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</si>
  <si>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</si>
  <si>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</si>
  <si>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</si>
  <si>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</si>
  <si>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</si>
  <si>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</si>
  <si>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</si>
  <si>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</si>
  <si>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</si>
  <si>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</si>
  <si>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</si>
  <si>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</si>
  <si>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</si>
  <si>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</si>
  <si>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</si>
  <si>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</si>
  <si>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</si>
  <si>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</si>
  <si>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</si>
  <si>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</si>
  <si>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</si>
  <si>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</si>
  <si>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</si>
  <si>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</si>
  <si>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</si>
  <si>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</si>
  <si>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</si>
  <si>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</si>
  <si>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</si>
  <si>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</si>
  <si>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</si>
  <si>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</si>
  <si>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</si>
  <si>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</si>
  <si>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</si>
  <si>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</si>
  <si>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</si>
  <si>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</si>
  <si>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</si>
  <si>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</si>
  <si>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</si>
  <si>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</si>
  <si>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</si>
  <si>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</si>
  <si>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</si>
  <si>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</si>
  <si>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</si>
  <si>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</si>
  <si>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</si>
  <si>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</si>
  <si>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</si>
  <si>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</si>
  <si>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</si>
  <si>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</si>
  <si>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</si>
  <si>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</si>
  <si>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</si>
  <si>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</si>
  <si>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</si>
  <si>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</si>
  <si>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</si>
  <si>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</si>
  <si>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</si>
  <si>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</si>
  <si>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</si>
  <si>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</si>
  <si>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</si>
  <si>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</si>
  <si>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</si>
  <si>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</si>
  <si>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</si>
  <si>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</si>
  <si>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</si>
  <si>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</si>
  <si>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</si>
  <si>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</si>
  <si>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</si>
  <si>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</si>
  <si>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</si>
  <si>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</si>
  <si>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</si>
  <si>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</si>
  <si>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</si>
  <si>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</si>
  <si>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</si>
  <si>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</si>
  <si>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</si>
  <si>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</si>
  <si>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</si>
  <si>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</si>
  <si>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</si>
  <si>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</si>
  <si>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</si>
  <si>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</si>
  <si>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</si>
  <si>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</si>
  <si>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</si>
  <si>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</si>
  <si>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</si>
  <si>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</si>
  <si>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</si>
  <si>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</si>
  <si>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</si>
  <si>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</si>
  <si>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</si>
  <si>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</si>
  <si>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</si>
  <si>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</si>
  <si>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</si>
  <si>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</si>
  <si>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</si>
  <si>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</si>
  <si>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</si>
  <si>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</si>
  <si>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</si>
  <si>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</si>
  <si>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</si>
  <si>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</si>
  <si>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</si>
  <si>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</si>
  <si>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</si>
  <si>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</si>
  <si>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</si>
  <si>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</si>
  <si>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</si>
  <si>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</si>
  <si>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</si>
  <si>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</si>
  <si>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</si>
  <si>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</si>
  <si>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</si>
  <si>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</si>
  <si>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</si>
  <si>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</si>
  <si>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</si>
  <si>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</si>
  <si>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</si>
  <si>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</si>
  <si>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</si>
  <si>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</si>
  <si>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</si>
  <si>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</si>
  <si>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</si>
  <si>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</si>
  <si>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</si>
  <si>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</si>
  <si>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</si>
  <si>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</si>
  <si>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</si>
  <si>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</si>
  <si>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</si>
  <si>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</si>
  <si>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</si>
  <si>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</si>
  <si>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</si>
  <si>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</si>
  <si>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</si>
  <si>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</si>
  <si>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</si>
  <si>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</si>
  <si>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</si>
  <si>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</si>
  <si>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</si>
  <si>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</si>
  <si>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</si>
  <si>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</si>
  <si>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</si>
  <si>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</si>
  <si>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</si>
  <si>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</si>
  <si>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</si>
  <si>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</si>
  <si>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</si>
  <si>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</si>
  <si>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</si>
  <si>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</si>
  <si>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</si>
  <si>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</si>
  <si>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</si>
  <si>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</si>
  <si>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</si>
  <si>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</si>
  <si>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</si>
  <si>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</si>
  <si>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</si>
  <si>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</si>
  <si>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</si>
  <si>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</si>
  <si>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</si>
  <si>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</si>
  <si>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</si>
  <si>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</si>
  <si>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</si>
  <si>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</si>
  <si>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</si>
  <si>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</si>
  <si>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</si>
  <si>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</si>
  <si>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</si>
  <si>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</si>
  <si>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</si>
  <si>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</si>
  <si>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</si>
  <si>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</si>
  <si>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</si>
  <si>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</si>
  <si>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</si>
  <si>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</si>
  <si>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</si>
  <si>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</si>
  <si>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</si>
  <si>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</si>
  <si>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</si>
  <si>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</si>
  <si>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</si>
  <si>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</si>
  <si>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</si>
  <si>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</si>
  <si>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</si>
  <si>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</si>
  <si>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</si>
  <si>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</si>
  <si>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</si>
  <si>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</si>
  <si>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</si>
  <si>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</si>
  <si>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</si>
  <si>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</si>
  <si>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</si>
  <si>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</si>
  <si>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</si>
  <si>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</si>
  <si>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</si>
  <si>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</si>
  <si>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</si>
  <si>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</si>
  <si>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</si>
  <si>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</si>
  <si>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</si>
  <si>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</si>
  <si>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</si>
  <si>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</si>
  <si>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</si>
  <si>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</si>
  <si>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</si>
  <si>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</si>
  <si>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</si>
  <si>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</si>
  <si>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</si>
  <si>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</si>
  <si>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</si>
  <si>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</si>
  <si>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</si>
  <si>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</si>
  <si>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</si>
  <si>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</si>
  <si>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</si>
  <si>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</si>
  <si>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</si>
  <si>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</si>
  <si>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</si>
  <si>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</si>
  <si>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</si>
  <si>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</si>
  <si>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</si>
  <si>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</si>
  <si>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</si>
  <si>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</si>
  <si>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</si>
  <si>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</si>
  <si>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</si>
  <si>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</si>
  <si>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</si>
  <si>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</si>
  <si>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</si>
  <si>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</si>
  <si>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</si>
  <si>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</si>
  <si>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</si>
  <si>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</si>
  <si>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</si>
  <si>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</si>
  <si>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</si>
  <si>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</si>
  <si>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</si>
  <si>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</si>
  <si>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</si>
  <si>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</si>
  <si>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</si>
  <si>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</si>
  <si>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</si>
  <si>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</si>
  <si>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</si>
  <si>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</si>
  <si>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</si>
  <si>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</si>
  <si>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</si>
  <si>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</si>
  <si>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</si>
  <si>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</si>
  <si>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</si>
  <si>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</si>
  <si>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</si>
  <si>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</si>
  <si>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</si>
  <si>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</si>
  <si>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</si>
  <si>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</si>
  <si>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</si>
  <si>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</si>
  <si>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</si>
  <si>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</si>
  <si>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</si>
  <si>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</si>
  <si>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</si>
  <si>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</si>
  <si>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</si>
  <si>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</si>
  <si>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</si>
  <si>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</si>
  <si>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</si>
  <si>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</si>
  <si>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</si>
  <si>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</si>
  <si>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</si>
  <si>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</si>
  <si>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</si>
  <si>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</si>
  <si>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</si>
  <si>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</si>
  <si>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</si>
  <si>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</si>
  <si>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</si>
  <si>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</si>
  <si>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</si>
  <si>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</si>
  <si>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</si>
  <si>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</si>
  <si>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</si>
  <si>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</si>
  <si>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</si>
  <si>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</si>
  <si>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</si>
  <si>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</si>
  <si>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</si>
  <si>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</si>
  <si>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</si>
  <si>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</si>
  <si>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</si>
  <si>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</si>
  <si>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</si>
  <si>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</si>
  <si>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</si>
  <si>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</si>
  <si>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</si>
  <si>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</si>
  <si>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</si>
  <si>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</si>
  <si>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</si>
  <si>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</si>
  <si>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</si>
  <si>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</si>
  <si>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</si>
  <si>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</si>
  <si>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</si>
  <si>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</si>
  <si>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</si>
  <si>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</si>
  <si>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</si>
  <si>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</si>
  <si>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</si>
  <si>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</si>
  <si>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</si>
  <si>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</si>
  <si>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</si>
  <si>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</si>
  <si>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</si>
  <si>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</si>
  <si>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</si>
  <si>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</si>
  <si>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</si>
  <si>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</si>
  <si>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</si>
  <si>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</si>
  <si>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</si>
  <si>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</si>
  <si>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</si>
  <si>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</si>
  <si>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</si>
  <si>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</si>
  <si>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</si>
  <si>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</si>
  <si>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</si>
  <si>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</si>
  <si>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</si>
  <si>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</si>
  <si>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</si>
  <si>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</si>
  <si>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</si>
  <si>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</si>
  <si>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</si>
  <si>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</si>
  <si>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</si>
  <si>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</si>
  <si>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</si>
  <si>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</si>
  <si>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</si>
  <si>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</si>
  <si>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</si>
  <si>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</si>
  <si>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</si>
  <si>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</si>
  <si>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</si>
  <si>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</si>
  <si>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</si>
  <si>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</si>
  <si>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</si>
  <si>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</si>
  <si>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</si>
  <si>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</si>
  <si>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</si>
  <si>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</si>
  <si>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</si>
  <si>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</si>
  <si>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</si>
  <si>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</si>
  <si>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</si>
  <si>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</si>
  <si>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</si>
  <si>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</si>
  <si>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</si>
  <si>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</si>
  <si>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</si>
  <si>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</si>
  <si>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</si>
  <si>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</si>
  <si>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</si>
  <si>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</si>
  <si>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</si>
  <si>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</si>
  <si>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</si>
  <si>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</si>
  <si>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</si>
  <si>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</si>
  <si>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</si>
  <si>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</si>
  <si>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</si>
  <si>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</si>
  <si>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</si>
  <si>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</si>
  <si>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</si>
  <si>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</si>
  <si>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</si>
  <si>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</si>
  <si>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</si>
  <si>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</si>
  <si>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</si>
  <si>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</si>
  <si>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</si>
  <si>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</si>
  <si>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</si>
  <si>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</si>
  <si>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</si>
  <si>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</si>
  <si>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</si>
  <si>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</si>
  <si>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</si>
  <si>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</si>
  <si>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</si>
  <si>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</si>
  <si>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</si>
  <si>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</si>
  <si>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</si>
  <si>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</si>
  <si>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</si>
  <si>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</si>
  <si>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</si>
  <si>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</si>
  <si>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</si>
  <si>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</si>
  <si>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</si>
  <si>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</si>
  <si>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</si>
  <si>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</si>
  <si>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</si>
  <si>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</si>
  <si>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</si>
  <si>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</si>
  <si>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</si>
  <si>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</si>
  <si>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</si>
  <si>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</si>
  <si>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</si>
  <si>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</si>
  <si>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</si>
  <si>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</si>
  <si>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</si>
  <si>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</si>
  <si>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</si>
  <si>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</si>
  <si>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</si>
  <si>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</si>
  <si>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</si>
  <si>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</si>
  <si>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</si>
  <si>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</si>
  <si>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</si>
  <si>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</si>
  <si>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</si>
  <si>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</si>
  <si>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</si>
  <si>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</si>
  <si>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</si>
  <si>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</si>
  <si>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</si>
  <si>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</si>
  <si>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</si>
  <si>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</si>
  <si>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</si>
  <si>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</si>
  <si>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</si>
  <si>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</si>
  <si>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</si>
  <si>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</si>
  <si>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</si>
  <si>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</si>
  <si>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</si>
  <si>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</si>
  <si>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</si>
  <si>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</si>
  <si>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</si>
  <si>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</si>
  <si>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</si>
  <si>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</si>
  <si>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</si>
  <si>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</si>
  <si>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</si>
  <si>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</si>
  <si>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</si>
  <si>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</si>
  <si>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</si>
  <si>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</si>
  <si>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</si>
  <si>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</si>
  <si>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</si>
  <si>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</si>
  <si>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</si>
  <si>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</si>
  <si>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</si>
  <si>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</si>
  <si>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</si>
  <si>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</si>
  <si>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</si>
  <si>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</si>
  <si>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</si>
  <si>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</si>
  <si>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</si>
  <si>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</si>
  <si>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</si>
  <si>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</si>
  <si>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</si>
  <si>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</si>
  <si>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</si>
  <si>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</si>
  <si>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</si>
  <si>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</si>
  <si>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</si>
  <si>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</si>
  <si>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</si>
  <si>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</si>
  <si>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</si>
  <si>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</si>
  <si>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</si>
  <si>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</si>
  <si>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</si>
  <si>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</si>
  <si>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</si>
  <si>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</si>
  <si>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</si>
  <si>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</si>
  <si>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</si>
  <si>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</si>
  <si>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</si>
  <si>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</si>
  <si>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</si>
  <si>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</si>
  <si>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</si>
  <si>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</si>
  <si>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</si>
  <si>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</si>
  <si>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</si>
  <si>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</si>
  <si>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</si>
  <si>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</si>
  <si>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</si>
  <si>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</si>
  <si>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</si>
  <si>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</si>
  <si>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</si>
  <si>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</si>
  <si>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</si>
  <si>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</si>
  <si>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</si>
  <si>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</si>
  <si>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</si>
  <si>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</si>
  <si>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</si>
  <si>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</si>
  <si>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</si>
  <si>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</si>
  <si>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</si>
  <si>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</si>
  <si>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</si>
  <si>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</si>
  <si>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</si>
  <si>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</si>
  <si>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</si>
  <si>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</si>
  <si>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</si>
  <si>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</si>
  <si>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</si>
  <si>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</si>
  <si>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</si>
  <si>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</si>
  <si>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</si>
  <si>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</si>
  <si>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</si>
  <si>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</si>
  <si>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</si>
  <si>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</si>
  <si>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</si>
  <si>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</si>
  <si>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</si>
  <si>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</si>
  <si>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</si>
  <si>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</si>
  <si>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</si>
  <si>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</si>
  <si>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</si>
  <si>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</si>
  <si>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</si>
  <si>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</si>
  <si>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</si>
  <si>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</si>
  <si>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</si>
  <si>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</si>
  <si>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</si>
  <si>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</si>
  <si>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</si>
  <si>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</si>
  <si>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</si>
  <si>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</si>
  <si>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</si>
  <si>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</si>
  <si>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</si>
  <si>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</si>
  <si>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</si>
  <si>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</si>
  <si>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</si>
  <si>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</si>
  <si>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</si>
  <si>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</si>
  <si>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</si>
  <si>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</si>
  <si>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</si>
  <si>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</si>
  <si>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</si>
  <si>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</si>
  <si>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</si>
  <si>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</si>
  <si>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</si>
  <si>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</si>
  <si>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</si>
  <si>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</si>
  <si>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</si>
  <si>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</si>
  <si>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</si>
  <si>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</si>
  <si>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</si>
  <si>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</si>
  <si>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</si>
  <si>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</si>
  <si>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</si>
  <si>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</si>
  <si>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</si>
  <si>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</si>
  <si>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</si>
  <si>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</si>
  <si>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</si>
  <si>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</si>
  <si>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</si>
  <si>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</si>
  <si>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</si>
  <si>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</si>
  <si>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</si>
  <si>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</si>
  <si>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</si>
  <si>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</si>
  <si>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</si>
  <si>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</si>
  <si>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</si>
  <si>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</si>
  <si>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</si>
  <si>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</si>
  <si>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</si>
  <si>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</si>
  <si>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</si>
  <si>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</si>
  <si>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</si>
  <si>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</si>
  <si>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</si>
  <si>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</si>
  <si>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</si>
  <si>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</si>
  <si>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</si>
  <si>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</si>
  <si>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</si>
  <si>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</si>
  <si>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</si>
  <si>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</si>
  <si>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</si>
  <si>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</si>
  <si>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</si>
  <si>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</si>
  <si>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</si>
  <si>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</si>
  <si>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</si>
  <si>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</si>
  <si>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</si>
  <si>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</si>
  <si>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</si>
  <si>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</si>
  <si>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</si>
  <si>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</si>
  <si>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</si>
  <si>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</si>
  <si>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</si>
  <si>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</si>
  <si>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</si>
  <si>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</si>
  <si>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</si>
  <si>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</si>
  <si>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</si>
  <si>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</si>
  <si>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</si>
  <si>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</si>
  <si>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</si>
  <si>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</si>
  <si>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</si>
  <si>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</si>
  <si>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</si>
  <si>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</si>
  <si>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</si>
  <si>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</si>
  <si>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</si>
  <si>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</si>
  <si>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</si>
  <si>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</si>
  <si>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</si>
  <si>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</si>
  <si>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</si>
  <si>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</si>
  <si>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</si>
  <si>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</si>
  <si>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</si>
  <si>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</si>
  <si>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</si>
  <si>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</si>
  <si>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</si>
  <si>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</si>
  <si>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</si>
  <si>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</si>
  <si>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</si>
  <si>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</si>
  <si>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</si>
  <si>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</si>
  <si>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</si>
  <si>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</si>
  <si>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</si>
  <si>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</si>
  <si>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</si>
  <si>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</si>
  <si>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</si>
  <si>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</si>
  <si>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</si>
  <si>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</si>
  <si>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</si>
  <si>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</si>
  <si>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</si>
  <si>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</si>
  <si>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</si>
  <si>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</si>
  <si>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</si>
  <si>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</si>
  <si>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</si>
  <si>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</si>
  <si>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</si>
  <si>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</si>
  <si>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</si>
  <si>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</si>
  <si>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</si>
  <si>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</si>
  <si>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</si>
  <si>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</si>
  <si>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</si>
  <si>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</si>
  <si>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</si>
  <si>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</si>
  <si>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</si>
  <si>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</si>
  <si>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</si>
  <si>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</si>
  <si>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</si>
  <si>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</si>
  <si>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</si>
  <si>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</si>
  <si>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</si>
  <si>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</si>
  <si>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</si>
  <si>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</si>
  <si>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</si>
  <si>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</si>
  <si>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</si>
  <si>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</si>
  <si>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</si>
  <si>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</si>
  <si>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</si>
  <si>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</si>
  <si>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</si>
  <si>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</si>
  <si>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</si>
  <si>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</si>
  <si>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</si>
  <si>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</si>
  <si>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</si>
  <si>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</si>
  <si>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</si>
  <si>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</si>
  <si>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</si>
  <si>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</si>
  <si>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</si>
  <si>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</si>
  <si>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</si>
  <si>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</si>
  <si>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</si>
  <si>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</si>
  <si>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</si>
  <si>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</si>
  <si>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</si>
  <si>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</si>
  <si>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</si>
  <si>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</si>
  <si>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</si>
  <si>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</si>
  <si>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</si>
  <si>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</si>
  <si>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</si>
  <si>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</si>
  <si>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</si>
  <si>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</si>
  <si>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</si>
  <si>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</si>
  <si>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</si>
  <si>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</si>
  <si>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</si>
  <si>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</si>
  <si>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</si>
  <si>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</si>
  <si>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</si>
  <si>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</si>
  <si>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</si>
  <si>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</si>
  <si>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</si>
  <si>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</si>
  <si>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</si>
  <si>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</si>
  <si>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</si>
  <si>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</si>
  <si>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</si>
  <si>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</si>
  <si>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</si>
  <si>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</si>
  <si>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</si>
  <si>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</si>
  <si>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</si>
  <si>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</si>
  <si>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</si>
  <si>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</si>
  <si>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</si>
  <si>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</si>
  <si>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</si>
  <si>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</si>
  <si>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</si>
  <si>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</si>
  <si>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</si>
  <si>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</si>
  <si>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</si>
  <si>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</si>
  <si>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</si>
  <si>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</si>
  <si>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</si>
  <si>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</si>
  <si>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</si>
  <si>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</si>
  <si>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</si>
  <si>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</si>
  <si>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</si>
  <si>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</si>
  <si>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</si>
  <si>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</si>
  <si>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</si>
  <si>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</si>
  <si>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</si>
  <si>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</si>
  <si>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</si>
  <si>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</si>
  <si>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</si>
  <si>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</si>
  <si>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</si>
  <si>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</si>
  <si>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</si>
  <si>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</si>
  <si>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</si>
  <si>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</si>
  <si>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</si>
  <si>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</si>
  <si>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</si>
  <si>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</si>
  <si>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</si>
  <si>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</si>
  <si>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</si>
  <si>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</si>
  <si>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</si>
  <si>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</si>
  <si>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</si>
  <si>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</si>
  <si>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</si>
  <si>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</si>
  <si>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</si>
  <si>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</si>
  <si>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</si>
  <si>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</si>
  <si>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</si>
  <si>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</si>
  <si>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</si>
  <si>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</si>
  <si>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</si>
  <si>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</si>
  <si>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</si>
  <si>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</si>
  <si>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</si>
  <si>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</si>
  <si>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</si>
  <si>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</si>
  <si>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</si>
  <si>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</si>
  <si>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</si>
  <si>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</si>
  <si>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</si>
  <si>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</si>
  <si>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</si>
  <si>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</si>
  <si>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</si>
  <si>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</si>
  <si>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</si>
  <si>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</si>
  <si>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</si>
  <si>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</si>
  <si>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</si>
  <si>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</si>
  <si>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</si>
  <si>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</si>
  <si>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</si>
  <si>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</si>
  <si>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</si>
  <si>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</si>
  <si>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</si>
  <si>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</si>
  <si>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</si>
  <si>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</si>
  <si>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</si>
  <si>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</si>
  <si>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</si>
  <si>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</si>
  <si>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</si>
  <si>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</si>
  <si>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</si>
  <si>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</si>
  <si>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</si>
  <si>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</si>
  <si>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</si>
  <si>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</si>
  <si>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</si>
  <si>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</si>
  <si>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</si>
  <si>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</si>
  <si>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</si>
  <si>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</si>
  <si>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</si>
  <si>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</si>
  <si>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</si>
  <si>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</si>
  <si>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</si>
  <si>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</si>
  <si>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</si>
  <si>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</si>
  <si>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</si>
  <si>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</si>
  <si>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</si>
  <si>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</si>
  <si>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</si>
  <si>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</si>
  <si>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</si>
  <si>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</si>
  <si>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</si>
  <si>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</si>
  <si>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</si>
  <si>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</si>
  <si>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</si>
  <si>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</si>
  <si>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</si>
  <si>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</si>
  <si>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</si>
  <si>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</si>
  <si>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</si>
  <si>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</si>
  <si>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</si>
  <si>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</si>
  <si>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</si>
  <si>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</si>
  <si>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</si>
  <si>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</si>
  <si>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</si>
  <si>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</si>
  <si>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</si>
  <si>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</si>
  <si>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</si>
  <si>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</si>
  <si>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</si>
  <si>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</si>
  <si>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</si>
  <si>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</si>
  <si>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</si>
  <si>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</si>
  <si>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</si>
  <si>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</si>
  <si>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</si>
  <si>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</si>
  <si>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</si>
  <si>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</si>
  <si>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</si>
  <si>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</si>
  <si>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</si>
  <si>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</si>
  <si>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</si>
  <si>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</si>
  <si>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</si>
  <si>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</si>
  <si>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</si>
  <si>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</si>
  <si>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</si>
  <si>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</si>
  <si>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</si>
  <si>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</si>
  <si>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</si>
  <si>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</si>
  <si>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</si>
  <si>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</si>
  <si>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</si>
  <si>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</si>
  <si>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</si>
  <si>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</si>
  <si>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</si>
  <si>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</si>
  <si>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</si>
  <si>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</si>
  <si>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</si>
  <si>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</si>
  <si>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</si>
  <si>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</si>
  <si>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</si>
  <si>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</si>
  <si>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</si>
  <si>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</si>
  <si>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</si>
  <si>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</si>
  <si>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</si>
  <si>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</si>
  <si>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</si>
  <si>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</si>
  <si>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</si>
  <si>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</si>
  <si>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</si>
  <si>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</si>
  <si>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</si>
  <si>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</si>
  <si>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</si>
  <si>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</si>
  <si>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</si>
  <si>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</si>
  <si>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</si>
  <si>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</si>
  <si>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</si>
  <si>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</si>
  <si>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</si>
  <si>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</si>
  <si>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</si>
  <si>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</si>
  <si>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</si>
  <si>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</si>
  <si>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</si>
  <si>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</si>
  <si>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</si>
  <si>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</si>
  <si>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</si>
  <si>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</si>
  <si>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</si>
  <si>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</si>
  <si>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</si>
  <si>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</si>
  <si>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</si>
  <si>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</si>
  <si>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</si>
  <si>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</si>
  <si>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</si>
  <si>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</si>
  <si>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</si>
  <si>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</si>
  <si>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</si>
  <si>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</si>
  <si>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</si>
  <si>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</si>
  <si>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</si>
  <si>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</si>
  <si>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</si>
  <si>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</si>
  <si>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</si>
  <si>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</si>
  <si>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</si>
  <si>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</si>
  <si>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</si>
  <si>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</si>
  <si>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</si>
  <si>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</si>
  <si>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</si>
  <si>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</si>
  <si>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</si>
  <si>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</si>
  <si>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</si>
  <si>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</si>
  <si>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</si>
  <si>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</si>
  <si>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</si>
  <si>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</si>
  <si>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</si>
  <si>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</si>
  <si>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</si>
  <si>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</si>
  <si>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</si>
  <si>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</si>
  <si>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</si>
  <si>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</si>
  <si>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</si>
  <si>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</si>
  <si>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</si>
  <si>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</si>
  <si>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</si>
  <si>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</si>
  <si>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</si>
  <si>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</si>
  <si>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</si>
  <si>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</si>
  <si>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</si>
  <si>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</si>
  <si>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</si>
  <si>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</si>
  <si>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</si>
  <si>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</si>
  <si>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</si>
  <si>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</si>
  <si>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</si>
  <si>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</si>
  <si>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</si>
  <si>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</si>
  <si>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</si>
  <si>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</si>
  <si>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</si>
  <si>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</si>
  <si>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</si>
  <si>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</si>
  <si>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</si>
  <si>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</si>
  <si>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</si>
  <si>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</si>
  <si>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</si>
  <si>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</si>
  <si>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</si>
  <si>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</si>
  <si>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</si>
  <si>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</si>
  <si>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</si>
  <si>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</si>
  <si>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</si>
  <si>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</si>
  <si>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</si>
  <si>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</si>
  <si>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</si>
  <si>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</si>
  <si>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</si>
  <si>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</si>
  <si>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</si>
  <si>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</si>
  <si>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</si>
  <si>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</si>
  <si>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</si>
  <si>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</si>
  <si>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</si>
  <si>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</si>
  <si>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</si>
  <si>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</si>
  <si>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</si>
  <si>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</si>
  <si>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</si>
  <si>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</si>
  <si>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</si>
  <si>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</si>
  <si>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</si>
  <si>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</si>
  <si>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</si>
  <si>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</si>
  <si>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</si>
  <si>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</si>
  <si>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</si>
  <si>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</si>
  <si>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</si>
  <si>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</si>
  <si>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</si>
  <si>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</si>
  <si>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</si>
  <si>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</si>
  <si>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</si>
  <si>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</si>
  <si>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</si>
  <si>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</si>
  <si>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</si>
  <si>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</si>
  <si>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</si>
  <si>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</si>
  <si>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</si>
  <si>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</si>
  <si>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</si>
  <si>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</si>
  <si>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</si>
  <si>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</si>
  <si>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</si>
  <si>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</si>
  <si>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</si>
  <si>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</si>
  <si>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</si>
  <si>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</si>
  <si>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</si>
  <si>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</si>
  <si>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</si>
  <si>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</si>
  <si>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</si>
  <si>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</si>
  <si>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</si>
  <si>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</si>
  <si>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</si>
  <si>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</si>
  <si>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</si>
  <si>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</si>
  <si>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</si>
  <si>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</si>
  <si>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</si>
  <si>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</si>
  <si>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</si>
  <si>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</si>
  <si>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</si>
  <si>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</si>
  <si>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</si>
  <si>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</si>
  <si>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</si>
  <si>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</si>
  <si>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</si>
  <si>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</si>
  <si>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</si>
  <si>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</si>
  <si>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</si>
  <si>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</si>
  <si>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</si>
  <si>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</si>
  <si>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</si>
  <si>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</si>
  <si>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</si>
  <si>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</si>
  <si>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</si>
  <si>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</si>
  <si>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</si>
  <si>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</si>
  <si>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</si>
  <si>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</si>
  <si>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</si>
  <si>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</si>
  <si>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</si>
  <si>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</si>
  <si>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</si>
  <si>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</si>
  <si>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</si>
  <si>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</si>
  <si>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</si>
  <si>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</si>
  <si>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</si>
  <si>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</si>
  <si>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</si>
  <si>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</si>
  <si>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</si>
  <si>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</si>
  <si>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</si>
  <si>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</si>
  <si>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</si>
  <si>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</si>
  <si>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</si>
  <si>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</si>
  <si>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</si>
  <si>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</si>
  <si>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</si>
  <si>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</si>
  <si>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</si>
  <si>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</si>
  <si>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</si>
  <si>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</si>
  <si>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</si>
  <si>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</si>
  <si>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</si>
  <si>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</si>
  <si>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</si>
  <si>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</si>
  <si>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</si>
  <si>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</si>
  <si>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</si>
  <si>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</si>
  <si>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</si>
  <si>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</si>
  <si>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</si>
  <si>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</si>
  <si>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</si>
  <si>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</si>
  <si>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</si>
  <si>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</si>
  <si>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</si>
  <si>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</si>
  <si>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</si>
  <si>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</si>
  <si>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</si>
  <si>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</si>
  <si>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</si>
  <si>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</si>
  <si>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</si>
  <si>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</si>
  <si>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</si>
  <si>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</si>
  <si>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</si>
  <si>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</si>
  <si>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</si>
  <si>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</si>
  <si>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</si>
  <si>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</si>
  <si>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</si>
  <si>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</si>
  <si>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</si>
  <si>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</si>
  <si>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</si>
  <si>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</si>
  <si>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</si>
  <si>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</si>
  <si>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</si>
  <si>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</si>
  <si>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</si>
  <si>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</si>
  <si>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</si>
  <si>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</si>
  <si>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</si>
  <si>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</si>
  <si>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</si>
  <si>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</si>
  <si>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</si>
  <si>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</si>
  <si>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</si>
  <si>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</si>
  <si>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</si>
  <si>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</si>
  <si>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</si>
  <si>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</si>
  <si>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</si>
  <si>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</si>
  <si>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</si>
  <si>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</si>
  <si>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</si>
  <si>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</si>
  <si>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</si>
  <si>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</si>
  <si>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</si>
  <si>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</si>
  <si>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</si>
  <si>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</si>
  <si>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</si>
  <si>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</si>
  <si>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</si>
  <si>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</si>
  <si>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</si>
  <si>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</si>
  <si>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</si>
  <si>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</si>
  <si>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</si>
  <si>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</si>
  <si>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</si>
  <si>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</si>
  <si>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</si>
  <si>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</si>
  <si>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</si>
  <si>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</si>
  <si>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</si>
  <si>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</si>
  <si>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</si>
  <si>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</si>
  <si>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</si>
  <si>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</si>
  <si>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</si>
  <si>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</si>
  <si>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</si>
  <si>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</si>
  <si>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</si>
  <si>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</si>
  <si>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</si>
  <si>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</si>
  <si>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</si>
  <si>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</si>
  <si>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</si>
  <si>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</si>
  <si>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</si>
  <si>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</si>
  <si>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</si>
  <si>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</si>
  <si>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</si>
  <si>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</si>
  <si>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</si>
  <si>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</si>
  <si>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</si>
  <si>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</si>
  <si>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</si>
  <si>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</si>
  <si>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</si>
  <si>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</si>
  <si>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</si>
  <si>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</si>
  <si>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</si>
  <si>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</si>
  <si>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</si>
  <si>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</si>
  <si>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</si>
  <si>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</si>
  <si>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</si>
  <si>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</si>
  <si>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</si>
  <si>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</si>
  <si>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</si>
  <si>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</si>
  <si>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</si>
  <si>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</si>
  <si>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</si>
  <si>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</si>
  <si>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</si>
  <si>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</si>
  <si>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</si>
  <si>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</si>
  <si>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</si>
  <si>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</si>
  <si>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</si>
  <si>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</si>
  <si>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</si>
  <si>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</si>
  <si>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</si>
  <si>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</si>
  <si>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</si>
  <si>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</si>
  <si>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</si>
  <si>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</si>
  <si>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</si>
  <si>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</si>
  <si>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</si>
  <si>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</si>
  <si>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</si>
  <si>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</si>
  <si>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</si>
  <si>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</si>
  <si>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</si>
  <si>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</si>
  <si>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</si>
  <si>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</si>
  <si>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</si>
  <si>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</si>
  <si>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</si>
  <si>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</si>
  <si>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</si>
  <si>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</si>
  <si>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</si>
  <si>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</si>
  <si>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</si>
  <si>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</si>
  <si>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</si>
  <si>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</si>
  <si>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</si>
  <si>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</si>
  <si>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</si>
  <si>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</si>
  <si>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</si>
  <si>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</si>
  <si>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</si>
  <si>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</si>
  <si>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</si>
  <si>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</si>
  <si>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</si>
  <si>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</si>
  <si>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</si>
  <si>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</si>
  <si>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</si>
  <si>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</si>
  <si>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</si>
  <si>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</si>
  <si>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</si>
  <si>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</si>
  <si>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</si>
  <si>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</si>
  <si>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</si>
  <si>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</si>
  <si>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</si>
  <si>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</si>
  <si>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</si>
  <si>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</si>
  <si>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</si>
  <si>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</si>
  <si>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</si>
  <si>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</si>
  <si>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</si>
  <si>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</si>
  <si>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</si>
  <si>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</si>
  <si>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</si>
  <si>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</si>
  <si>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</si>
  <si>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</si>
  <si>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</si>
  <si>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</si>
  <si>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</si>
  <si>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</si>
  <si>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</si>
  <si>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</si>
  <si>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</si>
  <si>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</si>
  <si>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</si>
  <si>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</si>
  <si>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</si>
  <si>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</si>
  <si>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</si>
  <si>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</si>
  <si>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</si>
  <si>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</si>
  <si>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</si>
  <si>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</si>
  <si>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</si>
  <si>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</si>
  <si>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</si>
  <si>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</si>
  <si>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</si>
  <si>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</si>
  <si>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</si>
  <si>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</si>
  <si>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</si>
  <si>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</si>
  <si>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</si>
  <si>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</si>
  <si>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</si>
  <si>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</si>
  <si>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</si>
  <si>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</si>
  <si>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</si>
  <si>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</si>
  <si>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</si>
  <si>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</si>
  <si>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</si>
  <si>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</si>
  <si>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</si>
  <si>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</si>
  <si>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</si>
  <si>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</si>
  <si>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</si>
  <si>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</si>
  <si>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</si>
  <si>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</si>
  <si>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</si>
  <si>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</si>
  <si>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</si>
  <si>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</si>
  <si>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</si>
  <si>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</si>
  <si>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</si>
  <si>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</si>
  <si>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</si>
  <si>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</si>
  <si>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</si>
  <si>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</si>
  <si>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</si>
  <si>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</si>
  <si>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</si>
  <si>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</si>
  <si>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</si>
  <si>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</si>
  <si>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</si>
  <si>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</si>
  <si>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</si>
  <si>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</si>
  <si>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</si>
  <si>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</si>
  <si>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</si>
  <si>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</si>
  <si>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</si>
  <si>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</si>
  <si>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</si>
  <si>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</si>
  <si>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</si>
  <si>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</si>
  <si>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</si>
  <si>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</si>
  <si>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</si>
  <si>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</si>
  <si>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</si>
  <si>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</si>
  <si>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</si>
  <si>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</si>
  <si>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</si>
  <si>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</si>
  <si>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</si>
  <si>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</si>
  <si>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</si>
  <si>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</si>
  <si>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</si>
  <si>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</si>
  <si>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</si>
  <si>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</si>
  <si>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</si>
  <si>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</si>
  <si>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</si>
  <si>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</si>
  <si>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</si>
  <si>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</si>
  <si>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</si>
  <si>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</si>
  <si>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</si>
  <si>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</si>
  <si>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</si>
  <si>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</si>
  <si>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</si>
  <si>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</si>
  <si>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</si>
  <si>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</si>
  <si>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</si>
  <si>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</si>
  <si>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</si>
  <si>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</si>
  <si>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</si>
  <si>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</si>
  <si>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</si>
  <si>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</si>
  <si>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</si>
  <si>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</si>
  <si>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</si>
  <si>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</si>
  <si>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</si>
  <si>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</si>
  <si>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</si>
  <si>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</si>
  <si>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</si>
  <si>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</si>
  <si>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</si>
  <si>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</si>
  <si>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</si>
  <si>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</si>
  <si>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</si>
  <si>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</si>
  <si>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</si>
  <si>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</si>
  <si>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</si>
  <si>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</si>
  <si>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</si>
  <si>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</si>
  <si>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</si>
  <si>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</si>
  <si>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</si>
  <si>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</si>
  <si>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</si>
  <si>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</si>
  <si>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</si>
  <si>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</si>
  <si>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</si>
  <si>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</si>
  <si>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</si>
  <si>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</si>
  <si>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</si>
  <si>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</si>
  <si>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</si>
  <si>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</si>
  <si>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</si>
  <si>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</si>
  <si>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</si>
  <si>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</si>
  <si>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</si>
  <si>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</si>
  <si>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</si>
  <si>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</si>
  <si>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</si>
  <si>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</si>
  <si>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</si>
  <si>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</si>
  <si>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</si>
  <si>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</si>
  <si>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</si>
  <si>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</si>
  <si>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</si>
  <si>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</si>
  <si>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</si>
  <si>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</si>
  <si>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</si>
  <si>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</si>
  <si>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</si>
  <si>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</si>
  <si>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</si>
  <si>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</si>
  <si>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</si>
  <si>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</si>
  <si>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</si>
  <si>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</si>
  <si>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</si>
  <si>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</si>
  <si>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</si>
  <si>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</si>
  <si>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</si>
  <si>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</si>
  <si>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</si>
  <si>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</si>
  <si>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</si>
  <si>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</si>
  <si>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</si>
  <si>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</si>
  <si>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</si>
  <si>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</si>
  <si>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</si>
  <si>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</si>
  <si>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</si>
  <si>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</si>
  <si>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</si>
  <si>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</si>
  <si>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</si>
  <si>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</si>
  <si>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</si>
  <si>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</si>
  <si>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</si>
  <si>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</si>
  <si>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</si>
  <si>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</si>
  <si>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</si>
  <si>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</si>
  <si>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</si>
  <si>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</si>
  <si>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</si>
  <si>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</si>
  <si>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</si>
  <si>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</si>
  <si>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</si>
  <si>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</si>
  <si>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</si>
  <si>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</si>
  <si>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</si>
  <si>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</si>
  <si>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</si>
  <si>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</si>
  <si>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</si>
  <si>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</si>
  <si>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</si>
  <si>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</si>
  <si>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</si>
  <si>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</si>
  <si>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</si>
  <si>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</si>
  <si>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</si>
  <si>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</si>
  <si>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</si>
  <si>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</si>
  <si>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</si>
  <si>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</si>
  <si>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</si>
  <si>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</si>
  <si>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</si>
  <si>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</si>
  <si>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</si>
  <si>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</si>
  <si>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</si>
  <si>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</si>
  <si>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</si>
  <si>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</si>
  <si>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</si>
  <si>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</si>
  <si>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</si>
  <si>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</si>
  <si>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</si>
  <si>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</si>
  <si>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</si>
  <si>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</si>
  <si>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</si>
  <si>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</si>
  <si>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</si>
  <si>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</si>
  <si>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</si>
  <si>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</si>
  <si>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</si>
  <si>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</si>
  <si>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</si>
  <si>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</si>
  <si>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</si>
  <si>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</si>
  <si>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</si>
  <si>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</si>
  <si>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</si>
  <si>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</si>
  <si>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</si>
  <si>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</si>
  <si>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</si>
  <si>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</si>
  <si>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</si>
  <si>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</si>
  <si>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</si>
  <si>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</si>
  <si>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</si>
  <si>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</si>
  <si>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</si>
  <si>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</si>
  <si>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</si>
  <si>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</si>
  <si>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</si>
  <si>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</si>
  <si>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</si>
  <si>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</si>
  <si>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</si>
  <si>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</si>
  <si>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</si>
  <si>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</si>
  <si>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</si>
  <si>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</si>
  <si>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</si>
  <si>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</si>
  <si>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</si>
  <si>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</si>
  <si>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</si>
  <si>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</si>
  <si>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</si>
  <si>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</si>
  <si>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</si>
  <si>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</si>
  <si>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</si>
  <si>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</si>
  <si>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</si>
  <si>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</si>
  <si>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</si>
  <si>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</si>
  <si>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</si>
  <si>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</si>
  <si>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</si>
  <si>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</si>
  <si>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</si>
  <si>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</si>
  <si>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</si>
  <si>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</si>
  <si>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</si>
  <si>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</si>
  <si>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</si>
  <si>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</si>
  <si>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</si>
  <si>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</si>
  <si>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</si>
  <si>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</si>
  <si>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</si>
  <si>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</si>
  <si>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</si>
  <si>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</si>
  <si>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</si>
  <si>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</si>
  <si>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</si>
  <si>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</si>
  <si>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</si>
  <si>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</si>
  <si>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</si>
  <si>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</si>
  <si>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</si>
  <si>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</si>
  <si>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</si>
  <si>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</si>
  <si>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</si>
  <si>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</si>
  <si>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</si>
  <si>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</si>
  <si>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</si>
  <si>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</si>
  <si>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</si>
  <si>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</si>
  <si>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</si>
  <si>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</si>
  <si>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</si>
  <si>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</si>
  <si>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</si>
  <si>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</si>
  <si>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</si>
  <si>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</si>
  <si>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</si>
  <si>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</si>
  <si>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</si>
  <si>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</si>
  <si>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</si>
  <si>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</si>
  <si>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</si>
  <si>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</si>
  <si>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</si>
  <si>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</si>
  <si>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</si>
  <si>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</si>
  <si>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</si>
  <si>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</si>
  <si>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</si>
  <si>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</si>
  <si>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</si>
  <si>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</si>
  <si>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</si>
  <si>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</si>
  <si>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</si>
  <si>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</si>
  <si>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</si>
  <si>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</si>
  <si>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</si>
  <si>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</si>
  <si>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</si>
  <si>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</si>
  <si>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</si>
  <si>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</si>
  <si>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</si>
  <si>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</si>
  <si>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</si>
  <si>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</si>
  <si>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</si>
  <si>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</si>
  <si>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</si>
  <si>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</si>
  <si>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</si>
  <si>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</si>
  <si>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</si>
  <si>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</si>
  <si>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</si>
  <si>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</si>
  <si>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</si>
  <si>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</si>
  <si>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</si>
  <si>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</si>
  <si>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</si>
  <si>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</si>
  <si>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</si>
  <si>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</si>
  <si>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</si>
  <si>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</si>
  <si>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</si>
  <si>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</si>
  <si>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</si>
  <si>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</si>
  <si>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</si>
  <si>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</si>
  <si>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</si>
  <si>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</si>
  <si>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</si>
  <si>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</si>
  <si>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</si>
  <si>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</si>
  <si>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</si>
  <si>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</si>
  <si>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</si>
  <si>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</si>
  <si>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</si>
  <si>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</si>
  <si>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</si>
  <si>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</si>
  <si>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</si>
  <si>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</si>
  <si>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</si>
  <si>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</si>
  <si>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</si>
  <si>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</si>
  <si>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</si>
  <si>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</si>
  <si>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</si>
  <si>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</si>
  <si>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</si>
  <si>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</si>
  <si>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</si>
  <si>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</si>
  <si>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</si>
  <si>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</si>
  <si>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</si>
  <si>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</si>
  <si>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</si>
  <si>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</si>
  <si>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</si>
  <si>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</si>
  <si>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</si>
  <si>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</si>
  <si>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</si>
  <si>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</si>
  <si>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</si>
  <si>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</si>
  <si>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</si>
  <si>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</si>
  <si>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</si>
  <si>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</si>
  <si>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</si>
  <si>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</si>
  <si>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</si>
  <si>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</si>
  <si>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</si>
  <si>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</si>
  <si>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</si>
  <si>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</si>
  <si>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</si>
  <si>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</si>
  <si>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</si>
  <si>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</si>
  <si>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</si>
  <si>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</si>
  <si>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</si>
  <si>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</si>
  <si>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</si>
  <si>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</si>
  <si>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</si>
  <si>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</si>
  <si>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</si>
  <si>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</si>
  <si>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</si>
  <si>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</si>
  <si>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</si>
  <si>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</si>
  <si>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</si>
  <si>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</si>
  <si>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</si>
  <si>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</si>
  <si>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</si>
  <si>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</si>
  <si>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</si>
  <si>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</si>
  <si>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</si>
  <si>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</si>
  <si>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</si>
  <si>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</si>
  <si>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</si>
  <si>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</si>
  <si>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</si>
  <si>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</si>
  <si>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</si>
  <si>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</si>
  <si>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</si>
  <si>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</si>
  <si>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</si>
  <si>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</si>
  <si>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</si>
  <si>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</si>
  <si>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</si>
  <si>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</si>
  <si>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</si>
  <si>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</si>
  <si>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</si>
  <si>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</si>
  <si>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</si>
  <si>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</si>
  <si>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</si>
  <si>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</si>
  <si>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</si>
  <si>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</si>
  <si>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</si>
  <si>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</si>
  <si>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</si>
  <si>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</si>
  <si>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</si>
  <si>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</si>
  <si>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</si>
  <si>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</si>
  <si>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</si>
  <si>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</si>
  <si>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</si>
  <si>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</si>
  <si>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</si>
  <si>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</si>
  <si>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</si>
  <si>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</si>
  <si>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</si>
  <si>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</si>
  <si>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</si>
  <si>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</si>
  <si>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</si>
  <si>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</si>
  <si>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</si>
  <si>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</si>
  <si>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</si>
  <si>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</si>
  <si>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</si>
  <si>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</si>
  <si>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</si>
  <si>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</si>
  <si>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</si>
  <si>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</si>
  <si>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</si>
  <si>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</si>
  <si>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</si>
  <si>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</si>
  <si>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</si>
  <si>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</si>
  <si>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</si>
  <si>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</si>
  <si>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</si>
  <si>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</si>
  <si>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</si>
  <si>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</si>
  <si>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</si>
  <si>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</si>
  <si>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</si>
  <si>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</si>
  <si>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</si>
  <si>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</si>
  <si>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</si>
  <si>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</si>
  <si>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</si>
  <si>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</si>
  <si>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</si>
  <si>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</si>
  <si>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</si>
  <si>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</si>
  <si>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</si>
  <si>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</si>
  <si>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</si>
  <si>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</si>
  <si>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</si>
  <si>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</si>
  <si>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</si>
  <si>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</si>
  <si>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</si>
  <si>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</si>
  <si>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</si>
  <si>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</si>
  <si>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</si>
  <si>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</si>
  <si>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</si>
  <si>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</si>
  <si>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</si>
  <si>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</si>
  <si>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</si>
  <si>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</si>
  <si>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</si>
  <si>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</si>
  <si>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</si>
  <si>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</si>
  <si>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</si>
  <si>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</si>
  <si>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</si>
  <si>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</si>
  <si>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</si>
  <si>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</si>
  <si>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</si>
  <si>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</si>
  <si>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</si>
  <si>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</si>
  <si>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</si>
  <si>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</si>
  <si>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</si>
  <si>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</si>
  <si>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</si>
  <si>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</si>
  <si>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</si>
  <si>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</si>
  <si>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</si>
  <si>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</si>
  <si>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</si>
  <si>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</si>
  <si>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</si>
  <si>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</si>
  <si>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</si>
  <si>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</si>
  <si>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</si>
  <si>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</si>
  <si>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</si>
  <si>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</si>
  <si>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</si>
  <si>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</si>
  <si>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</si>
  <si>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</si>
  <si>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</si>
  <si>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</si>
  <si>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</si>
  <si>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</si>
  <si>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</si>
  <si>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</si>
  <si>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</si>
  <si>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</si>
  <si>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</si>
  <si>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</si>
  <si>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</si>
  <si>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</si>
  <si>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</si>
  <si>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</si>
  <si>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</si>
  <si>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</si>
  <si>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</si>
  <si>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</si>
  <si>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</si>
  <si>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</si>
  <si>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</si>
  <si>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</si>
  <si>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</si>
  <si>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</si>
  <si>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</si>
  <si>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</si>
  <si>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</si>
  <si>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</si>
  <si>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</si>
  <si>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</si>
  <si>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</si>
  <si>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</si>
  <si>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</si>
  <si>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</si>
  <si>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</si>
  <si>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</si>
  <si>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</si>
  <si>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</si>
  <si>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</si>
  <si>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</si>
  <si>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</si>
  <si>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</si>
  <si>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</si>
  <si>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</si>
  <si>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</si>
  <si>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</si>
  <si>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</si>
  <si>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</si>
  <si>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</si>
  <si>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</si>
  <si>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</si>
  <si>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</si>
  <si>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</si>
  <si>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</si>
  <si>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</si>
  <si>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</si>
  <si>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</si>
  <si>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</si>
  <si>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</si>
  <si>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</si>
  <si>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</si>
  <si>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</si>
  <si>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</si>
  <si>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</si>
  <si>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</si>
  <si>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</si>
  <si>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</si>
  <si>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</si>
  <si>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</si>
  <si>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</si>
  <si>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</si>
  <si>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</si>
  <si>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</si>
  <si>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</si>
  <si>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</si>
  <si>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</si>
  <si>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</si>
  <si>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</si>
  <si>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</si>
  <si>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</si>
  <si>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</si>
  <si>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</si>
  <si>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</si>
  <si>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</si>
  <si>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</si>
  <si>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</si>
  <si>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</si>
  <si>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</si>
  <si>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</si>
  <si>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</si>
  <si>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</si>
  <si>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</si>
  <si>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</si>
  <si>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</si>
  <si>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</si>
  <si>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</si>
  <si>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</si>
  <si>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</si>
  <si>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</si>
  <si>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</si>
  <si>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</si>
  <si>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</si>
  <si>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</si>
  <si>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</si>
  <si>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</si>
  <si>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</si>
  <si>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</si>
  <si>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</si>
  <si>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</si>
  <si>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</si>
  <si>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</si>
  <si>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</si>
  <si>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</si>
  <si>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</si>
  <si>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</si>
  <si>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</si>
  <si>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</si>
  <si>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</si>
  <si>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</si>
  <si>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</si>
  <si>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</si>
  <si>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</si>
  <si>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</si>
  <si>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</si>
  <si>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</si>
  <si>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</si>
  <si>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</si>
  <si>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</si>
  <si>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</si>
  <si>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</si>
  <si>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</si>
  <si>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</si>
  <si>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</si>
  <si>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</si>
  <si>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</si>
  <si>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</si>
  <si>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</si>
  <si>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</si>
  <si>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</si>
  <si>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</si>
  <si>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</si>
  <si>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</si>
  <si>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</si>
  <si>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</si>
  <si>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</si>
  <si>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</si>
  <si>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</si>
  <si>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</si>
  <si>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</si>
  <si>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</si>
  <si>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</si>
  <si>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</si>
  <si>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</si>
  <si>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</si>
  <si>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</si>
  <si>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</si>
  <si>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</si>
  <si>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</si>
  <si>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</si>
  <si>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</si>
  <si>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</si>
  <si>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</si>
  <si>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</si>
  <si>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</si>
  <si>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</si>
  <si>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</si>
  <si>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</si>
  <si>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</si>
  <si>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</si>
  <si>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</si>
  <si>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</si>
  <si>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</si>
  <si>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</si>
  <si>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</si>
  <si>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</si>
  <si>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</si>
  <si>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</si>
  <si>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</si>
  <si>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</si>
  <si>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</si>
  <si>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</si>
  <si>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</si>
  <si>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</si>
  <si>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</si>
  <si>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</si>
  <si>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</si>
  <si>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</si>
  <si>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</si>
  <si>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</si>
  <si>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</si>
  <si>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</si>
  <si>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</si>
  <si>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</si>
  <si>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</si>
  <si>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</si>
  <si>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</si>
  <si>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</si>
  <si>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</si>
  <si>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</si>
  <si>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</si>
  <si>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</si>
  <si>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</si>
  <si>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</si>
  <si>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</si>
  <si>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</si>
  <si>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</si>
  <si>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</si>
  <si>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</si>
  <si>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</si>
  <si>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</si>
  <si>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</si>
  <si>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</si>
  <si>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</si>
  <si>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</si>
  <si>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</si>
  <si>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</si>
  <si>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</si>
  <si>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</si>
  <si>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</si>
  <si>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</si>
  <si>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</si>
  <si>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</si>
  <si>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</si>
  <si>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</si>
  <si>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</si>
  <si>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</si>
  <si>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</si>
  <si>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</si>
  <si>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</si>
  <si>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</si>
  <si>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</si>
  <si>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</si>
  <si>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</si>
  <si>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</si>
  <si>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</si>
  <si>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</si>
  <si>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</si>
  <si>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</si>
  <si>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</si>
  <si>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</si>
  <si>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</si>
  <si>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</si>
  <si>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</si>
  <si>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</si>
  <si>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</si>
  <si>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</si>
  <si>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</si>
  <si>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</si>
  <si>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</si>
  <si>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</si>
  <si>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</si>
  <si>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</si>
  <si>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</si>
  <si>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</si>
  <si>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</si>
  <si>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</si>
  <si>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</si>
  <si>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</si>
  <si>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</si>
  <si>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</si>
  <si>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</si>
  <si>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</si>
  <si>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</si>
  <si>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</si>
  <si>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</si>
  <si>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</si>
  <si>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</si>
  <si>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</si>
  <si>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</si>
  <si>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</si>
  <si>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</si>
  <si>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</si>
  <si>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</si>
  <si>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</si>
  <si>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</si>
  <si>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</si>
  <si>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</si>
  <si>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</si>
  <si>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</si>
  <si>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</si>
  <si>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</si>
  <si>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</si>
  <si>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</si>
  <si>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</si>
  <si>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</si>
  <si>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</si>
  <si>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</si>
  <si>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</si>
  <si>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</si>
  <si>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</si>
  <si>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</si>
  <si>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</si>
  <si>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</si>
  <si>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</si>
  <si>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</si>
  <si>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</si>
  <si>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</si>
  <si>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</si>
  <si>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</si>
  <si>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</si>
  <si>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</si>
  <si>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</si>
  <si>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</si>
  <si>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</si>
  <si>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</si>
  <si>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</si>
  <si>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</si>
  <si>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</si>
  <si>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</si>
  <si>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</si>
  <si>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</si>
  <si>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</si>
  <si>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</si>
  <si>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</si>
  <si>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</si>
  <si>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</si>
  <si>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</si>
  <si>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</si>
  <si>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</si>
  <si>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</si>
  <si>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</si>
  <si>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</si>
  <si>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</si>
  <si>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</si>
  <si>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</si>
  <si>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</si>
  <si>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</si>
  <si>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</si>
  <si>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</si>
  <si>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</si>
  <si>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</si>
  <si>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</si>
  <si>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</si>
  <si>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</si>
  <si>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</si>
  <si>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</si>
  <si>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</si>
  <si>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</si>
  <si>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</si>
  <si>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</si>
  <si>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</si>
  <si>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</si>
  <si>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</si>
  <si>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</si>
  <si>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</si>
  <si>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</si>
  <si>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</si>
  <si>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</si>
  <si>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</si>
  <si>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</si>
  <si>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</si>
  <si>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</si>
  <si>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</si>
  <si>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</si>
  <si>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</si>
  <si>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</si>
  <si>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</si>
  <si>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</si>
  <si>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</si>
  <si>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</si>
  <si>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</si>
  <si>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</si>
  <si>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</si>
  <si>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</si>
  <si>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</si>
  <si>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</si>
  <si>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</si>
  <si>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</si>
  <si>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</si>
  <si>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</si>
  <si>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</si>
  <si>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</si>
  <si>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</si>
  <si>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</si>
  <si>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</si>
  <si>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</si>
  <si>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</si>
  <si>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</si>
  <si>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</si>
  <si>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</si>
  <si>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</si>
  <si>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</si>
  <si>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</si>
  <si>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</si>
  <si>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</si>
  <si>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</si>
  <si>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</si>
  <si>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</si>
  <si>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</si>
  <si>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</si>
  <si>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</si>
  <si>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</si>
  <si>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</si>
  <si>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</si>
  <si>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</si>
  <si>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</si>
  <si>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</si>
  <si>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</si>
  <si>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</si>
  <si>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</si>
  <si>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</si>
  <si>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</si>
  <si>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</si>
  <si>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</si>
  <si>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</si>
  <si>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</si>
  <si>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</si>
  <si>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</si>
  <si>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</si>
  <si>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</si>
  <si>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</si>
  <si>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</si>
  <si>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</si>
  <si>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</si>
  <si>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</si>
  <si>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</si>
  <si>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</si>
  <si>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</si>
  <si>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</si>
  <si>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</si>
  <si>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</si>
  <si>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</si>
  <si>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</si>
  <si>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</si>
  <si>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</si>
  <si>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</si>
  <si>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</si>
  <si>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</si>
  <si>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</si>
  <si>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</si>
  <si>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</si>
  <si>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</si>
  <si>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</si>
  <si>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</si>
  <si>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</si>
  <si>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</si>
  <si>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</si>
  <si>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</si>
  <si>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</si>
  <si>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</si>
  <si>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</si>
  <si>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</si>
  <si>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</si>
  <si>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</si>
  <si>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</si>
  <si>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</si>
  <si>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</si>
  <si>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</si>
  <si>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</si>
  <si>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</si>
  <si>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</si>
  <si>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</si>
  <si>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</si>
  <si>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</si>
  <si>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</si>
  <si>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</si>
  <si>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</si>
  <si>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</si>
  <si>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</si>
  <si>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</si>
  <si>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</si>
  <si>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</si>
  <si>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</si>
  <si>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</si>
  <si>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</si>
  <si>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</si>
  <si>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</si>
  <si>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</si>
  <si>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</si>
  <si>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</si>
  <si>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</si>
  <si>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</si>
  <si>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</si>
  <si>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</si>
  <si>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</si>
  <si>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</si>
  <si>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</si>
  <si>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</si>
  <si>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</si>
  <si>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</si>
  <si>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</si>
  <si>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</si>
  <si>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</si>
  <si>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</si>
  <si>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</si>
  <si>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</si>
  <si>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</si>
  <si>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</si>
  <si>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</si>
  <si>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</si>
  <si>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</si>
  <si>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</si>
  <si>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</si>
  <si>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</si>
  <si>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</si>
  <si>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</si>
  <si>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</si>
  <si>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</si>
  <si>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</si>
  <si>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</si>
  <si>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</si>
  <si>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</si>
  <si>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</si>
  <si>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</si>
  <si>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</si>
  <si>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</si>
  <si>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</si>
  <si>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</si>
  <si>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</si>
  <si>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</si>
  <si>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</si>
  <si>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</si>
  <si>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</si>
  <si>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</si>
  <si>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</si>
  <si>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</si>
  <si>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</si>
  <si>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</si>
  <si>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</si>
  <si>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</si>
  <si>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</si>
  <si>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</si>
  <si>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</si>
  <si>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</si>
  <si>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</si>
  <si>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</si>
  <si>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</si>
  <si>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</si>
  <si>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</si>
  <si>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</si>
  <si>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</si>
  <si>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</si>
  <si>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</si>
  <si>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</si>
  <si>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</si>
  <si>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</si>
  <si>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</si>
  <si>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</si>
  <si>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</si>
  <si>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</si>
  <si>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</si>
  <si>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</si>
  <si>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</si>
  <si>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</si>
  <si>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</si>
  <si>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</si>
  <si>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</si>
  <si>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</si>
  <si>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</si>
  <si>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</si>
  <si>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</si>
  <si>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</si>
  <si>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</si>
  <si>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</si>
  <si>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</si>
  <si>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</si>
  <si>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</si>
  <si>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</si>
  <si>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</si>
  <si>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</si>
  <si>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</si>
  <si>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</si>
  <si>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</si>
  <si>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</si>
  <si>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</si>
  <si>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</si>
  <si>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</si>
  <si>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</si>
  <si>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</si>
  <si>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</si>
  <si>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</si>
  <si>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</si>
  <si>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</si>
  <si>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</si>
  <si>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</si>
  <si>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</si>
  <si>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</si>
  <si>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</si>
  <si>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</si>
  <si>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</si>
  <si>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</si>
  <si>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</si>
  <si>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</si>
  <si>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</si>
  <si>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</si>
  <si>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</si>
  <si>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</si>
  <si>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</si>
  <si>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</si>
  <si>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</si>
  <si>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</si>
  <si>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</si>
  <si>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</si>
  <si>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</si>
  <si>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</si>
  <si>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</si>
  <si>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</si>
  <si>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</si>
  <si>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</si>
  <si>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</si>
  <si>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</si>
  <si>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</si>
  <si>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</si>
  <si>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</si>
  <si>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</si>
  <si>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</si>
  <si>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</si>
  <si>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</si>
  <si>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</si>
  <si>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</si>
  <si>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</si>
  <si>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</si>
  <si>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</si>
  <si>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</si>
  <si>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</si>
  <si>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</si>
  <si>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</si>
  <si>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</si>
  <si>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</si>
  <si>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</si>
  <si>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</si>
  <si>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</si>
  <si>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</si>
  <si>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</si>
  <si>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</si>
  <si>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</si>
  <si>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</si>
  <si>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</si>
  <si>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</si>
  <si>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</si>
  <si>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</si>
  <si>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</si>
  <si>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</si>
  <si>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</si>
  <si>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</si>
  <si>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</si>
  <si>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</si>
  <si>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</si>
  <si>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</si>
  <si>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</si>
  <si>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</si>
  <si>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</si>
  <si>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</si>
  <si>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</si>
  <si>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</si>
  <si>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</si>
  <si>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</si>
  <si>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</si>
  <si>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</si>
  <si>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</si>
  <si>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</si>
  <si>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</si>
  <si>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</si>
  <si>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</si>
  <si>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</si>
  <si>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</si>
  <si>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</si>
  <si>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</si>
  <si>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</si>
  <si>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</si>
  <si>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</si>
  <si>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</si>
  <si>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</si>
  <si>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</si>
  <si>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</si>
  <si>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</si>
  <si>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</si>
  <si>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</si>
  <si>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</si>
  <si>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</si>
  <si>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</si>
  <si>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</si>
  <si>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</si>
  <si>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</si>
  <si>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</si>
  <si>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</si>
  <si>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</si>
  <si>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</si>
  <si>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</si>
  <si>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</si>
  <si>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</si>
  <si>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</si>
  <si>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</si>
  <si>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</si>
  <si>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</si>
  <si>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</si>
  <si>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</si>
  <si>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</si>
  <si>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</si>
  <si>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</si>
  <si>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</si>
  <si>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</si>
  <si>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</si>
  <si>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</si>
  <si>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</si>
  <si>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</si>
  <si>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</si>
  <si>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</si>
  <si>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</si>
  <si>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</si>
  <si>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</si>
  <si>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</si>
  <si>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</si>
  <si>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</si>
  <si>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</si>
  <si>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</si>
  <si>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</si>
  <si>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</si>
  <si>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</si>
  <si>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</si>
  <si>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</si>
  <si>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</si>
  <si>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</si>
  <si>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</si>
  <si>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</si>
  <si>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</si>
  <si>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</si>
  <si>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</si>
  <si>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</si>
  <si>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</si>
  <si>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</si>
  <si>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</si>
  <si>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</si>
  <si>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</si>
  <si>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</si>
  <si>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</si>
  <si>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</si>
  <si>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</si>
  <si>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</si>
  <si>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</si>
  <si>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</si>
  <si>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</si>
  <si>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</si>
  <si>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</si>
  <si>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</si>
  <si>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</si>
  <si>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</si>
  <si>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</si>
  <si>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</si>
  <si>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</si>
  <si>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</si>
  <si>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</si>
  <si>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</si>
  <si>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</si>
  <si>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</si>
  <si>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</si>
  <si>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</si>
  <si>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</si>
  <si>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</si>
  <si>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</si>
  <si>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</si>
  <si>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</si>
  <si>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</si>
  <si>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</si>
  <si>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</si>
  <si>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</si>
  <si>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</si>
  <si>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</si>
  <si>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</si>
  <si>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</si>
  <si>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</si>
  <si>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</si>
  <si>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</si>
  <si>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</si>
  <si>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</si>
  <si>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</si>
  <si>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</si>
  <si>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</si>
  <si>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</si>
  <si>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</si>
  <si>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</si>
  <si>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</si>
  <si>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</si>
  <si>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</si>
  <si>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</si>
  <si>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</si>
  <si>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</si>
  <si>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</si>
  <si>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</si>
  <si>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</si>
  <si>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</si>
  <si>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</si>
  <si>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</si>
  <si>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</si>
  <si>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</si>
  <si>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</si>
  <si>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</si>
  <si>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</si>
  <si>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</si>
  <si>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</si>
  <si>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</si>
  <si>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</si>
  <si>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</si>
  <si>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</si>
  <si>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</si>
  <si>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</si>
  <si>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</si>
  <si>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</si>
  <si>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</si>
  <si>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</si>
  <si>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</si>
  <si>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</si>
  <si>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</si>
  <si>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</si>
  <si>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</si>
  <si>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</si>
  <si>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</si>
  <si>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</si>
  <si>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</si>
  <si>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</si>
  <si>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</si>
  <si>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</si>
  <si>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</si>
  <si>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</si>
  <si>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</si>
  <si>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</si>
  <si>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</si>
  <si>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</si>
  <si>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</si>
  <si>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</si>
  <si>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</si>
  <si>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</si>
  <si>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</si>
  <si>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</si>
  <si>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</si>
  <si>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</si>
  <si>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</si>
  <si>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</si>
  <si>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</si>
  <si>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</si>
  <si>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</si>
  <si>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</si>
  <si>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</si>
  <si>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</si>
  <si>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</si>
  <si>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</si>
  <si>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</si>
  <si>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</si>
  <si>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</si>
  <si>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</si>
  <si>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</si>
  <si>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</si>
  <si>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</si>
  <si>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</si>
  <si>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</si>
  <si>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</si>
  <si>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</si>
  <si>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</si>
  <si>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</si>
  <si>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</si>
  <si>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</si>
  <si>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</si>
  <si>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</si>
  <si>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</si>
  <si>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</si>
  <si>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</si>
  <si>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</si>
  <si>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</si>
  <si>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</si>
  <si>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</si>
  <si>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</si>
  <si>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</si>
  <si>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</si>
  <si>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</si>
  <si>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</si>
  <si>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</si>
  <si>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</si>
  <si>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</si>
  <si>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</si>
  <si>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</si>
  <si>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</si>
  <si>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</si>
  <si>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</si>
  <si>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</si>
  <si>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</si>
  <si>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</si>
  <si>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</si>
  <si>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</si>
  <si>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</si>
  <si>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</si>
  <si>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</si>
  <si>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</si>
  <si>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</si>
  <si>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</si>
  <si>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</si>
  <si>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</si>
  <si>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</si>
  <si>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</si>
  <si>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</si>
  <si>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</si>
  <si>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</si>
  <si>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</si>
  <si>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</si>
  <si>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</si>
  <si>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</si>
  <si>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</si>
  <si>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</si>
  <si>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</si>
  <si>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</si>
  <si>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</si>
  <si>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</si>
  <si>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</si>
  <si>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</si>
  <si>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</si>
  <si>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</si>
  <si>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</si>
  <si>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</si>
  <si>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</si>
  <si>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</si>
  <si>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</si>
  <si>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</si>
  <si>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</si>
  <si>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</si>
  <si>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</si>
  <si>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</si>
  <si>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</si>
  <si>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</si>
  <si>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</si>
  <si>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</si>
  <si>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</si>
  <si>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</si>
  <si>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</si>
  <si>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</si>
  <si>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</si>
  <si>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</si>
  <si>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</si>
  <si>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</si>
  <si>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</si>
  <si>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</si>
  <si>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</si>
  <si>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</si>
  <si>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</si>
  <si>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</si>
  <si>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</si>
  <si>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</si>
  <si>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</si>
  <si>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</si>
  <si>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</si>
  <si>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</si>
  <si>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</si>
  <si>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</si>
  <si>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</si>
  <si>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</si>
  <si>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</si>
  <si>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</si>
  <si>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</si>
  <si>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</si>
  <si>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</si>
  <si>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</si>
  <si>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</si>
  <si>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</si>
  <si>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</si>
  <si>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</si>
  <si>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</si>
  <si>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</si>
  <si>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</si>
  <si>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</si>
  <si>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</si>
  <si>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</si>
  <si>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</si>
  <si>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</si>
  <si>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</si>
  <si>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</si>
  <si>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</si>
  <si>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</si>
  <si>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</si>
  <si>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</si>
  <si>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</si>
  <si>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</si>
  <si>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</si>
  <si>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</si>
  <si>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</si>
  <si>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</si>
  <si>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</si>
  <si>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</si>
  <si>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</si>
  <si>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</si>
  <si>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</si>
  <si>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</si>
  <si>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</si>
  <si>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</si>
  <si>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</si>
  <si>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</si>
  <si>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</si>
  <si>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</si>
  <si>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</si>
  <si>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</si>
  <si>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</si>
  <si>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</si>
  <si>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</si>
  <si>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</si>
  <si>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</si>
  <si>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</si>
  <si>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</si>
  <si>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</si>
  <si>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</si>
  <si>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</si>
  <si>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</si>
  <si>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</si>
  <si>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</si>
  <si>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</si>
  <si>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</si>
  <si>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</si>
  <si>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</si>
  <si>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</si>
  <si>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</si>
  <si>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</si>
  <si>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</si>
  <si>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</si>
  <si>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</si>
  <si>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</si>
  <si>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</si>
  <si>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</si>
  <si>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</si>
  <si>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</si>
  <si>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</si>
  <si>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</si>
  <si>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</si>
  <si>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</si>
  <si>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</si>
  <si>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</si>
  <si>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</si>
  <si>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</si>
  <si>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</si>
  <si>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</si>
  <si>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</si>
  <si>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</si>
  <si>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</si>
  <si>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</si>
  <si>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</si>
  <si>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</si>
  <si>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</si>
  <si>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</si>
  <si>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</si>
  <si>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</si>
  <si>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</si>
  <si>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</si>
  <si>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</si>
  <si>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</si>
  <si>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</si>
  <si>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</si>
  <si>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</si>
  <si>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</si>
  <si>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</si>
  <si>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</si>
  <si>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</si>
  <si>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</si>
  <si>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</si>
  <si>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</si>
  <si>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</si>
  <si>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</si>
  <si>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</si>
  <si>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</si>
  <si>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</si>
  <si>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</si>
  <si>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</si>
  <si>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</si>
  <si>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</si>
  <si>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</si>
  <si>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</si>
  <si>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</si>
  <si>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</si>
  <si>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</si>
  <si>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</si>
  <si>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</si>
  <si>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</si>
  <si>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</si>
  <si>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</si>
  <si>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</si>
  <si>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</si>
  <si>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</si>
  <si>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</si>
  <si>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</si>
  <si>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</si>
  <si>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</si>
  <si>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</si>
  <si>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</si>
  <si>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</si>
  <si>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</si>
  <si>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</si>
  <si>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</si>
  <si>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</si>
  <si>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</si>
  <si>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</si>
  <si>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</si>
  <si>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</si>
  <si>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</si>
  <si>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</si>
  <si>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</si>
  <si>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</si>
  <si>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</si>
  <si>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</si>
  <si>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</si>
  <si>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</si>
  <si>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</si>
  <si>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</si>
  <si>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</si>
  <si>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</si>
  <si>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</si>
  <si>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</si>
  <si>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</si>
  <si>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</si>
  <si>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</si>
  <si>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</si>
  <si>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</si>
  <si>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</si>
  <si>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</si>
  <si>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</si>
  <si>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</si>
  <si>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</si>
  <si>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</si>
  <si>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</si>
  <si>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</si>
  <si>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</si>
  <si>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</si>
  <si>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</si>
  <si>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</si>
  <si>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</si>
  <si>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</si>
  <si>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</si>
  <si>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</si>
  <si>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</si>
  <si>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</si>
  <si>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</si>
  <si>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</si>
  <si>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</si>
  <si>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</si>
  <si>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</si>
  <si>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</si>
  <si>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</si>
  <si>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</si>
  <si>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</si>
  <si>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</si>
  <si>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</si>
  <si>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</si>
  <si>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</si>
  <si>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</si>
  <si>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</si>
  <si>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</si>
  <si>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</si>
  <si>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</si>
  <si>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</si>
  <si>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</si>
  <si>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</si>
  <si>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</si>
  <si>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</si>
  <si>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</si>
  <si>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</si>
  <si>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</si>
  <si>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</si>
  <si>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</si>
  <si>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</si>
  <si>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</si>
  <si>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</si>
  <si>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</si>
  <si>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</si>
  <si>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</si>
  <si>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</si>
  <si>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</si>
  <si>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</si>
  <si>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</si>
  <si>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</si>
  <si>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</si>
  <si>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</si>
  <si>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</si>
  <si>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</si>
  <si>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</si>
  <si>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</si>
  <si>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</si>
  <si>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</si>
  <si>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</si>
  <si>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</si>
  <si>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</si>
  <si>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</si>
  <si>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</si>
  <si>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</si>
  <si>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</si>
  <si>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</si>
  <si>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</si>
  <si>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</si>
  <si>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</si>
  <si>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</si>
  <si>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</si>
  <si>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</si>
  <si>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</si>
  <si>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</si>
  <si>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</si>
  <si>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</si>
  <si>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</si>
  <si>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</si>
  <si>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</si>
  <si>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</si>
  <si>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</si>
  <si>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</si>
  <si>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</si>
  <si>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</si>
  <si>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</si>
  <si>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</si>
  <si>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</si>
  <si>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</si>
  <si>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</si>
  <si>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</si>
  <si>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</si>
  <si>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</si>
  <si>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</si>
  <si>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</si>
  <si>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</si>
  <si>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</si>
  <si>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</si>
  <si>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</si>
  <si>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</si>
  <si>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</si>
  <si>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</si>
  <si>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</si>
  <si>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</si>
  <si>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</si>
  <si>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</si>
  <si>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</si>
  <si>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</si>
  <si>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</si>
  <si>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</si>
  <si>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</si>
  <si>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</si>
  <si>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</si>
  <si>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</si>
  <si>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</si>
  <si>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</si>
  <si>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</si>
  <si>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</si>
  <si>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</si>
  <si>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</si>
  <si>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</si>
  <si>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</si>
  <si>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</si>
  <si>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</si>
  <si>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</si>
  <si>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</si>
  <si>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</si>
  <si>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</si>
  <si>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</si>
  <si>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</si>
  <si>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</si>
  <si>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</si>
  <si>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</si>
  <si>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</si>
  <si>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</si>
  <si>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</si>
  <si>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</si>
  <si>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</si>
  <si>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</si>
  <si>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</si>
  <si>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</si>
  <si>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</si>
  <si>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</si>
  <si>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</si>
  <si>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</si>
  <si>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</si>
  <si>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</si>
  <si>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</si>
  <si>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</si>
  <si>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</si>
  <si>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</si>
  <si>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</si>
  <si>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</si>
  <si>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</si>
  <si>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</si>
  <si>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</si>
  <si>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</si>
  <si>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</si>
  <si>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</si>
  <si>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</si>
  <si>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</si>
  <si>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</si>
  <si>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</si>
  <si>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</si>
  <si>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</si>
  <si>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</si>
  <si>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</si>
  <si>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</si>
  <si>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</si>
  <si>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</si>
  <si>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</si>
  <si>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</si>
  <si>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</si>
  <si>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</si>
  <si>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</si>
  <si>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</si>
  <si>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</si>
  <si>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</si>
  <si>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</si>
  <si>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</si>
  <si>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</si>
  <si>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</si>
  <si>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</si>
  <si>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</si>
  <si>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</si>
  <si>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</si>
  <si>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</si>
  <si>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</si>
  <si>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</si>
  <si>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</si>
  <si>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</si>
  <si>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</si>
  <si>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</si>
  <si>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</si>
  <si>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</si>
  <si>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</si>
  <si>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</si>
  <si>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</si>
  <si>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</si>
  <si>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</si>
  <si>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</si>
  <si>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</si>
  <si>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</si>
  <si>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</si>
  <si>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</si>
  <si>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</si>
  <si>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</si>
  <si>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</si>
  <si>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</si>
  <si>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</si>
  <si>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</si>
  <si>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</si>
  <si>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</si>
  <si>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</si>
  <si>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</si>
  <si>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</si>
  <si>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</si>
  <si>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</si>
  <si>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</si>
  <si>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</si>
  <si>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</si>
  <si>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</si>
  <si>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</si>
  <si>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</si>
  <si>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</si>
  <si>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</si>
  <si>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</si>
  <si>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</si>
  <si>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</si>
  <si>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</si>
  <si>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</si>
  <si>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</si>
  <si>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</si>
  <si>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</si>
  <si>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</si>
  <si>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</si>
  <si>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</si>
  <si>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</si>
  <si>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</si>
  <si>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</si>
  <si>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</si>
  <si>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</si>
  <si>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</si>
  <si>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</si>
  <si>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</si>
  <si>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</si>
  <si>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</si>
  <si>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</si>
  <si>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</si>
  <si>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</si>
  <si>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</si>
  <si>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</si>
  <si>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</si>
  <si>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</si>
  <si>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</si>
  <si>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</si>
  <si>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</si>
  <si>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</si>
  <si>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</si>
  <si>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</si>
  <si>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</si>
  <si>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</si>
  <si>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</si>
  <si>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</si>
  <si>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</si>
  <si>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</si>
  <si>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</si>
  <si>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</si>
  <si>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</si>
  <si>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</si>
  <si>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</si>
  <si>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</si>
  <si>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</si>
  <si>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</si>
  <si>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</si>
  <si>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</si>
  <si>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</si>
  <si>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</si>
  <si>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</si>
  <si>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</si>
  <si>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</si>
  <si>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</si>
  <si>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</si>
  <si>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</si>
  <si>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</si>
  <si>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</si>
  <si>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</si>
  <si>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</si>
  <si>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</si>
  <si>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</si>
  <si>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</si>
  <si>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</si>
  <si>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</si>
  <si>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</si>
  <si>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</si>
  <si>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</si>
  <si>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</si>
  <si>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</si>
  <si>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</si>
  <si>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</si>
  <si>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</si>
  <si>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</si>
  <si>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</si>
  <si>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</si>
  <si>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</si>
  <si>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</si>
  <si>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</si>
  <si>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</si>
  <si>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</si>
  <si>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</si>
  <si>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</si>
  <si>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</si>
  <si>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</si>
  <si>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</si>
  <si>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</si>
  <si>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</si>
  <si>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</si>
  <si>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</si>
  <si>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</si>
  <si>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</si>
  <si>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</si>
  <si>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</si>
  <si>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</si>
  <si>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</si>
  <si>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</si>
  <si>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</si>
  <si>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</si>
  <si>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</si>
  <si>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</si>
  <si>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</si>
  <si>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</si>
  <si>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</si>
  <si>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</si>
  <si>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</si>
  <si>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</si>
  <si>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</si>
  <si>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</si>
  <si>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</si>
  <si>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</si>
  <si>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</si>
  <si>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</si>
  <si>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</si>
  <si>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</si>
  <si>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</si>
  <si>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</si>
  <si>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</si>
  <si>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</si>
  <si>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</si>
  <si>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</si>
  <si>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</si>
  <si>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</si>
  <si>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</si>
  <si>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</si>
  <si>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</si>
  <si>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</si>
  <si>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</si>
  <si>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</si>
  <si>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</si>
  <si>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</si>
  <si>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</si>
  <si>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</si>
  <si>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</si>
  <si>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</si>
  <si>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</si>
  <si>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</si>
  <si>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</si>
  <si>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</si>
  <si>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</si>
  <si>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</si>
  <si>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</si>
  <si>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</si>
  <si>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</si>
  <si>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</si>
  <si>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</si>
  <si>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</si>
  <si>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</si>
  <si>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</si>
  <si>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</si>
  <si>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</si>
  <si>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</si>
  <si>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</si>
  <si>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</si>
  <si>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</si>
  <si>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</si>
  <si>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</si>
  <si>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</si>
  <si>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</si>
  <si>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</si>
  <si>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</si>
  <si>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</si>
  <si>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</si>
  <si>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</si>
  <si>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</si>
  <si>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</si>
  <si>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</si>
  <si>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</si>
  <si>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</si>
  <si>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</si>
  <si>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</si>
  <si>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</si>
  <si>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</si>
  <si>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</si>
  <si>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</si>
  <si>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</si>
  <si>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</si>
  <si>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</si>
  <si>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</si>
  <si>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</si>
  <si>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</si>
  <si>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</si>
  <si>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</si>
  <si>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</si>
  <si>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</si>
  <si>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</si>
  <si>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</si>
  <si>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</si>
  <si>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</si>
  <si>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</si>
  <si>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</si>
  <si>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</si>
  <si>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</si>
  <si>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</si>
  <si>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</si>
  <si>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</si>
  <si>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</si>
  <si>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</si>
  <si>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</si>
  <si>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</si>
  <si>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</si>
  <si>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</si>
  <si>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</si>
  <si>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</si>
  <si>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</si>
  <si>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</si>
  <si>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</si>
  <si>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</si>
  <si>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</si>
  <si>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</si>
  <si>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</si>
  <si>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</si>
  <si>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</si>
  <si>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</si>
  <si>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</si>
  <si>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</si>
  <si>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</si>
  <si>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</si>
  <si>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</si>
  <si>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</si>
  <si>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</si>
  <si>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</si>
  <si>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</si>
  <si>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</si>
  <si>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</si>
  <si>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</si>
  <si>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</si>
  <si>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</si>
  <si>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</si>
  <si>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</si>
  <si>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</si>
  <si>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</si>
  <si>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</si>
  <si>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</si>
  <si>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</si>
  <si>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</si>
  <si>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</si>
  <si>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</si>
  <si>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</si>
  <si>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</si>
  <si>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</si>
  <si>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</si>
  <si>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</si>
  <si>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</si>
  <si>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</si>
  <si>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</si>
  <si>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</si>
  <si>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</si>
  <si>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</si>
  <si>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</si>
  <si>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</si>
  <si>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</si>
  <si>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</si>
  <si>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</si>
  <si>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</si>
  <si>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</si>
  <si>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</si>
  <si>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</si>
  <si>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</si>
  <si>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</si>
  <si>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</si>
  <si>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</si>
  <si>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</si>
  <si>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</si>
  <si>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</si>
  <si>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</si>
  <si>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</si>
  <si>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</si>
  <si>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</si>
  <si>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</si>
  <si>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</si>
  <si>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</si>
  <si>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</si>
  <si>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</si>
  <si>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</si>
  <si>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</si>
  <si>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</si>
  <si>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</si>
  <si>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</si>
  <si>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</si>
  <si>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</si>
  <si>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</si>
  <si>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</si>
  <si>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</si>
  <si>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</si>
  <si>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</si>
  <si>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</si>
  <si>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</si>
  <si>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</si>
  <si>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</si>
  <si>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</si>
  <si>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</si>
  <si>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</si>
  <si>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</si>
  <si>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</si>
  <si>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</si>
  <si>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</si>
  <si>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</si>
  <si>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</si>
  <si>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</si>
  <si>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</si>
  <si>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</si>
  <si>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</si>
  <si>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</si>
  <si>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</si>
  <si>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</si>
  <si>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</si>
  <si>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</si>
  <si>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</si>
  <si>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</si>
  <si>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</si>
  <si>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</si>
  <si>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</si>
  <si>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</si>
  <si>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</si>
  <si>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</si>
  <si>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</si>
  <si>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</si>
  <si>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</si>
  <si>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</si>
  <si>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</si>
  <si>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</si>
  <si>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</si>
  <si>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</si>
  <si>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</si>
  <si>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</si>
  <si>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</si>
  <si>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</si>
  <si>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</si>
  <si>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</si>
  <si>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</si>
  <si>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</si>
  <si>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</si>
  <si>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</si>
  <si>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</si>
  <si>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</si>
  <si>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</si>
  <si>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</si>
  <si>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</si>
  <si>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</si>
  <si>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</si>
  <si>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</si>
  <si>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</si>
  <si>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</si>
  <si>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</si>
  <si>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</si>
  <si>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</si>
  <si>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</si>
  <si>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</si>
  <si>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</si>
  <si>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</si>
  <si>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</si>
  <si>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</si>
  <si>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</si>
  <si>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</si>
  <si>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</si>
  <si>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</si>
  <si>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</si>
  <si>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</si>
  <si>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</si>
  <si>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</si>
  <si>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</si>
  <si>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</si>
  <si>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</si>
  <si>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</si>
  <si>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</si>
  <si>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</si>
  <si>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</si>
  <si>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</si>
  <si>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</si>
  <si>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</si>
  <si>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</si>
  <si>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</si>
  <si>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</si>
  <si>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</si>
  <si>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</si>
  <si>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</si>
  <si>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</si>
  <si>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</si>
  <si>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</si>
  <si>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</si>
  <si>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</si>
  <si>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</si>
  <si>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</si>
  <si>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</si>
  <si>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</si>
  <si>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</si>
  <si>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</si>
  <si>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</si>
  <si>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</si>
  <si>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</si>
  <si>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</si>
  <si>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</si>
  <si>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</si>
  <si>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</si>
  <si>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</si>
  <si>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</si>
  <si>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</si>
  <si>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</si>
  <si>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</si>
  <si>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</si>
  <si>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</si>
  <si>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</si>
  <si>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</si>
  <si>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</si>
  <si>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</si>
  <si>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</si>
  <si>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</si>
  <si>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</si>
  <si>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</si>
  <si>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</si>
  <si>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</si>
  <si>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</si>
  <si>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</si>
  <si>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</si>
  <si>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</si>
  <si>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</si>
  <si>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</si>
  <si>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</si>
  <si>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</si>
  <si>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</si>
  <si>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</si>
  <si>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</si>
  <si>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</si>
  <si>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</si>
  <si>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</si>
  <si>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</si>
  <si>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</si>
  <si>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</si>
  <si>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</si>
  <si>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</si>
  <si>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</si>
  <si>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</si>
  <si>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</si>
  <si>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</si>
  <si>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</si>
  <si>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</si>
  <si>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</si>
  <si>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</si>
  <si>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</si>
  <si>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</si>
  <si>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</si>
  <si>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</si>
  <si>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</si>
  <si>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</si>
  <si>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</si>
  <si>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</si>
  <si>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</si>
  <si>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</si>
  <si>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</si>
  <si>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</si>
  <si>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</si>
  <si>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</si>
  <si>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</si>
  <si>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</si>
  <si>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</si>
  <si>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</si>
  <si>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</si>
  <si>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</si>
  <si>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</si>
  <si>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</si>
  <si>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</si>
  <si>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</si>
  <si>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</si>
  <si>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</si>
  <si>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</si>
  <si>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</si>
  <si>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</si>
  <si>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</si>
  <si>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</si>
  <si>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</si>
  <si>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</si>
  <si>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</si>
  <si>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</si>
  <si>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</si>
  <si>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</si>
  <si>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</si>
  <si>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</si>
  <si>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</si>
  <si>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</si>
  <si>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</si>
  <si>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</si>
  <si>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</si>
  <si>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</si>
  <si>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</si>
  <si>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</si>
  <si>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</si>
  <si>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</si>
  <si>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</si>
  <si>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</si>
  <si>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</si>
  <si>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</si>
  <si>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</si>
  <si>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</si>
  <si>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</si>
  <si>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</si>
  <si>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</si>
  <si>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</si>
  <si>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</si>
  <si>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</si>
  <si>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</si>
  <si>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</si>
  <si>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</si>
  <si>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</si>
  <si>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</si>
  <si>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</si>
  <si>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</si>
  <si>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</si>
  <si>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</si>
  <si>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</si>
  <si>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</si>
  <si>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</si>
  <si>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</si>
  <si>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</si>
  <si>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</si>
  <si>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</si>
  <si>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</si>
  <si>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</si>
  <si>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</si>
  <si>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</si>
  <si>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</si>
  <si>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</si>
  <si>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</si>
  <si>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</si>
  <si>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</si>
  <si>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</si>
  <si>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</si>
  <si>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</si>
  <si>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</si>
  <si>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</si>
  <si>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</si>
  <si>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</si>
  <si>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</si>
  <si>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</si>
  <si>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</si>
  <si>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</si>
  <si>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</si>
  <si>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</si>
  <si>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</si>
  <si>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</si>
  <si>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</si>
  <si>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</si>
  <si>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</si>
  <si>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</si>
  <si>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</si>
  <si>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</si>
  <si>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</si>
  <si>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</si>
  <si>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</si>
  <si>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</si>
  <si>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</si>
  <si>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</si>
  <si>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</si>
  <si>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</si>
  <si>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</si>
  <si>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</si>
  <si>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</si>
  <si>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</si>
  <si>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</si>
  <si>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</si>
  <si>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</si>
  <si>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</si>
  <si>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</si>
  <si>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</si>
  <si>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</si>
  <si>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</si>
  <si>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</si>
  <si>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</si>
  <si>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</si>
  <si>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</si>
  <si>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</si>
  <si>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</si>
  <si>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</si>
  <si>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</si>
  <si>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</si>
  <si>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</si>
  <si>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</si>
  <si>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</si>
  <si>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</si>
  <si>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</si>
  <si>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</si>
  <si>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</si>
  <si>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</si>
  <si>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</si>
  <si>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</si>
  <si>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</si>
  <si>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</si>
  <si>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</si>
  <si>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</si>
  <si>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</si>
  <si>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</si>
  <si>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</si>
  <si>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</si>
  <si>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</si>
  <si>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</si>
  <si>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</si>
  <si>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</si>
  <si>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</si>
  <si>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</si>
  <si>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</si>
  <si>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</si>
  <si>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</si>
  <si>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</si>
  <si>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</si>
  <si>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</si>
  <si>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</si>
  <si>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</si>
  <si>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</si>
  <si>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</si>
  <si>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</si>
  <si>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</si>
  <si>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</si>
  <si>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</si>
  <si>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</si>
  <si>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</si>
  <si>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</si>
  <si>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</si>
  <si>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</si>
  <si>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</si>
  <si>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</si>
  <si>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</si>
  <si>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</si>
  <si>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</si>
  <si>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</si>
  <si>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</si>
  <si>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</si>
  <si>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</si>
  <si>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</si>
  <si>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</si>
  <si>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</si>
  <si>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</si>
  <si>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</si>
  <si>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</si>
  <si>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</si>
  <si>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</si>
  <si>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</si>
  <si>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</si>
  <si>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</si>
  <si>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</si>
  <si>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</si>
  <si>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</si>
  <si>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</si>
  <si>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</si>
  <si>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</si>
  <si>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</si>
  <si>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</si>
  <si>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</si>
  <si>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</si>
  <si>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</si>
  <si>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</si>
  <si>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</si>
  <si>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</si>
  <si>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</si>
  <si>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</si>
  <si>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</si>
  <si>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</si>
  <si>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</si>
  <si>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</si>
  <si>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</si>
  <si>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</si>
  <si>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</si>
  <si>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</si>
  <si>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</si>
  <si>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</si>
  <si>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</si>
  <si>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</si>
  <si>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</si>
  <si>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</si>
  <si>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</si>
  <si>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</si>
  <si>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</si>
  <si>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</si>
  <si>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</si>
  <si>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</si>
  <si>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</si>
  <si>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</si>
  <si>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</si>
  <si>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</si>
  <si>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</si>
  <si>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</si>
  <si>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</si>
  <si>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</si>
  <si>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</si>
  <si>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</si>
  <si>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</si>
  <si>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</si>
  <si>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</si>
  <si>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</si>
  <si>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</si>
  <si>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</si>
  <si>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</si>
  <si>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</si>
  <si>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</si>
  <si>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</si>
  <si>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</si>
  <si>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</si>
  <si>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</si>
  <si>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</si>
  <si>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</si>
  <si>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</si>
  <si>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</si>
  <si>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</si>
  <si>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</si>
  <si>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</si>
  <si>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</si>
  <si>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</si>
  <si>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</si>
  <si>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</si>
  <si>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</si>
  <si>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</si>
  <si>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</si>
  <si>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</si>
  <si>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</si>
  <si>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</si>
  <si>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</si>
  <si>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</si>
  <si>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</si>
  <si>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</si>
  <si>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</si>
  <si>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</si>
  <si>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</si>
  <si>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</si>
  <si>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</si>
  <si>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</si>
  <si>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</si>
  <si>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</si>
  <si>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</si>
  <si>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</si>
  <si>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</si>
  <si>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</si>
  <si>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</si>
  <si>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</si>
  <si>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</si>
  <si>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</si>
  <si>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</si>
  <si>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</si>
  <si>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</si>
  <si>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</si>
  <si>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</si>
  <si>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</si>
  <si>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</si>
  <si>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</si>
  <si>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</si>
  <si>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</si>
  <si>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</si>
  <si>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</si>
  <si>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</si>
  <si>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</si>
  <si>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</si>
  <si>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</si>
  <si>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</si>
  <si>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</si>
  <si>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</si>
  <si>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</si>
  <si>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</si>
  <si>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</si>
  <si>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</si>
  <si>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</si>
  <si>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</si>
  <si>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</si>
  <si>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</si>
  <si>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</si>
  <si>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</si>
  <si>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</si>
  <si>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</si>
  <si>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</si>
  <si>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</si>
  <si>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</si>
  <si>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</si>
  <si>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</si>
  <si>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</si>
  <si>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</si>
  <si>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</si>
  <si>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</si>
  <si>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</si>
  <si>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</si>
  <si>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</si>
  <si>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</si>
  <si>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</si>
  <si>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</si>
  <si>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</si>
  <si>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</si>
  <si>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</si>
  <si>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</si>
  <si>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</si>
  <si>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</si>
  <si>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</si>
  <si>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</si>
  <si>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</si>
  <si>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</si>
  <si>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</si>
  <si>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</si>
  <si>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</si>
  <si>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</si>
  <si>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</si>
  <si>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</si>
  <si>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</si>
  <si>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</si>
  <si>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</si>
  <si>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</si>
  <si>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</si>
  <si>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</si>
  <si>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</si>
  <si>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</si>
  <si>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</si>
  <si>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</si>
  <si>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</si>
  <si>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</si>
  <si>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</si>
  <si>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</si>
  <si>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</si>
  <si>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</si>
  <si>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</si>
  <si>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</si>
  <si>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</si>
  <si>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</si>
  <si>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</si>
  <si>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</si>
  <si>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</si>
  <si>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</si>
  <si>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</si>
  <si>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</si>
  <si>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</si>
  <si>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</si>
  <si>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</si>
  <si>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</si>
  <si>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</si>
  <si>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</si>
  <si>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</si>
  <si>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</si>
  <si>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</si>
  <si>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</si>
  <si>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</si>
  <si>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</si>
  <si>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</si>
  <si>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</si>
  <si>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</si>
  <si>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</si>
  <si>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</si>
  <si>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</si>
  <si>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</si>
  <si>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</si>
  <si>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</si>
  <si>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</si>
  <si>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</si>
  <si>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</si>
  <si>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</si>
  <si>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</si>
  <si>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</si>
  <si>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</si>
  <si>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</si>
  <si>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</si>
  <si>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</si>
  <si>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</si>
  <si>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</si>
  <si>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</si>
  <si>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</si>
  <si>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</si>
  <si>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</si>
  <si>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</si>
  <si>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</si>
  <si>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</si>
  <si>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</si>
  <si>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</si>
  <si>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</si>
  <si>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</si>
  <si>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</si>
  <si>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</si>
  <si>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</si>
  <si>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</si>
  <si>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</si>
  <si>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</si>
  <si>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</si>
  <si>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</si>
  <si>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</si>
  <si>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</si>
  <si>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</si>
  <si>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</si>
  <si>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</si>
  <si>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</si>
  <si>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</si>
  <si>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</si>
  <si>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</si>
  <si>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</si>
  <si>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</si>
  <si>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</si>
  <si>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</si>
  <si>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</si>
  <si>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</si>
  <si>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</si>
  <si>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</si>
  <si>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</si>
  <si>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</si>
  <si>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</si>
  <si>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</si>
  <si>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</si>
  <si>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</si>
  <si>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</si>
  <si>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</si>
  <si>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</si>
  <si>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</si>
  <si>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</si>
  <si>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</si>
  <si>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</si>
  <si>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</si>
  <si>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</si>
  <si>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</si>
  <si>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</si>
  <si>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</si>
  <si>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</si>
  <si>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</si>
  <si>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</si>
  <si>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</si>
  <si>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</si>
  <si>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</si>
  <si>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</si>
  <si>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</si>
  <si>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</si>
  <si>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</si>
  <si>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</si>
  <si>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</si>
  <si>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</si>
  <si>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</si>
  <si>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</si>
  <si>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</si>
  <si>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</si>
  <si>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</si>
  <si>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</si>
  <si>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</si>
  <si>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</si>
  <si>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</si>
  <si>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</si>
  <si>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</si>
  <si>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</si>
  <si>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</si>
  <si>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</si>
  <si>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</si>
  <si>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</si>
  <si>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</si>
  <si>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</si>
  <si>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</si>
  <si>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</si>
  <si>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</si>
  <si>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</si>
  <si>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</si>
  <si>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</si>
  <si>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</si>
  <si>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</si>
  <si>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</si>
  <si>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</si>
  <si>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</si>
  <si>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</si>
  <si>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</si>
  <si>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</si>
  <si>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</si>
  <si>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</si>
  <si>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</si>
  <si>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</si>
  <si>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</si>
  <si>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</si>
  <si>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</si>
  <si>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</si>
  <si>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</si>
  <si>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</si>
  <si>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</si>
  <si>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</si>
  <si>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</si>
  <si>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</si>
  <si>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</si>
  <si>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</si>
  <si>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</si>
  <si>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</si>
  <si>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</si>
  <si>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</si>
  <si>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</si>
  <si>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</si>
  <si>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</si>
  <si>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</si>
  <si>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</si>
  <si>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</si>
  <si>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</si>
  <si>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</si>
  <si>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</si>
  <si>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</si>
  <si>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</si>
  <si>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</si>
  <si>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</si>
  <si>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</si>
  <si>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</si>
  <si>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</si>
  <si>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</si>
  <si>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</si>
  <si>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</si>
  <si>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</si>
  <si>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</si>
  <si>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</si>
  <si>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</si>
  <si>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</si>
  <si>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</si>
  <si>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</si>
  <si>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</si>
  <si>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</si>
  <si>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</si>
  <si>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</si>
  <si>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</si>
  <si>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</si>
  <si>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</si>
  <si>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</si>
  <si>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</si>
  <si>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</si>
  <si>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</si>
  <si>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</si>
  <si>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</si>
  <si>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</si>
  <si>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</si>
  <si>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</si>
  <si>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</si>
  <si>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</si>
  <si>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</si>
  <si>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</si>
  <si>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</si>
  <si>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</si>
  <si>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</si>
  <si>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</si>
  <si>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</si>
  <si>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</si>
  <si>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</si>
  <si>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</si>
  <si>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</si>
  <si>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</si>
  <si>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</si>
  <si>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</si>
  <si>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</si>
  <si>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</si>
  <si>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</si>
  <si>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</si>
  <si>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</si>
  <si>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</si>
  <si>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</si>
  <si>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</si>
  <si>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</si>
  <si>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</si>
  <si>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</si>
  <si>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</si>
  <si>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</si>
  <si>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</si>
  <si>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</si>
  <si>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</si>
  <si>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</si>
  <si>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</si>
  <si>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</si>
  <si>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</si>
  <si>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</si>
  <si>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</si>
  <si>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</si>
  <si>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</si>
  <si>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</si>
  <si>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</si>
  <si>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</si>
  <si>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</si>
  <si>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</si>
  <si>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</si>
  <si>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</si>
  <si>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</si>
  <si>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</si>
  <si>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</si>
  <si>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</si>
  <si>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</si>
  <si>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</si>
  <si>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</si>
  <si>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</si>
  <si>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</si>
  <si>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</si>
  <si>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</si>
  <si>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</si>
  <si>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</si>
  <si>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</si>
  <si>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</si>
  <si>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</si>
  <si>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</si>
  <si>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</si>
  <si>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</si>
  <si>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</si>
  <si>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</si>
  <si>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</si>
  <si>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</si>
  <si>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</si>
  <si>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</si>
  <si>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</si>
  <si>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</si>
  <si>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</si>
  <si>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</si>
  <si>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</si>
  <si>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</si>
  <si>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</si>
  <si>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</si>
  <si>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</si>
  <si>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</si>
  <si>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</si>
  <si>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</si>
  <si>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</si>
  <si>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</si>
  <si>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</si>
  <si>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</si>
  <si>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</si>
  <si>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</si>
  <si>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</si>
  <si>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</si>
  <si>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</si>
  <si>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</si>
  <si>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</si>
  <si>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</si>
  <si>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</si>
  <si>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</si>
  <si>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</si>
  <si>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</si>
  <si>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</si>
  <si>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</si>
  <si>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</si>
  <si>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</si>
  <si>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</si>
  <si>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</si>
  <si>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</si>
  <si>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</si>
  <si>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</si>
  <si>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</si>
  <si>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</si>
  <si>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</si>
  <si>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</si>
  <si>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</si>
  <si>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</si>
  <si>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</si>
  <si>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</si>
  <si>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</si>
  <si>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</si>
  <si>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</si>
  <si>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</si>
  <si>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</si>
  <si>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</si>
  <si>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</si>
  <si>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</si>
  <si>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</si>
  <si>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</si>
  <si>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</si>
  <si>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</si>
  <si>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</si>
  <si>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</si>
  <si>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</si>
  <si>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</si>
  <si>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</si>
  <si>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</si>
  <si>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</si>
  <si>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</si>
  <si>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</si>
  <si>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</si>
  <si>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</si>
  <si>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</si>
  <si>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</si>
  <si>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</si>
  <si>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</si>
  <si>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</si>
  <si>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</si>
  <si>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</si>
  <si>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</si>
  <si>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</si>
  <si>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</si>
  <si>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</si>
  <si>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</si>
  <si>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</si>
  <si>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</si>
  <si>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</si>
  <si>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</si>
  <si>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</si>
  <si>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</si>
  <si>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</si>
  <si>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</si>
  <si>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</si>
  <si>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</si>
  <si>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</si>
  <si>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</si>
  <si>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</si>
  <si>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</si>
  <si>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</si>
  <si>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</si>
  <si>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</si>
  <si>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</si>
  <si>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</si>
  <si>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</si>
  <si>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</si>
  <si>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</si>
  <si>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</si>
  <si>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</si>
  <si>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</si>
  <si>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</si>
  <si>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</si>
  <si>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</si>
  <si>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</si>
  <si>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</si>
  <si>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</si>
  <si>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</si>
  <si>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</si>
  <si>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</si>
  <si>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</si>
  <si>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</si>
  <si>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</si>
  <si>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</si>
  <si>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</si>
  <si>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</si>
  <si>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</si>
  <si>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</si>
  <si>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</si>
  <si>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</si>
  <si>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</si>
  <si>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</si>
  <si>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</si>
  <si>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</si>
  <si>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</si>
  <si>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</si>
  <si>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</si>
  <si>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</si>
  <si>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</si>
  <si>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</si>
  <si>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</si>
  <si>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</si>
  <si>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</si>
  <si>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</si>
  <si>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</si>
  <si>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</si>
  <si>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</si>
  <si>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</si>
  <si>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</si>
  <si>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</si>
  <si>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</si>
  <si>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</si>
  <si>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</si>
  <si>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</si>
  <si>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</si>
  <si>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</si>
  <si>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</si>
  <si>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</si>
  <si>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</si>
  <si>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</si>
  <si>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</si>
  <si>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</si>
  <si>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</si>
  <si>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</si>
  <si>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</si>
  <si>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</si>
  <si>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</si>
  <si>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</si>
  <si>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</si>
  <si>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</si>
  <si>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</si>
  <si>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</si>
  <si>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</si>
  <si>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</si>
  <si>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</si>
  <si>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</si>
  <si>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</si>
  <si>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</si>
  <si>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</si>
  <si>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</si>
  <si>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</si>
  <si>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</si>
  <si>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</si>
  <si>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</si>
  <si>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</si>
  <si>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</si>
  <si>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</si>
  <si>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</si>
  <si>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</si>
  <si>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</si>
  <si>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</si>
  <si>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</si>
  <si>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</si>
  <si>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</si>
  <si>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</si>
  <si>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</si>
  <si>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</si>
  <si>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</si>
  <si>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</si>
  <si>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</si>
  <si>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</si>
  <si>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</si>
  <si>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</si>
  <si>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</si>
  <si>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</si>
  <si>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</si>
  <si>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</si>
  <si>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</si>
  <si>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</si>
  <si>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</si>
  <si>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</si>
  <si>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</si>
  <si>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</si>
  <si>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</si>
  <si>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</si>
  <si>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</si>
  <si>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</si>
  <si>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</si>
  <si>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</si>
  <si>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</si>
  <si>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</si>
  <si>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</si>
  <si>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</si>
  <si>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</si>
  <si>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</si>
  <si>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</si>
  <si>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</si>
  <si>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</si>
  <si>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</si>
  <si>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</si>
  <si>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</si>
  <si>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</si>
  <si>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</si>
  <si>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</si>
  <si>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</si>
  <si>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</si>
  <si>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</si>
  <si>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</si>
  <si>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</si>
  <si>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</si>
  <si>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</si>
  <si>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</si>
  <si>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</si>
  <si>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</si>
  <si>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</si>
  <si>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</si>
  <si>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</si>
  <si>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</si>
  <si>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</si>
  <si>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</si>
  <si>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</si>
  <si>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</si>
  <si>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</si>
  <si>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</si>
  <si>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</si>
  <si>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</si>
  <si>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</si>
  <si>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</si>
  <si>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</si>
  <si>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</si>
  <si>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</si>
  <si>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</si>
  <si>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</si>
  <si>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</si>
  <si>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</si>
  <si>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</si>
  <si>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</si>
  <si>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</si>
  <si>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</si>
  <si>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</si>
  <si>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</si>
  <si>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</si>
  <si>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</si>
  <si>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</si>
  <si>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</si>
  <si>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</si>
  <si>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</si>
  <si>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</si>
  <si>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</si>
  <si>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</si>
  <si>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</si>
  <si>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</si>
  <si>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</si>
  <si>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</si>
  <si>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</si>
  <si>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</si>
  <si>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</si>
  <si>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</si>
  <si>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</si>
  <si>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</si>
  <si>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</si>
  <si>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</si>
  <si>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</si>
  <si>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</si>
  <si>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</si>
  <si>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</si>
  <si>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</si>
  <si>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</si>
  <si>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</si>
  <si>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</si>
  <si>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</si>
  <si>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</si>
  <si>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</si>
  <si>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</si>
  <si>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</si>
  <si>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</si>
  <si>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</si>
  <si>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</si>
  <si>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</si>
  <si>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</si>
  <si>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</si>
  <si>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</si>
  <si>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</si>
  <si>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</si>
  <si>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</si>
  <si>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</si>
  <si>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</si>
  <si>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</si>
  <si>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</si>
  <si>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</si>
  <si>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</si>
  <si>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</si>
  <si>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</si>
  <si>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</si>
  <si>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</si>
  <si>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</si>
  <si>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</si>
  <si>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</si>
  <si>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</si>
  <si>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</si>
  <si>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</si>
  <si>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</si>
  <si>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</si>
  <si>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</si>
  <si>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</si>
  <si>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</si>
  <si>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</si>
  <si>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</si>
  <si>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</si>
  <si>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</si>
  <si>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</si>
  <si>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</si>
  <si>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</si>
  <si>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</si>
  <si>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</si>
  <si>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</si>
  <si>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</si>
  <si>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</si>
  <si>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</si>
  <si>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</si>
  <si>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</si>
  <si>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</si>
  <si>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</si>
  <si>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</si>
  <si>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</si>
  <si>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</si>
  <si>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</si>
  <si>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</si>
  <si>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</si>
  <si>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</si>
  <si>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</si>
  <si>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</si>
  <si>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</si>
  <si>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</si>
  <si>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</si>
  <si>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</si>
  <si>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</si>
  <si>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</si>
  <si>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</si>
  <si>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</si>
  <si>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</si>
  <si>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</si>
  <si>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</si>
  <si>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</si>
  <si>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</si>
  <si>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</si>
  <si>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</si>
  <si>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</si>
  <si>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</si>
  <si>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</si>
  <si>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</si>
  <si>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</si>
  <si>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</si>
  <si>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</si>
  <si>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</si>
  <si>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</si>
  <si>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</si>
  <si>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</si>
  <si>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</si>
  <si>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</si>
  <si>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</si>
  <si>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</si>
  <si>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</si>
  <si>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</si>
  <si>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</si>
  <si>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</si>
  <si>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</si>
  <si>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</si>
  <si>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</si>
  <si>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</si>
  <si>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</si>
  <si>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</si>
  <si>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</si>
  <si>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</si>
  <si>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</si>
  <si>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</si>
  <si>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</si>
  <si>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</si>
  <si>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</si>
  <si>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</si>
  <si>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</si>
  <si>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</si>
  <si>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</si>
  <si>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</si>
  <si>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</si>
  <si>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</si>
  <si>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</si>
  <si>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</si>
  <si>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</si>
  <si>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</si>
  <si>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</si>
  <si>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</si>
  <si>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</si>
  <si>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</si>
  <si>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</si>
  <si>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</si>
  <si>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</si>
  <si>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</si>
  <si>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</si>
  <si>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</si>
  <si>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</si>
  <si>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</si>
  <si>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</si>
  <si>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</si>
  <si>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</si>
  <si>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</si>
  <si>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</si>
  <si>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</si>
  <si>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</si>
  <si>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</si>
  <si>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</si>
  <si>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</si>
  <si>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</si>
  <si>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</si>
  <si>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</si>
  <si>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</si>
  <si>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</si>
  <si>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</si>
  <si>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</si>
  <si>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</si>
  <si>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</si>
  <si>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</si>
  <si>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</si>
  <si>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</si>
  <si>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</si>
  <si>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</si>
  <si>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</si>
  <si>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</si>
  <si>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</si>
  <si>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</si>
  <si>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</si>
  <si>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</si>
  <si>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</si>
  <si>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</si>
  <si>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</si>
  <si>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</si>
  <si>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</si>
  <si>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</si>
  <si>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</si>
  <si>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</si>
  <si>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</si>
  <si>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</si>
  <si>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</si>
  <si>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</si>
  <si>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</si>
  <si>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</si>
  <si>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</si>
  <si>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</si>
  <si>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</si>
  <si>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</si>
  <si>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</si>
  <si>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</si>
  <si>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</si>
  <si>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</si>
  <si>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</si>
  <si>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</si>
  <si>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</si>
  <si>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</si>
  <si>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</si>
  <si>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</si>
  <si>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</si>
  <si>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</si>
  <si>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</si>
  <si>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</si>
  <si>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</si>
  <si>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</si>
  <si>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</si>
  <si>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</si>
  <si>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</si>
  <si>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</si>
  <si>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</si>
  <si>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</si>
  <si>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</si>
  <si>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</si>
  <si>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</si>
  <si>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</si>
  <si>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</si>
  <si>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</si>
  <si>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</si>
  <si>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</si>
  <si>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</si>
  <si>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</si>
  <si>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</si>
  <si>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</si>
  <si>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</si>
  <si>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</si>
  <si>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</si>
  <si>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</si>
  <si>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</si>
  <si>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</si>
  <si>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</si>
  <si>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</si>
  <si>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</si>
  <si>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</si>
  <si>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</si>
  <si>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</si>
  <si>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</si>
  <si>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</si>
  <si>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</si>
  <si>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</si>
  <si>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</si>
  <si>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</si>
  <si>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</si>
  <si>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</si>
  <si>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</si>
  <si>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</si>
  <si>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</si>
  <si>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</si>
  <si>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</si>
  <si>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</si>
  <si>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</si>
  <si>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</si>
  <si>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</si>
  <si>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</si>
  <si>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</si>
  <si>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</si>
  <si>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</si>
  <si>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</si>
  <si>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</si>
  <si>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</si>
  <si>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</si>
  <si>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</si>
  <si>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</si>
  <si>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</si>
  <si>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</si>
  <si>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</si>
  <si>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</si>
  <si>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</si>
  <si>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</si>
  <si>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</si>
  <si>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</si>
  <si>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</si>
  <si>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</si>
  <si>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</si>
  <si>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</si>
  <si>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</si>
  <si>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</si>
  <si>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</si>
  <si>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</si>
  <si>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</si>
  <si>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</si>
  <si>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</si>
  <si>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</si>
  <si>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</si>
  <si>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</si>
  <si>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</si>
  <si>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</si>
  <si>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</si>
  <si>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</si>
  <si>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</si>
  <si>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</si>
  <si>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</si>
  <si>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</si>
  <si>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</si>
  <si>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</si>
  <si>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</si>
  <si>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</si>
  <si>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</si>
  <si>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</si>
  <si>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</si>
  <si>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</si>
  <si>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</si>
  <si>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</si>
  <si>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</si>
  <si>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</si>
  <si>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</si>
  <si>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</si>
  <si>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</si>
  <si>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</si>
  <si>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</si>
  <si>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</si>
  <si>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</si>
  <si>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</si>
  <si>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</si>
  <si>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</si>
  <si>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</si>
  <si>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</si>
  <si>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</si>
  <si>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</si>
  <si>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</si>
  <si>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</si>
  <si>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</si>
  <si>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</si>
  <si>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</si>
  <si>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</si>
  <si>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</si>
  <si>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</si>
  <si>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</si>
  <si>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</si>
  <si>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</si>
  <si>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</si>
  <si>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</si>
  <si>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</si>
  <si>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</si>
  <si>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</si>
  <si>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</si>
  <si>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</si>
  <si>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</si>
  <si>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</si>
  <si>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</si>
  <si>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</si>
  <si>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</si>
  <si>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</si>
  <si>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</si>
  <si>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</si>
  <si>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</si>
  <si>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</si>
  <si>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</si>
  <si>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</si>
  <si>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</si>
  <si>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</si>
  <si>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</si>
  <si>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</si>
  <si>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</si>
  <si>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</si>
  <si>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</si>
  <si>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</si>
  <si>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</si>
  <si>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</si>
  <si>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</si>
  <si>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</si>
  <si>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</si>
  <si>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</si>
  <si>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</si>
  <si>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</si>
  <si>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</si>
  <si>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</si>
  <si>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</si>
  <si>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</si>
  <si>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</si>
  <si>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</si>
  <si>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</si>
  <si>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</si>
  <si>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</si>
  <si>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</si>
  <si>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</si>
  <si>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</si>
  <si>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</si>
  <si>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</si>
  <si>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</si>
  <si>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</si>
  <si>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</si>
  <si>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</si>
  <si>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</si>
  <si>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</si>
  <si>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</si>
  <si>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</si>
  <si>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</si>
  <si>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</si>
  <si>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</si>
  <si>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</si>
  <si>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</si>
  <si>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</si>
  <si>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</si>
  <si>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</si>
  <si>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</si>
  <si>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</si>
  <si>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</si>
  <si>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</si>
  <si>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</si>
  <si>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</si>
  <si>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</si>
  <si>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</si>
  <si>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</si>
  <si>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</si>
  <si>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</si>
  <si>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</si>
  <si>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</si>
  <si>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</si>
  <si>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</si>
  <si>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</si>
  <si>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</si>
  <si>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</si>
  <si>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</si>
  <si>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</si>
  <si>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</si>
  <si>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</si>
  <si>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</si>
  <si>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</si>
  <si>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</si>
  <si>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</si>
  <si>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</si>
  <si>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</si>
  <si>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</si>
  <si>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</si>
  <si>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</si>
  <si>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</si>
  <si>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</si>
  <si>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</si>
  <si>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</si>
  <si>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</si>
  <si>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</si>
  <si>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</si>
  <si>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</si>
  <si>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</si>
  <si>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</si>
  <si>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</si>
  <si>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</si>
  <si>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</si>
  <si>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</si>
  <si>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</si>
  <si>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</si>
  <si>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</si>
  <si>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</si>
  <si>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</si>
  <si>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</si>
  <si>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</si>
  <si>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</si>
  <si>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</si>
  <si>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</si>
  <si>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</si>
  <si>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</si>
  <si>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</si>
  <si>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</si>
  <si>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</si>
  <si>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</si>
  <si>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</si>
  <si>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</si>
  <si>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</si>
  <si>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</si>
  <si>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</si>
  <si>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</si>
  <si>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</si>
  <si>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</si>
  <si>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</si>
  <si>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</si>
  <si>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</si>
  <si>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</si>
  <si>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</si>
  <si>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</si>
  <si>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</si>
  <si>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</si>
  <si>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</si>
  <si>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</si>
  <si>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</si>
  <si>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</si>
  <si>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</si>
  <si>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</si>
  <si>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</si>
  <si>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</si>
  <si>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</si>
  <si>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</si>
  <si>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</si>
  <si>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</si>
  <si>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</si>
  <si>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</si>
  <si>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</si>
  <si>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</si>
  <si>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</si>
  <si>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</si>
  <si>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</si>
  <si>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</si>
  <si>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</si>
  <si>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</si>
  <si>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</si>
  <si>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</si>
  <si>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</si>
  <si>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</si>
  <si>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</si>
  <si>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</si>
  <si>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</si>
  <si>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</si>
  <si>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</si>
  <si>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</si>
  <si>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</si>
  <si>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</si>
  <si>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</si>
  <si>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</si>
  <si>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</si>
  <si>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</si>
  <si>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</si>
  <si>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</si>
  <si>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</si>
  <si>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</si>
  <si>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</si>
  <si>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</si>
  <si>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</si>
  <si>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</si>
  <si>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</si>
  <si>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</si>
  <si>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</si>
  <si>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</si>
  <si>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</si>
  <si>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</si>
  <si>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</si>
  <si>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</si>
  <si>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</si>
  <si>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</si>
  <si>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</si>
  <si>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</si>
  <si>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</si>
  <si>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</si>
  <si>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</si>
  <si>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</si>
  <si>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</si>
  <si>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</si>
  <si>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</si>
  <si>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</si>
  <si>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</si>
  <si>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</si>
  <si>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</si>
  <si>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</si>
  <si>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</si>
  <si>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</si>
  <si>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</si>
  <si>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</si>
  <si>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</si>
  <si>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</si>
  <si>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</si>
  <si>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</si>
  <si>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</si>
  <si>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</si>
  <si>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</si>
  <si>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</si>
  <si>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</si>
  <si>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</si>
  <si>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</si>
  <si>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</si>
  <si>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</si>
  <si>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</si>
  <si>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</si>
  <si>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</si>
  <si>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</si>
  <si>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</si>
  <si>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</si>
  <si>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</si>
  <si>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</si>
  <si>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</si>
  <si>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</si>
  <si>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</si>
  <si>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</si>
  <si>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</si>
  <si>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</si>
  <si>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</si>
  <si>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</si>
  <si>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</si>
  <si>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</si>
  <si>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</si>
  <si>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</si>
  <si>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</si>
  <si>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</si>
  <si>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</si>
  <si>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</si>
  <si>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</si>
  <si>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</si>
  <si>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</si>
  <si>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</si>
  <si>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</si>
  <si>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</si>
  <si>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</si>
  <si>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</si>
  <si>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</si>
  <si>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</si>
  <si>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</si>
  <si>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</si>
  <si>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</si>
  <si>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</si>
  <si>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</si>
  <si>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</si>
  <si>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</si>
  <si>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</si>
  <si>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</si>
  <si>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</si>
  <si>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</si>
  <si>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</si>
  <si>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</si>
  <si>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</si>
  <si>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</si>
  <si>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</si>
  <si>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</si>
  <si>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</si>
  <si>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</si>
  <si>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</si>
  <si>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</si>
  <si>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</si>
  <si>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</si>
  <si>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</si>
  <si>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</si>
  <si>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</si>
  <si>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</si>
  <si>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</si>
  <si>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</si>
  <si>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</si>
  <si>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</si>
  <si>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</si>
  <si>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</si>
  <si>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</si>
  <si>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</si>
  <si>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</si>
  <si>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</si>
  <si>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</si>
  <si>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</si>
  <si>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</si>
  <si>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</si>
  <si>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</si>
  <si>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</si>
  <si>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</si>
  <si>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</si>
  <si>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</si>
  <si>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</si>
  <si>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</si>
  <si>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</si>
  <si>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</si>
  <si>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</si>
  <si>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</si>
  <si>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</si>
  <si>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</si>
  <si>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</si>
  <si>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</si>
  <si>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</si>
  <si>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</si>
  <si>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</si>
  <si>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</si>
  <si>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</si>
  <si>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</si>
  <si>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</si>
  <si>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</si>
  <si>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</si>
  <si>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</si>
  <si>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</si>
  <si>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</si>
  <si>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</si>
  <si>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</si>
  <si>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</si>
  <si>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</si>
  <si>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</si>
  <si>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</si>
  <si>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</si>
  <si>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</si>
  <si>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</si>
  <si>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</si>
  <si>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</si>
  <si>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</si>
  <si>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</si>
  <si>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</si>
  <si>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</si>
  <si>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</si>
  <si>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</si>
  <si>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</si>
  <si>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</si>
  <si>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</si>
  <si>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</si>
  <si>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</si>
  <si>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</si>
  <si>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</si>
  <si>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</si>
  <si>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</si>
  <si>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</si>
  <si>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</si>
  <si>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</si>
  <si>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</si>
  <si>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</si>
  <si>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</si>
  <si>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</si>
  <si>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</si>
  <si>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</si>
  <si>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</si>
  <si>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</si>
  <si>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</si>
  <si>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</si>
  <si>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</si>
  <si>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</si>
  <si>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</si>
  <si>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</si>
  <si>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</si>
  <si>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</si>
  <si>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</si>
  <si>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</si>
  <si>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</si>
  <si>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</si>
  <si>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</si>
  <si>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</si>
  <si>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</si>
  <si>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</si>
  <si>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</si>
  <si>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</si>
  <si>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</si>
  <si>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</si>
  <si>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</si>
  <si>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</si>
  <si>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</si>
  <si>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</si>
  <si>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</si>
  <si>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</si>
  <si>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</si>
  <si>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</si>
  <si>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</si>
  <si>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</si>
  <si>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</si>
  <si>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</si>
  <si>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</si>
  <si>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</si>
  <si>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</si>
  <si>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</si>
  <si>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</si>
  <si>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</si>
  <si>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</si>
  <si>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</si>
  <si>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</si>
  <si>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</si>
  <si>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</si>
  <si>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</si>
  <si>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</si>
  <si>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</si>
  <si>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</si>
  <si>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</si>
  <si>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</si>
  <si>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</si>
  <si>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</si>
  <si>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</si>
  <si>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</si>
  <si>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</si>
  <si>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</si>
  <si>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</si>
  <si>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</si>
  <si>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</si>
  <si>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</si>
  <si>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</si>
  <si>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</si>
  <si>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</si>
  <si>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</si>
  <si>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</si>
  <si>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</si>
  <si>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</si>
  <si>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</si>
  <si>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</si>
  <si>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</si>
  <si>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</si>
  <si>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</si>
  <si>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</si>
  <si>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</si>
  <si>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</si>
  <si>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</si>
  <si>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</si>
  <si>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</si>
  <si>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</si>
  <si>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</si>
  <si>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</si>
  <si>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</si>
  <si>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</si>
  <si>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</si>
  <si>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</si>
  <si>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</si>
  <si>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</si>
  <si>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</si>
  <si>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</si>
  <si>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</si>
  <si>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</si>
  <si>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</si>
  <si>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</si>
  <si>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</si>
  <si>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</si>
  <si>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</si>
  <si>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</si>
  <si>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</si>
  <si>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</si>
  <si>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</si>
  <si>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</si>
  <si>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</si>
  <si>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</si>
  <si>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</si>
  <si>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</si>
  <si>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</si>
  <si>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</si>
  <si>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</si>
  <si>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</si>
  <si>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</si>
  <si>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</si>
  <si>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</si>
  <si>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</si>
  <si>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</si>
  <si>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</si>
  <si>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</si>
  <si>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</si>
  <si>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</si>
  <si>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</si>
  <si>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</si>
  <si>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</si>
  <si>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</si>
  <si>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</si>
  <si>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</si>
  <si>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</si>
  <si>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</si>
  <si>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</si>
  <si>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</si>
  <si>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</si>
  <si>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</si>
  <si>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</si>
  <si>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</si>
  <si>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</si>
  <si>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</si>
  <si>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</si>
  <si>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</si>
  <si>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</si>
  <si>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</si>
  <si>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</si>
  <si>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</si>
  <si>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</si>
  <si>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</si>
  <si>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</si>
  <si>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</si>
  <si>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</si>
  <si>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</si>
  <si>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</si>
  <si>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</si>
  <si>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</si>
  <si>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</si>
  <si>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</si>
  <si>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</si>
  <si>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</si>
  <si>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</si>
  <si>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</si>
  <si>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</si>
  <si>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</si>
  <si>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</si>
  <si>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</si>
  <si>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</si>
  <si>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</si>
  <si>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</si>
  <si>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</si>
  <si>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</si>
  <si>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</si>
  <si>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</si>
  <si>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</si>
  <si>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</si>
  <si>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</si>
  <si>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</si>
  <si>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</si>
  <si>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</si>
  <si>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</si>
  <si>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</si>
  <si>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</si>
  <si>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</si>
  <si>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</si>
  <si>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</si>
  <si>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</si>
  <si>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</si>
  <si>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</si>
  <si>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</si>
  <si>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</si>
  <si>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</si>
  <si>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</si>
  <si>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</si>
  <si>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</si>
  <si>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</si>
  <si>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</si>
  <si>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</si>
  <si>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</si>
  <si>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</si>
  <si>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</si>
  <si>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</si>
  <si>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</si>
  <si>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</si>
  <si>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</si>
  <si>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</si>
  <si>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</si>
  <si>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</si>
  <si>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</si>
  <si>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</si>
  <si>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</si>
  <si>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</si>
  <si>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</si>
  <si>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</si>
  <si>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</si>
  <si>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</si>
  <si>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</si>
  <si>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</si>
  <si>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</si>
  <si>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</si>
  <si>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</si>
  <si>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</si>
  <si>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</si>
  <si>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</si>
  <si>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</si>
  <si>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</si>
  <si>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</si>
  <si>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</si>
  <si>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</si>
  <si>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</si>
  <si>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</si>
  <si>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</si>
  <si>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</si>
  <si>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</si>
  <si>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</si>
  <si>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</si>
  <si>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</si>
  <si>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</si>
  <si>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</si>
  <si>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</si>
  <si>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</si>
  <si>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</si>
  <si>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</si>
  <si>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</si>
  <si>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</si>
  <si>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</si>
  <si>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</si>
  <si>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</si>
  <si>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</si>
  <si>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</si>
  <si>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</si>
  <si>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</si>
  <si>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</si>
  <si>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</si>
  <si>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</si>
  <si>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</si>
  <si>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</si>
  <si>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</si>
  <si>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</si>
  <si>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</si>
  <si>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</si>
  <si>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</si>
  <si>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</si>
  <si>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</si>
  <si>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</si>
  <si>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</si>
  <si>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</si>
  <si>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</si>
  <si>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</si>
  <si>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</si>
  <si>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</si>
  <si>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</si>
  <si>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</si>
  <si>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</si>
  <si>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</si>
  <si>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</si>
  <si>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</si>
  <si>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</si>
  <si>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</si>
  <si>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</si>
  <si>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</si>
  <si>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</si>
  <si>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</si>
  <si>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</si>
  <si>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</si>
  <si>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</si>
  <si>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</si>
  <si>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</si>
  <si>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</si>
  <si>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</si>
  <si>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</si>
  <si>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</si>
  <si>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</si>
  <si>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</si>
  <si>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</si>
  <si>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</si>
  <si>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</si>
  <si>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</si>
  <si>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</si>
  <si>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</si>
  <si>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</si>
  <si>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</si>
  <si>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</si>
  <si>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</si>
  <si>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</si>
  <si>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</si>
  <si>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</si>
  <si>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</si>
  <si>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</si>
  <si>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</si>
  <si>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</si>
  <si>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</si>
  <si>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</si>
  <si>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</si>
  <si>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</si>
  <si>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</si>
  <si>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</si>
  <si>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</si>
  <si>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</si>
  <si>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</si>
  <si>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</si>
  <si>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</si>
  <si>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</si>
  <si>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</si>
  <si>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</si>
  <si>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</si>
  <si>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</si>
  <si>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</si>
  <si>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</si>
  <si>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</si>
  <si>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</si>
  <si>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</si>
  <si>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</si>
  <si>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</si>
  <si>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</si>
  <si>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</si>
  <si>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</si>
  <si>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</si>
  <si>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</si>
  <si>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</si>
  <si>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</si>
  <si>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</si>
  <si>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</si>
  <si>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</si>
  <si>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</si>
  <si>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</si>
  <si>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</si>
  <si>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</si>
  <si>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</si>
  <si>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</si>
  <si>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</si>
  <si>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</si>
  <si>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</si>
  <si>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</si>
  <si>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</si>
  <si>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</si>
  <si>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</si>
  <si>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</si>
  <si>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</si>
  <si>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</si>
  <si>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</si>
  <si>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</si>
  <si>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</si>
  <si>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</si>
  <si>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</si>
  <si>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</si>
  <si>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</si>
  <si>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</si>
  <si>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</si>
  <si>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</si>
  <si>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</si>
  <si>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</si>
  <si>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</si>
  <si>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</si>
  <si>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</si>
  <si>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</si>
  <si>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</si>
  <si>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</si>
  <si>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</si>
  <si>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</si>
  <si>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</si>
  <si>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</si>
  <si>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</si>
  <si>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</si>
  <si>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</si>
  <si>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</si>
  <si>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</si>
  <si>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</si>
  <si>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</si>
  <si>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</si>
  <si>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</si>
  <si>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</si>
  <si>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</si>
  <si>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</si>
  <si>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</si>
  <si>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</si>
  <si>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</si>
  <si>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</si>
  <si>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</si>
  <si>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</si>
  <si>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</si>
  <si>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</si>
  <si>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</si>
  <si>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</si>
  <si>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</si>
  <si>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</si>
  <si>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</si>
  <si>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</si>
  <si>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</si>
  <si>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</si>
  <si>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</si>
  <si>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</si>
  <si>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</si>
  <si>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</si>
  <si>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</si>
  <si>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</si>
  <si>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</si>
  <si>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</si>
  <si>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</si>
  <si>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</si>
  <si>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</si>
  <si>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</si>
  <si>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</si>
  <si>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</si>
  <si>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</si>
  <si>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</si>
  <si>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</si>
  <si>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</si>
  <si>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</si>
  <si>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</si>
  <si>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</si>
  <si>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</si>
  <si>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</si>
  <si>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</si>
  <si>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</si>
  <si>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</si>
  <si>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</si>
  <si>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</si>
  <si>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</si>
  <si>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</si>
  <si>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</si>
  <si>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</si>
  <si>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</si>
  <si>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</si>
  <si>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</si>
  <si>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</si>
  <si>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</si>
  <si>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</si>
  <si>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</si>
  <si>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</si>
  <si>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</si>
  <si>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</si>
  <si>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</si>
  <si>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</si>
  <si>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</si>
  <si>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</si>
  <si>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</si>
  <si>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</si>
  <si>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</si>
  <si>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</si>
  <si>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</si>
  <si>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</si>
  <si>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</si>
  <si>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</si>
  <si>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</si>
  <si>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</si>
  <si>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</si>
  <si>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</si>
  <si>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</si>
  <si>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</si>
  <si>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</si>
  <si>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</si>
  <si>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</si>
  <si>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</si>
  <si>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</si>
  <si>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</si>
  <si>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</si>
  <si>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</si>
  <si>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</si>
  <si>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</si>
  <si>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</si>
  <si>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</si>
  <si>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</si>
  <si>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</si>
  <si>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</si>
  <si>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</si>
  <si>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</si>
  <si>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</si>
  <si>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</si>
  <si>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</si>
  <si>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</si>
  <si>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</si>
  <si>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</si>
  <si>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</si>
  <si>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</si>
  <si>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</si>
  <si>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</si>
  <si>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</si>
  <si>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</si>
  <si>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</si>
  <si>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</si>
  <si>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</si>
  <si>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</si>
  <si>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</si>
  <si>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</si>
  <si>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</si>
  <si>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</si>
  <si>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</si>
  <si>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</si>
  <si>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</si>
  <si>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</si>
  <si>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</si>
  <si>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</si>
  <si>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</si>
  <si>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</si>
  <si>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</si>
  <si>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</si>
  <si>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</si>
  <si>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</si>
  <si>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</si>
  <si>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</si>
  <si>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</si>
  <si>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</si>
  <si>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</si>
  <si>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</si>
  <si>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</si>
  <si>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</si>
  <si>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</si>
  <si>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</si>
  <si>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</si>
  <si>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</si>
  <si>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</si>
  <si>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</si>
  <si>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</si>
  <si>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</si>
  <si>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</si>
  <si>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</si>
  <si>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</si>
  <si>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</si>
  <si>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</si>
  <si>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</si>
  <si>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</si>
  <si>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</si>
  <si>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</si>
  <si>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</si>
  <si>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</si>
  <si>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</si>
  <si>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</si>
  <si>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</si>
  <si>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</si>
  <si>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</si>
  <si>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</si>
  <si>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</si>
  <si>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</si>
  <si>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</si>
  <si>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</si>
  <si>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</si>
  <si>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</si>
  <si>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</si>
  <si>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</si>
  <si>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</si>
  <si>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</si>
  <si>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</si>
  <si>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</si>
  <si>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</si>
  <si>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</si>
  <si>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</si>
  <si>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</si>
  <si>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</si>
  <si>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</si>
  <si>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</si>
  <si>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</si>
  <si>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</si>
  <si>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</si>
  <si>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</si>
  <si>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</si>
  <si>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</si>
  <si>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</si>
  <si>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</si>
  <si>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</si>
  <si>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</si>
  <si>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</si>
  <si>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</si>
  <si>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</si>
  <si>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</si>
  <si>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</si>
  <si>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</si>
  <si>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</si>
  <si>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</si>
  <si>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</si>
  <si>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</si>
  <si>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</si>
  <si>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</si>
  <si>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</si>
  <si>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</si>
  <si>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</si>
  <si>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</si>
  <si>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</si>
  <si>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</si>
  <si>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</si>
  <si>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</si>
  <si>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</si>
  <si>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</si>
  <si>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</si>
  <si>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</si>
  <si>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</si>
  <si>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</si>
  <si>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</si>
  <si>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</si>
  <si>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</si>
  <si>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</si>
  <si>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</si>
  <si>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</si>
  <si>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</si>
  <si>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</si>
  <si>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</si>
  <si>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</si>
  <si>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</si>
  <si>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</si>
  <si>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</si>
  <si>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</si>
  <si>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</si>
  <si>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</si>
  <si>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</si>
  <si>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</si>
  <si>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</si>
  <si>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</si>
  <si>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</si>
  <si>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</si>
  <si>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</si>
  <si>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</si>
  <si>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</si>
  <si>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</si>
  <si>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</si>
  <si>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</si>
  <si>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</si>
  <si>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</si>
  <si>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</si>
  <si>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</si>
  <si>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</si>
  <si>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</si>
  <si>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</si>
  <si>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</si>
  <si>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</si>
  <si>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</si>
  <si>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</si>
  <si>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</si>
  <si>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</si>
  <si>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</si>
  <si>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</si>
  <si>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</si>
  <si>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</si>
  <si>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</si>
  <si>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</si>
  <si>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</si>
  <si>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</si>
  <si>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</si>
  <si>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</si>
  <si>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</si>
  <si>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</si>
  <si>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</si>
  <si>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</si>
  <si>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</si>
  <si>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</si>
  <si>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</si>
  <si>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</si>
  <si>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</si>
  <si>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</si>
  <si>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</si>
  <si>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</si>
  <si>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</si>
  <si>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</si>
  <si>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</si>
  <si>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</si>
  <si>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</si>
  <si>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</si>
  <si>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</si>
  <si>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</si>
  <si>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</si>
  <si>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</si>
  <si>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</si>
  <si>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</si>
  <si>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</si>
  <si>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</si>
  <si>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</si>
  <si>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</si>
  <si>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</si>
  <si>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</si>
  <si>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</si>
  <si>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</si>
  <si>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</si>
  <si>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</si>
  <si>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</si>
  <si>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</si>
  <si>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</si>
  <si>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</si>
  <si>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</si>
  <si>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</si>
  <si>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</si>
  <si>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</si>
  <si>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</si>
  <si>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</si>
  <si>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</si>
  <si>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</si>
  <si>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</si>
  <si>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</si>
  <si>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</si>
  <si>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</si>
  <si>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</si>
  <si>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</si>
  <si>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</si>
  <si>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</si>
  <si>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</si>
  <si>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</si>
  <si>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</si>
  <si>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</si>
  <si>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</si>
  <si>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</si>
  <si>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</si>
  <si>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</si>
  <si>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</si>
  <si>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</si>
  <si>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</si>
  <si>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</si>
  <si>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</si>
  <si>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</si>
  <si>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</si>
  <si>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</si>
  <si>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</si>
  <si>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</si>
  <si>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</si>
  <si>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</si>
  <si>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</si>
  <si>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</si>
  <si>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</si>
  <si>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</si>
  <si>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</si>
  <si>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</si>
  <si>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</si>
  <si>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</si>
  <si>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</si>
  <si>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</si>
  <si>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</si>
  <si>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</si>
  <si>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</si>
  <si>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</si>
  <si>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</si>
  <si>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</si>
  <si>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</si>
  <si>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</si>
  <si>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</si>
  <si>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</si>
  <si>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</si>
  <si>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</si>
  <si>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</si>
  <si>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</si>
  <si>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</si>
  <si>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</si>
  <si>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</si>
  <si>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</si>
  <si>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</si>
  <si>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</si>
  <si>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</si>
  <si>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</si>
  <si>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</si>
  <si>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</si>
  <si>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</si>
  <si>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</si>
  <si>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</si>
  <si>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</si>
  <si>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</si>
  <si>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</si>
  <si>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</si>
  <si>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</si>
  <si>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</si>
  <si>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</si>
  <si>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</si>
  <si>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</si>
  <si>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</si>
  <si>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</si>
  <si>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</si>
  <si>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</si>
  <si>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</si>
  <si>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</si>
  <si>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</si>
  <si>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</si>
  <si>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</si>
  <si>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</si>
  <si>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</si>
  <si>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</si>
  <si>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</si>
  <si>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</si>
  <si>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</si>
  <si>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</si>
  <si>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</si>
  <si>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</si>
  <si>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</si>
  <si>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</si>
  <si>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</si>
  <si>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</si>
  <si>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</si>
  <si>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</si>
  <si>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</si>
  <si>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</si>
  <si>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</si>
  <si>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</si>
  <si>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</si>
  <si>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</si>
  <si>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</si>
  <si>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</si>
  <si>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</si>
  <si>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</si>
  <si>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</si>
  <si>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</si>
  <si>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</si>
  <si>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</si>
  <si>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</si>
  <si>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</si>
  <si>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</si>
  <si>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</si>
  <si>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</si>
  <si>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</si>
  <si>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</si>
  <si>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</si>
  <si>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</si>
  <si>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</si>
  <si>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</si>
  <si>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</si>
  <si>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</si>
  <si>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</si>
  <si>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</si>
  <si>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</si>
  <si>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</si>
  <si>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</si>
  <si>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</si>
  <si>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</si>
  <si>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</si>
  <si>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</si>
  <si>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</si>
  <si>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</si>
  <si>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</si>
  <si>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</si>
  <si>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</si>
  <si>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</si>
  <si>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</si>
  <si>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</si>
  <si>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</si>
  <si>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</si>
  <si>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</si>
  <si>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</si>
  <si>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</si>
  <si>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</si>
  <si>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</si>
  <si>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</si>
  <si>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</si>
  <si>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</si>
  <si>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</si>
  <si>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</si>
  <si>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</si>
  <si>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</si>
  <si>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</si>
  <si>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</si>
  <si>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</si>
  <si>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</si>
  <si>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</si>
  <si>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</si>
  <si>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</si>
  <si>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</si>
  <si>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</si>
  <si>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</si>
  <si>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</si>
  <si>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</si>
  <si>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</si>
  <si>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</si>
  <si>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</si>
  <si>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</si>
  <si>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</si>
  <si>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</si>
  <si>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</si>
  <si>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</si>
  <si>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</si>
  <si>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</si>
  <si>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</si>
  <si>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</si>
  <si>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</si>
  <si>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</si>
  <si>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</si>
  <si>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</si>
  <si>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</si>
  <si>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</si>
  <si>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</si>
  <si>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</si>
  <si>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</si>
  <si>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</si>
  <si>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</si>
  <si>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</si>
  <si>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</si>
  <si>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</si>
  <si>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</si>
  <si>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</si>
  <si>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</si>
  <si>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</si>
  <si>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</si>
  <si>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</si>
  <si>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</si>
  <si>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</si>
  <si>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</si>
  <si>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</si>
  <si>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</si>
  <si>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</si>
  <si>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</si>
  <si>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</si>
  <si>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</si>
  <si>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</si>
  <si>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</si>
  <si>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</si>
  <si>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</si>
  <si>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</si>
  <si>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</si>
  <si>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</si>
  <si>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</si>
  <si>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</si>
  <si>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</si>
  <si>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</si>
  <si>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</si>
  <si>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</si>
  <si>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</si>
  <si>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</si>
  <si>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</si>
  <si>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</si>
  <si>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</si>
  <si>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</si>
  <si>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</si>
  <si>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</si>
  <si>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</si>
  <si>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</si>
  <si>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</si>
  <si>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</si>
  <si>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</si>
  <si>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</si>
  <si>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</si>
  <si>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</si>
  <si>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</si>
  <si>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</si>
  <si>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</si>
  <si>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</si>
  <si>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</si>
  <si>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</si>
  <si>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</si>
  <si>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</si>
  <si>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</si>
  <si>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</si>
  <si>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</si>
  <si>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</si>
  <si>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</si>
  <si>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</si>
  <si>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</si>
  <si>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</si>
  <si>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</si>
  <si>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</si>
  <si>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</si>
  <si>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</si>
  <si>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</si>
  <si>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</si>
  <si>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</si>
  <si>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</si>
  <si>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</si>
  <si>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</si>
  <si>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</si>
  <si>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</si>
  <si>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</si>
  <si>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</si>
  <si>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</si>
  <si>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</si>
  <si>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</si>
  <si>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</si>
  <si>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</si>
  <si>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</si>
  <si>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</si>
  <si>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</si>
  <si>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</si>
  <si>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</si>
  <si>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</si>
  <si>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</si>
  <si>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</si>
  <si>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</si>
  <si>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</si>
  <si>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</si>
  <si>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</si>
  <si>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</si>
  <si>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</si>
  <si>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</si>
  <si>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</si>
  <si>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</si>
  <si>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</si>
  <si>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</si>
  <si>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</si>
  <si>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</si>
  <si>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</si>
  <si>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</si>
  <si>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</si>
  <si>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</si>
  <si>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</si>
  <si>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</si>
  <si>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</si>
  <si>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</si>
  <si>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</si>
  <si>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</si>
  <si>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</si>
  <si>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</si>
  <si>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</si>
  <si>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</si>
  <si>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</si>
  <si>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</si>
  <si>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</si>
  <si>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</si>
  <si>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</si>
  <si>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</si>
  <si>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</si>
  <si>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</si>
  <si>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</si>
  <si>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</si>
  <si>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</si>
  <si>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</si>
  <si>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</si>
  <si>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</si>
  <si>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</si>
  <si>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</si>
  <si>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</si>
  <si>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</si>
  <si>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</si>
  <si>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</si>
  <si>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</si>
  <si>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</si>
  <si>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</si>
  <si>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</si>
  <si>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</si>
  <si>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</si>
  <si>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</si>
  <si>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</si>
  <si>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</si>
  <si>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</si>
  <si>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</si>
  <si>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</si>
  <si>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</si>
  <si>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</si>
  <si>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</si>
  <si>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</si>
  <si>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</si>
  <si>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</si>
  <si>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</si>
  <si>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</si>
  <si>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</si>
  <si>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</si>
  <si>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</si>
  <si>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</si>
  <si>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</si>
  <si>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</si>
  <si>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</si>
  <si>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</si>
  <si>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</si>
  <si>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</si>
  <si>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</si>
  <si>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</si>
  <si>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</si>
  <si>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</si>
  <si>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</si>
  <si>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</si>
  <si>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</si>
  <si>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</si>
  <si>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</si>
  <si>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</si>
  <si>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</si>
  <si>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</si>
  <si>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</si>
  <si>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</si>
  <si>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</si>
  <si>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</si>
  <si>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</si>
  <si>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</si>
  <si>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</si>
  <si>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</si>
  <si>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</si>
  <si>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</si>
  <si>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</si>
  <si>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</si>
  <si>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</si>
  <si>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</si>
  <si>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</si>
  <si>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</si>
  <si>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</si>
  <si>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</si>
  <si>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</si>
  <si>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</si>
  <si>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</si>
  <si>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</si>
  <si>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</si>
  <si>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</si>
  <si>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</si>
  <si>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</si>
  <si>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</si>
  <si>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</si>
  <si>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</si>
  <si>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</si>
  <si>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</si>
  <si>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</si>
  <si>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</si>
  <si>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</si>
  <si>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</si>
  <si>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</si>
  <si>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</si>
  <si>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</si>
  <si>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</si>
  <si>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</si>
  <si>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</si>
  <si>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</si>
  <si>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</si>
  <si>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</si>
  <si>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</si>
  <si>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</si>
  <si>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</si>
  <si>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</si>
  <si>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</si>
  <si>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</si>
  <si>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</si>
  <si>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</si>
  <si>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</si>
  <si>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</si>
  <si>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</si>
  <si>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</si>
  <si>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</si>
  <si>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</si>
  <si>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</si>
  <si>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</si>
  <si>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</si>
  <si>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</si>
  <si>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</si>
  <si>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</si>
  <si>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</si>
  <si>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</si>
  <si>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</si>
  <si>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</si>
  <si>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</si>
  <si>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</si>
  <si>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</si>
  <si>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</si>
  <si>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</si>
  <si>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</si>
  <si>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</si>
  <si>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</si>
  <si>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</si>
  <si>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</si>
  <si>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</si>
  <si>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</si>
  <si>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</si>
  <si>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</si>
  <si>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</si>
  <si>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</si>
  <si>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</si>
  <si>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</si>
  <si>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</si>
  <si>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</si>
  <si>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</si>
  <si>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</si>
  <si>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</si>
  <si>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</si>
  <si>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</si>
  <si>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</si>
  <si>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</si>
  <si>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</si>
  <si>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</si>
  <si>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</si>
  <si>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</si>
  <si>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</si>
  <si>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</si>
  <si>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</si>
  <si>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</si>
  <si>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</si>
  <si>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</si>
  <si>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</si>
  <si>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</si>
  <si>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</si>
  <si>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</si>
  <si>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</si>
  <si>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</si>
  <si>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</si>
  <si>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</si>
  <si>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</si>
  <si>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</si>
  <si>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</si>
  <si>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</si>
  <si>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</si>
  <si>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</si>
  <si>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</si>
  <si>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</si>
  <si>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</si>
  <si>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</si>
  <si>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</si>
  <si>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</si>
  <si>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</si>
  <si>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</si>
  <si>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</si>
  <si>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</si>
  <si>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</si>
  <si>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</si>
  <si>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</si>
  <si>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</si>
  <si>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</si>
  <si>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</si>
  <si>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</si>
  <si>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</si>
  <si>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</si>
  <si>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</si>
  <si>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</si>
  <si>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</si>
  <si>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</si>
  <si>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</si>
  <si>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</si>
  <si>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</si>
  <si>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</si>
  <si>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</si>
  <si>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</si>
  <si>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</si>
  <si>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</si>
  <si>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</si>
  <si>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</si>
  <si>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</si>
  <si>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</si>
  <si>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</si>
  <si>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</si>
  <si>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</si>
  <si>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</si>
  <si>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</si>
  <si>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</si>
  <si>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</si>
  <si>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</si>
  <si>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</si>
  <si>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</si>
  <si>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</si>
  <si>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</si>
  <si>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</si>
  <si>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</si>
  <si>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</si>
  <si>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</si>
  <si>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</si>
  <si>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</si>
  <si>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</si>
  <si>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</si>
  <si>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</si>
  <si>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</si>
  <si>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</si>
  <si>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</si>
  <si>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</si>
  <si>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</si>
  <si>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</si>
  <si>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</si>
  <si>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</si>
  <si>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</si>
  <si>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</si>
  <si>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</si>
  <si>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</si>
  <si>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</si>
  <si>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</si>
  <si>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</si>
  <si>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</si>
  <si>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</si>
  <si>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</si>
  <si>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</si>
  <si>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</si>
  <si>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</si>
  <si>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</si>
  <si>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</si>
  <si>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</si>
  <si>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</si>
  <si>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</si>
  <si>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</si>
  <si>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</si>
  <si>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</si>
  <si>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</si>
  <si>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</si>
  <si>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</si>
  <si>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</si>
  <si>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</si>
  <si>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</si>
  <si>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</si>
  <si>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</si>
  <si>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</si>
  <si>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</si>
  <si>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</si>
  <si>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</si>
  <si>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</si>
  <si>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</si>
  <si>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</si>
  <si>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</si>
  <si>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</si>
  <si>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</si>
  <si>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</si>
  <si>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</si>
  <si>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</si>
  <si>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</si>
  <si>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</si>
  <si>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</si>
  <si>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</si>
  <si>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</si>
  <si>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</si>
  <si>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</si>
  <si>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</si>
  <si>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</si>
  <si>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</si>
  <si>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</si>
  <si>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</si>
  <si>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</si>
  <si>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</si>
  <si>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</si>
  <si>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</si>
  <si>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</si>
  <si>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</si>
  <si>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</si>
  <si>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</si>
  <si>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</si>
  <si>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</si>
  <si>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</si>
  <si>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</si>
  <si>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</si>
  <si>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</si>
  <si>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</si>
  <si>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</si>
  <si>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</si>
  <si>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</si>
  <si>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</si>
  <si>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</si>
  <si>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</si>
  <si>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</si>
  <si>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</si>
  <si>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</si>
  <si>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</si>
  <si>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</si>
  <si>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</si>
  <si>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</si>
  <si>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</si>
  <si>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</si>
  <si>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</si>
  <si>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</si>
  <si>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</si>
  <si>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</si>
  <si>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</si>
  <si>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</si>
  <si>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</si>
  <si>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</si>
  <si>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</si>
  <si>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</si>
  <si>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</si>
  <si>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</si>
  <si>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</si>
  <si>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</si>
  <si>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</si>
  <si>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</si>
  <si>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</si>
  <si>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</si>
  <si>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</si>
  <si>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</si>
  <si>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</si>
  <si>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</si>
  <si>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</si>
  <si>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</si>
  <si>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</si>
  <si>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</si>
  <si>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</si>
  <si>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</si>
  <si>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</si>
  <si>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</si>
  <si>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</si>
  <si>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</si>
  <si>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</si>
  <si>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</si>
  <si>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</si>
  <si>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</si>
  <si>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</si>
  <si>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</si>
  <si>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</si>
  <si>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</si>
  <si>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</si>
  <si>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</si>
  <si>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</si>
  <si>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</si>
  <si>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</si>
  <si>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</si>
  <si>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</si>
  <si>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</si>
  <si>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</si>
  <si>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</si>
  <si>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</si>
  <si>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</si>
  <si>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</si>
  <si>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</si>
  <si>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</si>
  <si>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</si>
  <si>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</si>
  <si>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</si>
  <si>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</si>
  <si>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</si>
  <si>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</si>
  <si>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</si>
  <si>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</si>
  <si>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</si>
  <si>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</si>
  <si>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</si>
  <si>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</si>
  <si>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</si>
  <si>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</si>
  <si>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</si>
  <si>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</si>
  <si>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</si>
  <si>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</si>
  <si>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</si>
  <si>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</si>
  <si>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</si>
  <si>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</si>
  <si>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</si>
  <si>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</si>
  <si>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</si>
  <si>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</si>
  <si>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</si>
  <si>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</si>
  <si>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</si>
  <si>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</si>
  <si>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</si>
  <si>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</si>
  <si>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</si>
  <si>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</si>
  <si>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</si>
  <si>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</si>
  <si>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</si>
  <si>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</si>
  <si>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</si>
  <si>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</si>
  <si>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</si>
  <si>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</si>
  <si>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</si>
  <si>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</si>
  <si>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</si>
  <si>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</si>
  <si>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</si>
  <si>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</si>
  <si>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</si>
  <si>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</si>
  <si>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</si>
  <si>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</si>
  <si>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</si>
  <si>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</si>
  <si>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</si>
  <si>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</si>
  <si>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</si>
  <si>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</si>
  <si>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</si>
  <si>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</si>
  <si>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</si>
  <si>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</si>
  <si>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</si>
  <si>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</si>
  <si>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</si>
  <si>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</si>
  <si>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</si>
  <si>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</si>
  <si>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</si>
  <si>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</si>
  <si>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</si>
  <si>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</si>
  <si>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</si>
  <si>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</si>
  <si>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</si>
  <si>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</si>
  <si>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</si>
  <si>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</si>
  <si>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</si>
  <si>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</si>
  <si>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</si>
  <si>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</si>
  <si>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</si>
  <si>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</si>
  <si>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</si>
  <si>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</si>
  <si>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</si>
  <si>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</si>
  <si>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</si>
  <si>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</si>
  <si>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</si>
  <si>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</si>
  <si>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</si>
  <si>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</si>
  <si>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</si>
  <si>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</si>
  <si>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</si>
  <si>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</si>
  <si>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</si>
  <si>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</si>
  <si>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</si>
  <si>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</si>
  <si>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</si>
  <si>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</si>
  <si>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</si>
  <si>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</si>
  <si>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</si>
  <si>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</si>
  <si>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</si>
  <si>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</si>
  <si>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</si>
  <si>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</si>
  <si>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</si>
  <si>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</si>
  <si>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</si>
  <si>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</si>
  <si>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</si>
  <si>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</si>
  <si>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</si>
  <si>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</si>
  <si>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</si>
  <si>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</si>
  <si>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</si>
  <si>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</si>
  <si>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</si>
  <si>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</si>
  <si>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</si>
  <si>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</si>
  <si>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</si>
  <si>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</si>
  <si>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</si>
  <si>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</si>
  <si>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</si>
  <si>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</si>
  <si>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</si>
  <si>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</si>
  <si>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</si>
  <si>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</si>
  <si>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</si>
  <si>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</si>
  <si>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</si>
  <si>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</si>
  <si>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</si>
  <si>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</si>
  <si>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</si>
  <si>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</si>
  <si>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</si>
  <si>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</si>
  <si>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</si>
  <si>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</si>
  <si>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</si>
  <si>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</si>
  <si>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</si>
  <si>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</si>
  <si>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</si>
  <si>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</si>
  <si>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</si>
  <si>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</si>
  <si>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</si>
  <si>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</si>
  <si>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</si>
  <si>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</si>
  <si>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</si>
  <si>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</si>
  <si>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</si>
  <si>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</si>
  <si>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</si>
  <si>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</si>
  <si>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</si>
  <si>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</si>
  <si>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</si>
  <si>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</si>
  <si>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</si>
  <si>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</si>
  <si>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</si>
  <si>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</si>
  <si>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</si>
  <si>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</si>
  <si>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</si>
  <si>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</si>
  <si>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</si>
  <si>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</si>
  <si>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</si>
  <si>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</si>
  <si>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</si>
  <si>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</si>
  <si>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</si>
  <si>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</si>
  <si>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</si>
  <si>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</si>
  <si>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</si>
  <si>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</si>
  <si>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</si>
  <si>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</si>
  <si>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</si>
  <si>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</si>
  <si>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</si>
  <si>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</si>
  <si>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</si>
  <si>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</si>
  <si>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</si>
  <si>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</si>
  <si>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</si>
  <si>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</si>
  <si>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</si>
  <si>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</si>
  <si>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</si>
  <si>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</si>
  <si>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</si>
  <si>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</si>
  <si>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</si>
  <si>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</si>
  <si>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</si>
  <si>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</si>
  <si>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</si>
  <si>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</si>
  <si>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</si>
  <si>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</si>
  <si>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</si>
  <si>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</si>
  <si>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</si>
  <si>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</si>
  <si>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</si>
  <si>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</si>
  <si>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</si>
  <si>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</si>
  <si>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</si>
  <si>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</si>
  <si>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</si>
  <si>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</si>
  <si>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</si>
  <si>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</si>
  <si>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</si>
  <si>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</si>
  <si>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</si>
  <si>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</si>
  <si>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</si>
  <si>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</si>
  <si>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</si>
  <si>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</si>
  <si>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</si>
  <si>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</si>
  <si>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</si>
  <si>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</si>
  <si>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</si>
  <si>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</si>
  <si>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</si>
  <si>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</si>
  <si>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</si>
  <si>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</si>
  <si>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</si>
  <si>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</si>
  <si>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</si>
  <si>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</si>
  <si>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</si>
  <si>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</si>
  <si>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</si>
  <si>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</si>
  <si>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</si>
  <si>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</si>
  <si>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</si>
  <si>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</si>
  <si>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</si>
  <si>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</si>
  <si>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</si>
  <si>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</si>
  <si>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</si>
  <si>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</si>
  <si>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</si>
  <si>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</si>
  <si>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</si>
  <si>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</si>
  <si>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</si>
  <si>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</si>
  <si>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</si>
  <si>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</si>
  <si>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</si>
  <si>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</si>
  <si>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</si>
  <si>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</si>
  <si>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</si>
  <si>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</si>
  <si>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</si>
  <si>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</si>
  <si>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</si>
  <si>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</si>
  <si>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</si>
  <si>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</si>
  <si>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</si>
  <si>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</si>
  <si>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</si>
  <si>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</si>
  <si>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</si>
  <si>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</si>
  <si>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</si>
  <si>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</si>
  <si>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</si>
  <si>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</si>
  <si>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</si>
  <si>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</si>
  <si>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</si>
  <si>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</si>
  <si>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</si>
  <si>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</si>
  <si>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</si>
  <si>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</si>
  <si>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</si>
  <si>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</si>
  <si>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</si>
  <si>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</si>
  <si>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</si>
  <si>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</si>
  <si>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</si>
  <si>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</si>
  <si>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</si>
  <si>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</si>
  <si>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</si>
  <si>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</si>
  <si>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</si>
  <si>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</si>
  <si>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</si>
  <si>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</si>
  <si>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</si>
  <si>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</si>
  <si>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</si>
  <si>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</si>
  <si>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</si>
  <si>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</si>
  <si>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</si>
  <si>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</si>
  <si>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</si>
  <si>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</si>
  <si>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</si>
  <si>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</si>
  <si>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</si>
  <si>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</si>
  <si>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</si>
  <si>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</si>
  <si>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</si>
  <si>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</si>
  <si>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</si>
  <si>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</si>
  <si>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</si>
  <si>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</si>
  <si>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</si>
  <si>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</si>
  <si>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</si>
  <si>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</si>
  <si>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</si>
  <si>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</si>
  <si>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</si>
  <si>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</si>
  <si>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</si>
  <si>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</si>
  <si>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</si>
  <si>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</si>
  <si>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</si>
  <si>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</si>
  <si>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</si>
  <si>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</si>
  <si>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</si>
  <si>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</si>
  <si>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</si>
  <si>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</si>
  <si>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</si>
  <si>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</si>
  <si>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</si>
  <si>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</si>
  <si>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</si>
  <si>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</si>
  <si>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</si>
  <si>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</si>
  <si>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</si>
  <si>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</si>
  <si>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</si>
  <si>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</si>
  <si>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</si>
  <si>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</si>
  <si>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</si>
  <si>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</si>
  <si>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</si>
  <si>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</si>
  <si>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</si>
  <si>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</si>
  <si>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</si>
  <si>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</si>
  <si>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</si>
  <si>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</si>
  <si>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</si>
  <si>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</si>
  <si>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</si>
  <si>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</si>
  <si>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</si>
  <si>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</si>
  <si>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</si>
  <si>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</si>
  <si>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</si>
  <si>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</si>
  <si>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</si>
  <si>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</si>
  <si>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</si>
  <si>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</si>
  <si>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</si>
  <si>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</si>
  <si>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</si>
  <si>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</si>
  <si>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</si>
  <si>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</si>
  <si>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</si>
  <si>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</si>
  <si>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</si>
  <si>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</si>
  <si>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</si>
  <si>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</si>
  <si>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</si>
  <si>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</si>
  <si>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</si>
  <si>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</si>
  <si>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</si>
  <si>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</si>
  <si>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</si>
  <si>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</si>
  <si>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</si>
  <si>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</si>
  <si>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</si>
  <si>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</si>
  <si>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</si>
  <si>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</si>
  <si>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</si>
  <si>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</si>
  <si>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</si>
  <si>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</si>
  <si>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</si>
  <si>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</si>
  <si>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</si>
  <si>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</si>
  <si>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</si>
  <si>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</si>
  <si>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</si>
  <si>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</si>
  <si>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</si>
  <si>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</si>
  <si>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</si>
  <si>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</si>
  <si>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</si>
  <si>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</si>
  <si>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</si>
  <si>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</si>
  <si>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</si>
  <si>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</si>
  <si>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</si>
  <si>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</si>
  <si>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</si>
  <si>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</si>
  <si>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</si>
  <si>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</si>
  <si>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</si>
  <si>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</si>
  <si>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</si>
  <si>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</si>
  <si>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</si>
  <si>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</si>
  <si>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</si>
  <si>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</si>
  <si>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</si>
  <si>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</si>
  <si>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</si>
  <si>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</si>
  <si>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</si>
  <si>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</si>
  <si>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</si>
  <si>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</si>
  <si>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</si>
  <si>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</si>
  <si>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</si>
  <si>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</si>
  <si>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</si>
  <si>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</si>
  <si>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</si>
  <si>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</si>
  <si>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</si>
  <si>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</si>
  <si>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</si>
  <si>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</si>
  <si>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</si>
  <si>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</si>
  <si>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</si>
  <si>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</si>
  <si>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</si>
  <si>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</si>
  <si>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</si>
  <si>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</si>
  <si>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</si>
  <si>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</si>
  <si>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</si>
  <si>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</si>
  <si>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</si>
  <si>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</si>
  <si>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</si>
  <si>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</si>
  <si>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</si>
  <si>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</si>
  <si>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</si>
  <si>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</si>
  <si>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</si>
  <si>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</si>
  <si>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</si>
  <si>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</si>
  <si>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</si>
  <si>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</si>
  <si>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</si>
  <si>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</si>
  <si>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</si>
  <si>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</si>
  <si>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</si>
  <si>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</si>
  <si>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</si>
  <si>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</si>
  <si>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</si>
  <si>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</si>
  <si>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</si>
  <si>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</si>
  <si>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</si>
  <si>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</si>
  <si>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</si>
  <si>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</si>
  <si>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</si>
  <si>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</si>
  <si>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</si>
  <si>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</si>
  <si>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</si>
  <si>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</si>
  <si>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</si>
  <si>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</si>
  <si>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</si>
  <si>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</si>
  <si>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</si>
  <si>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</si>
  <si>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</si>
  <si>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</si>
  <si>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</si>
  <si>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</si>
  <si>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</si>
  <si>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</si>
  <si>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</si>
  <si>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</si>
  <si>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</si>
  <si>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</si>
  <si>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</si>
  <si>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</si>
  <si>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</si>
  <si>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</si>
  <si>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</si>
  <si>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</si>
  <si>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</si>
  <si>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</si>
  <si>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</si>
  <si>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</si>
  <si>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</si>
  <si>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</si>
  <si>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</si>
  <si>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</si>
  <si>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</si>
  <si>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</si>
  <si>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</si>
  <si>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</si>
  <si>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</si>
  <si>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</si>
  <si>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</si>
  <si>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</si>
  <si>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</si>
  <si>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</si>
  <si>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</si>
  <si>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</si>
  <si>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</si>
  <si>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</si>
  <si>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</si>
  <si>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</si>
  <si>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</si>
  <si>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</si>
  <si>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</si>
  <si>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</si>
  <si>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</si>
  <si>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</si>
  <si>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</si>
  <si>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</si>
  <si>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</si>
  <si>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</si>
  <si>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</si>
  <si>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</si>
  <si>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</si>
  <si>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</si>
  <si>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</si>
  <si>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</si>
  <si>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</si>
  <si>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</si>
  <si>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</si>
  <si>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</si>
  <si>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</si>
  <si>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</si>
  <si>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</si>
  <si>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</si>
  <si>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</si>
  <si>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</si>
  <si>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</si>
  <si>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</si>
  <si>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</si>
  <si>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</si>
  <si>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</si>
  <si>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</si>
  <si>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</si>
  <si>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</si>
  <si>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</si>
  <si>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</si>
  <si>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</si>
  <si>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</si>
  <si>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</si>
  <si>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</si>
  <si>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</si>
  <si>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</si>
  <si>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</si>
  <si>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</si>
  <si>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</si>
  <si>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</si>
  <si>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</si>
  <si>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</si>
  <si>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</si>
  <si>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</si>
  <si>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</si>
  <si>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</si>
  <si>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</si>
  <si>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</si>
  <si>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</si>
  <si>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</si>
  <si>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</si>
  <si>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</si>
  <si>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</si>
  <si>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</si>
  <si>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</si>
  <si>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</si>
  <si>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</si>
  <si>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</si>
  <si>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</si>
  <si>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</si>
  <si>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</si>
  <si>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</si>
  <si>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</si>
  <si>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</si>
  <si>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</si>
  <si>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</si>
  <si>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</si>
  <si>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</si>
  <si>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</si>
  <si>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</si>
  <si>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</si>
  <si>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</si>
  <si>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</si>
  <si>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</si>
  <si>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</si>
  <si>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</si>
  <si>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</si>
  <si>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</si>
  <si>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</si>
  <si>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</si>
  <si>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</si>
  <si>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</si>
  <si>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</si>
  <si>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</si>
  <si>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</si>
  <si>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</si>
  <si>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</si>
  <si>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</si>
  <si>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</si>
  <si>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</si>
  <si>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</si>
  <si>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</si>
  <si>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</si>
  <si>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</si>
  <si>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</si>
  <si>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</si>
  <si>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</si>
  <si>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</si>
  <si>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</si>
  <si>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</si>
  <si>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</si>
  <si>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</si>
  <si>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</si>
  <si>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</si>
  <si>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</si>
  <si>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</si>
  <si>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</si>
  <si>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</si>
  <si>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</si>
  <si>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</si>
  <si>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</si>
  <si>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</si>
  <si>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</si>
  <si>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</si>
  <si>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</si>
  <si>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</si>
  <si>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</si>
  <si>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</si>
  <si>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</si>
  <si>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</si>
  <si>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</si>
  <si>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</si>
  <si>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</si>
  <si>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</si>
  <si>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</si>
  <si>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</si>
  <si>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</si>
  <si>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</si>
  <si>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</si>
  <si>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</si>
  <si>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</si>
  <si>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</si>
  <si>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</si>
  <si>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</si>
  <si>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</si>
  <si>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</si>
  <si>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</si>
  <si>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</si>
  <si>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</si>
  <si>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</si>
  <si>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</si>
  <si>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</si>
  <si>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</si>
  <si>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</si>
  <si>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</si>
  <si>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</si>
  <si>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</si>
  <si>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</si>
  <si>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</si>
  <si>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</si>
  <si>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</si>
  <si>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</si>
  <si>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</si>
  <si>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</si>
  <si>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</si>
  <si>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</si>
  <si>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</si>
  <si>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</si>
  <si>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</si>
  <si>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</si>
  <si>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</si>
  <si>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</si>
  <si>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</si>
  <si>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</si>
  <si>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</si>
  <si>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</si>
  <si>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</si>
  <si>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</si>
  <si>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</si>
  <si>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</si>
  <si>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</si>
  <si>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</si>
  <si>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</si>
  <si>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</si>
  <si>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</si>
  <si>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</si>
  <si>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</si>
  <si>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</si>
  <si>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</si>
  <si>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</si>
  <si>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</si>
  <si>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</si>
  <si>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</si>
  <si>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</si>
  <si>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</si>
  <si>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</si>
  <si>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</si>
  <si>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</si>
  <si>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</si>
  <si>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</si>
  <si>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</si>
  <si>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</si>
  <si>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</si>
  <si>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</si>
  <si>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</si>
  <si>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</si>
  <si>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</si>
  <si>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</si>
  <si>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</si>
  <si>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</si>
  <si>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</si>
  <si>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</si>
  <si>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</si>
  <si>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</si>
  <si>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</si>
  <si>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</si>
  <si>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</si>
  <si>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</si>
  <si>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</si>
  <si>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</si>
  <si>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</si>
  <si>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</si>
  <si>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</si>
  <si>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</si>
  <si>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</si>
  <si>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</si>
  <si>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</si>
  <si>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</si>
  <si>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</si>
  <si>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</si>
  <si>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</si>
  <si>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</si>
  <si>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</si>
  <si>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</si>
  <si>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</si>
  <si>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</si>
  <si>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</si>
  <si>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</si>
  <si>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</si>
  <si>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</si>
  <si>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</si>
  <si>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</si>
  <si>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</si>
  <si>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</si>
  <si>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</si>
  <si>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</si>
  <si>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</si>
  <si>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</si>
  <si>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</si>
  <si>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</si>
  <si>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</si>
  <si>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</si>
  <si>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</si>
  <si>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</si>
  <si>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</si>
  <si>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</si>
  <si>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</si>
  <si>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</si>
  <si>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</si>
  <si>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</si>
  <si>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</si>
  <si>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</si>
  <si>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</si>
  <si>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</si>
  <si>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</si>
  <si>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</si>
  <si>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</si>
  <si>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</si>
  <si>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</si>
  <si>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</si>
  <si>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</si>
  <si>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</si>
  <si>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</si>
  <si>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</si>
  <si>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</si>
  <si>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</si>
  <si>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</si>
  <si>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</si>
  <si>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</si>
  <si>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</si>
  <si>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</si>
  <si>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</si>
  <si>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</si>
  <si>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</si>
  <si>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</si>
  <si>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</si>
  <si>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</si>
  <si>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</si>
  <si>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</si>
  <si>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</si>
  <si>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</si>
  <si>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</si>
  <si>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</si>
  <si>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</si>
  <si>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</si>
  <si>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</si>
  <si>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</si>
  <si>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</si>
  <si>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</si>
  <si>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</si>
  <si>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</si>
  <si>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</si>
  <si>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</si>
  <si>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</si>
  <si>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</si>
  <si>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</si>
  <si>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</si>
  <si>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</si>
  <si>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</si>
  <si>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</si>
  <si>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</si>
  <si>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</si>
  <si>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</si>
  <si>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</si>
  <si>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</si>
  <si>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</si>
  <si>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</si>
  <si>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</si>
  <si>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</si>
  <si>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</si>
  <si>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</si>
  <si>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</si>
  <si>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</si>
  <si>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</si>
  <si>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</si>
  <si>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</si>
  <si>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</si>
  <si>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</si>
  <si>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</si>
  <si>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</si>
  <si>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</si>
  <si>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</si>
  <si>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</si>
  <si>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</si>
  <si>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</si>
  <si>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</si>
  <si>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</si>
  <si>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</si>
  <si>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</si>
  <si>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</si>
  <si>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</si>
  <si>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</si>
  <si>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</si>
  <si>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</si>
  <si>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</si>
  <si>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</si>
  <si>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</si>
  <si>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</si>
  <si>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</si>
  <si>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</si>
  <si>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</si>
  <si>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</si>
  <si>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</si>
  <si>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</si>
  <si>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</si>
  <si>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</si>
  <si>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</si>
  <si>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</si>
  <si>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</si>
  <si>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</si>
  <si>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</si>
  <si>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</si>
  <si>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</si>
  <si>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</si>
  <si>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</si>
  <si>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</si>
  <si>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</si>
  <si>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</si>
  <si>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</si>
  <si>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</si>
  <si>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</si>
  <si>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</si>
  <si>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</si>
  <si>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</si>
  <si>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</si>
  <si>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</si>
  <si>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</si>
  <si>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</si>
  <si>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</si>
  <si>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</si>
  <si>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</si>
  <si>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</si>
  <si>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</si>
  <si>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</si>
  <si>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</si>
  <si>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</si>
  <si>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</si>
  <si>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</si>
  <si>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</si>
  <si>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</si>
  <si>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</si>
  <si>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</si>
  <si>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</si>
  <si>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</si>
  <si>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</si>
  <si>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</si>
  <si>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</si>
  <si>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</si>
  <si>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</si>
  <si>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</si>
  <si>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</si>
  <si>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</si>
  <si>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</si>
  <si>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</si>
  <si>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</si>
  <si>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</si>
  <si>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</si>
  <si>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</si>
  <si>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</si>
  <si>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</si>
  <si>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</si>
  <si>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</si>
  <si>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</si>
  <si>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</si>
  <si>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</si>
  <si>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</si>
  <si>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</si>
  <si>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</si>
  <si>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</si>
  <si>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</si>
  <si>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</si>
  <si>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</si>
  <si>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</si>
  <si>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</si>
  <si>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</si>
  <si>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</si>
  <si>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</si>
  <si>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</si>
  <si>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</si>
  <si>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</si>
  <si>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</si>
  <si>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</si>
  <si>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</si>
  <si>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</si>
  <si>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</si>
  <si>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</si>
  <si>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</si>
  <si>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</si>
  <si>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</si>
  <si>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</si>
  <si>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</si>
  <si>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</si>
  <si>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</si>
  <si>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</si>
  <si>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</si>
  <si>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</si>
  <si>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</si>
  <si>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</si>
  <si>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</si>
  <si>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</si>
  <si>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</si>
  <si>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</si>
  <si>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</si>
  <si>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</si>
  <si>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</si>
  <si>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</si>
  <si>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</si>
  <si>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</si>
  <si>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</si>
  <si>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</si>
  <si>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</si>
  <si>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</si>
  <si>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</si>
  <si>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</si>
  <si>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</si>
  <si>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</si>
  <si>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</si>
  <si>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</si>
  <si>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</si>
  <si>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</si>
  <si>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</si>
  <si>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</si>
  <si>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</si>
  <si>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</si>
  <si>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</si>
  <si>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</si>
  <si>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</si>
  <si>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</si>
  <si>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</si>
  <si>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</si>
  <si>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</si>
  <si>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</si>
  <si>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</si>
  <si>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</si>
  <si>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</si>
  <si>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</si>
  <si>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</si>
  <si>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</si>
  <si>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</si>
  <si>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</si>
  <si>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</si>
  <si>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</si>
  <si>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</si>
  <si>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</si>
  <si>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</si>
  <si>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</si>
  <si>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</si>
  <si>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</si>
  <si>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</si>
  <si>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</si>
  <si>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</si>
  <si>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</si>
  <si>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</si>
  <si>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</si>
  <si>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</si>
  <si>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</si>
  <si>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</si>
  <si>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</si>
  <si>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</si>
  <si>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</si>
  <si>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</si>
  <si>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</si>
  <si>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</si>
  <si>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</si>
  <si>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</si>
  <si>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</si>
  <si>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</si>
  <si>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</si>
  <si>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</si>
  <si>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</si>
  <si>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</si>
  <si>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</si>
  <si>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</si>
  <si>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</si>
  <si>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</si>
  <si>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</si>
  <si>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</si>
  <si>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</si>
  <si>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</si>
  <si>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</si>
  <si>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</si>
  <si>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</si>
  <si>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</si>
  <si>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</si>
  <si>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</si>
  <si>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</si>
  <si>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</si>
  <si>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</si>
  <si>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</si>
  <si>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</si>
  <si>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</si>
  <si>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</si>
  <si>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</si>
  <si>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</si>
  <si>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</si>
  <si>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</si>
  <si>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</si>
  <si>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</si>
  <si>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</si>
  <si>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</si>
  <si>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</si>
  <si>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</si>
  <si>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</si>
  <si>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</si>
  <si>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</si>
  <si>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</si>
  <si>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</si>
  <si>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</si>
  <si>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</si>
  <si>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</si>
  <si>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</si>
  <si>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</si>
  <si>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</si>
  <si>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</si>
  <si>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</si>
  <si>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</si>
  <si>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</si>
  <si>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</si>
  <si>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</si>
  <si>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</si>
  <si>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</si>
  <si>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</si>
  <si>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</si>
  <si>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</si>
  <si>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</si>
  <si>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</si>
  <si>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</si>
  <si>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</si>
  <si>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</si>
  <si>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</si>
  <si>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</si>
  <si>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</si>
  <si>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</si>
  <si>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</si>
  <si>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</si>
  <si>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</si>
  <si>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</si>
  <si>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</si>
  <si>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</si>
  <si>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</si>
  <si>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</si>
  <si>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</si>
  <si>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</si>
  <si>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</si>
  <si>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</si>
  <si>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</si>
  <si>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</si>
  <si>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</si>
  <si>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</si>
  <si>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</si>
  <si>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</si>
  <si>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</si>
  <si>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</si>
  <si>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</si>
  <si>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</si>
  <si>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</si>
  <si>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</si>
  <si>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</si>
  <si>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</si>
  <si>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</si>
  <si>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</si>
  <si>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</si>
  <si>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</si>
  <si>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</si>
  <si>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</si>
  <si>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</si>
  <si>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</si>
  <si>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</si>
  <si>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</si>
  <si>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</si>
  <si>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</si>
  <si>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</si>
  <si>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</si>
  <si>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</si>
  <si>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</si>
  <si>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</si>
  <si>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</si>
  <si>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</si>
  <si>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</si>
  <si>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</si>
  <si>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</si>
  <si>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</si>
  <si>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</si>
  <si>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</si>
  <si>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</si>
  <si>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</si>
  <si>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</si>
  <si>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</si>
  <si>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</si>
  <si>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</si>
  <si>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</si>
  <si>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</si>
  <si>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</si>
  <si>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</si>
  <si>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</si>
  <si>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</si>
  <si>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</si>
  <si>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</si>
  <si>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</si>
  <si>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</si>
  <si>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</si>
  <si>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</si>
  <si>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</si>
  <si>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</si>
  <si>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</si>
  <si>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</si>
  <si>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</si>
  <si>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</si>
  <si>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</si>
  <si>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</si>
  <si>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</si>
  <si>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</si>
  <si>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</si>
  <si>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</si>
  <si>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</si>
  <si>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</si>
  <si>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</si>
  <si>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</si>
  <si>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</si>
  <si>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</si>
  <si>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</si>
  <si>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</si>
  <si>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</si>
  <si>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</si>
  <si>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</si>
  <si>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</si>
  <si>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</si>
  <si>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</si>
  <si>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</si>
  <si>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</si>
  <si>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</si>
  <si>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</si>
  <si>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</si>
  <si>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</si>
  <si>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</si>
  <si>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</si>
  <si>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</si>
  <si>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</si>
  <si>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</si>
  <si>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</si>
  <si>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</si>
  <si>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</si>
  <si>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</si>
  <si>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</si>
  <si>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</si>
  <si>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</si>
  <si>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</si>
  <si>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</si>
  <si>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</si>
  <si>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</si>
  <si>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</si>
  <si>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</si>
  <si>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</si>
  <si>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</si>
  <si>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</si>
  <si>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</si>
  <si>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</si>
  <si>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</si>
  <si>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</si>
  <si>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</si>
  <si>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</si>
  <si>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</si>
  <si>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</si>
  <si>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</si>
  <si>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</si>
  <si>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</si>
  <si>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</si>
  <si>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</si>
  <si>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</si>
  <si>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</si>
  <si>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</si>
  <si>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</si>
  <si>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</si>
  <si>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</si>
  <si>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</si>
  <si>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</si>
  <si>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</si>
  <si>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</si>
  <si>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</si>
  <si>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</si>
  <si>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</si>
  <si>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</si>
  <si>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</si>
  <si>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</si>
  <si>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</si>
  <si>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</si>
  <si>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</si>
  <si>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</si>
  <si>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</si>
  <si>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</si>
  <si>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</si>
  <si>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</si>
  <si>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</si>
  <si>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</si>
  <si>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</si>
  <si>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</si>
  <si>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</si>
  <si>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</si>
  <si>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</si>
  <si>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</si>
  <si>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</si>
  <si>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</si>
  <si>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</si>
  <si>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</si>
  <si>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</si>
  <si>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</si>
  <si>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</si>
  <si>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</si>
  <si>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</si>
  <si>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</si>
  <si>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</si>
  <si>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</si>
  <si>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</si>
  <si>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</si>
  <si>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</si>
  <si>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</si>
  <si>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</si>
  <si>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</si>
  <si>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</si>
  <si>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</si>
  <si>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</si>
  <si>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</si>
  <si>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</si>
  <si>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</si>
  <si>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</si>
  <si>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</si>
  <si>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</si>
  <si>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</si>
  <si>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</si>
  <si>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</si>
  <si>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</si>
  <si>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</si>
  <si>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</si>
  <si>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</si>
  <si>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</si>
  <si>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</si>
  <si>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</si>
  <si>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</si>
  <si>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</si>
  <si>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</si>
  <si>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</si>
  <si>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</si>
  <si>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</si>
  <si>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</si>
  <si>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</si>
  <si>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</si>
  <si>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</si>
  <si>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</si>
  <si>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</si>
  <si>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</si>
  <si>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</si>
  <si>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</si>
  <si>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</si>
  <si>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</si>
  <si>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</si>
  <si>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</si>
  <si>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</si>
  <si>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</si>
  <si>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</si>
  <si>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</si>
  <si>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</si>
  <si>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</si>
  <si>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</si>
  <si>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</si>
  <si>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</si>
  <si>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</si>
  <si>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</si>
  <si>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</si>
  <si>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</si>
  <si>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</si>
  <si>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</si>
  <si>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</si>
  <si>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</si>
  <si>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</si>
  <si>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</si>
  <si>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</si>
  <si>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</si>
  <si>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</si>
  <si>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</si>
  <si>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</si>
  <si>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</si>
  <si>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</si>
  <si>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</si>
  <si>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</si>
  <si>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</si>
  <si>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</si>
  <si>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</si>
  <si>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</si>
  <si>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</si>
  <si>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</si>
  <si>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</si>
  <si>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</si>
  <si>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</si>
  <si>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</si>
  <si>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</si>
  <si>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</si>
  <si>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</si>
  <si>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</si>
  <si>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</si>
  <si>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</si>
  <si>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</si>
  <si>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</si>
  <si>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</si>
  <si>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</si>
  <si>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</si>
  <si>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</si>
  <si>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</si>
  <si>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</si>
  <si>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</si>
  <si>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</si>
  <si>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</si>
  <si>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</si>
  <si>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</si>
  <si>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</si>
  <si>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</si>
  <si>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</si>
  <si>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</si>
  <si>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</si>
  <si>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</si>
  <si>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</si>
  <si>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</si>
  <si>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</si>
  <si>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</si>
  <si>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</si>
  <si>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</si>
  <si>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</si>
  <si>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</si>
  <si>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</si>
  <si>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</si>
  <si>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</si>
  <si>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</si>
  <si>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</si>
  <si>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</si>
  <si>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</si>
  <si>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</si>
  <si>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</si>
  <si>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</si>
  <si>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</si>
  <si>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</si>
  <si>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</si>
  <si>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</si>
  <si>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</si>
  <si>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</si>
  <si>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</si>
  <si>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</si>
  <si>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</si>
  <si>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</si>
  <si>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</si>
  <si>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</si>
  <si>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</si>
  <si>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</si>
  <si>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</si>
  <si>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</si>
  <si>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</si>
  <si>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</si>
  <si>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</si>
  <si>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</si>
  <si>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</si>
  <si>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</si>
  <si>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</si>
  <si>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</si>
  <si>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</si>
  <si>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</si>
  <si>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</si>
  <si>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</si>
  <si>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</si>
  <si>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</si>
  <si>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</si>
  <si>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</si>
  <si>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</si>
  <si>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</si>
  <si>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</si>
  <si>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</si>
  <si>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</si>
  <si>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</si>
  <si>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</si>
  <si>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</si>
  <si>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</si>
  <si>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</si>
  <si>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</si>
  <si>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</si>
  <si>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</si>
  <si>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</si>
  <si>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</si>
  <si>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</si>
  <si>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</si>
  <si>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</si>
  <si>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</si>
  <si>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</si>
  <si>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</si>
  <si>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</si>
  <si>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</si>
  <si>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</si>
  <si>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</si>
  <si>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</si>
  <si>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</si>
  <si>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</si>
  <si>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</si>
  <si>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</si>
  <si>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</si>
  <si>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</si>
  <si>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</si>
  <si>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</si>
  <si>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</si>
  <si>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</si>
  <si>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</si>
  <si>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</si>
  <si>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</si>
  <si>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</si>
  <si>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</si>
  <si>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</si>
  <si>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</si>
  <si>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</si>
  <si>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</si>
  <si>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</si>
  <si>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</si>
  <si>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</si>
  <si>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</si>
  <si>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</si>
  <si>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</si>
  <si>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</si>
  <si>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</si>
  <si>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</si>
  <si>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</si>
  <si>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</si>
  <si>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</si>
  <si>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</si>
  <si>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</si>
  <si>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</si>
  <si>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</si>
  <si>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</si>
  <si>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</si>
  <si>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</si>
  <si>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</si>
  <si>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</si>
  <si>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</si>
  <si>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</si>
  <si>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</si>
  <si>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</si>
  <si>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</si>
  <si>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</si>
  <si>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</si>
  <si>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</si>
  <si>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</si>
  <si>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</si>
  <si>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</si>
  <si>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</si>
  <si>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</si>
  <si>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</si>
  <si>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</si>
  <si>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</si>
  <si>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</si>
  <si>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</si>
  <si>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</si>
  <si>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</si>
  <si>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</si>
  <si>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</si>
  <si>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</si>
  <si>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</si>
  <si>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</si>
  <si>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</si>
  <si>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</si>
  <si>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</si>
  <si>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</si>
  <si>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</si>
  <si>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</si>
  <si>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</si>
  <si>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</si>
  <si>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</si>
  <si>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</si>
  <si>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</si>
  <si>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</si>
  <si>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</si>
  <si>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</si>
  <si>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</si>
  <si>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</si>
  <si>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</si>
  <si>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</si>
  <si>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</si>
  <si>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</si>
  <si>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</si>
  <si>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</si>
  <si>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</si>
  <si>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</si>
  <si>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</si>
  <si>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</si>
  <si>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</si>
  <si>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</si>
  <si>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</si>
  <si>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</si>
  <si>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</si>
  <si>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</si>
  <si>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</si>
  <si>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</si>
  <si>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</si>
  <si>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</si>
  <si>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</si>
  <si>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</si>
  <si>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</si>
  <si>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</si>
  <si>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</si>
  <si>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</si>
  <si>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</si>
  <si>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</si>
  <si>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</si>
  <si>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</si>
  <si>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</si>
  <si>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</si>
  <si>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</si>
  <si>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</si>
  <si>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</si>
  <si>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</si>
  <si>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</si>
  <si>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</si>
  <si>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</si>
  <si>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</si>
  <si>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</si>
  <si>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</si>
  <si>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</si>
  <si>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</si>
  <si>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</si>
  <si>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</si>
  <si>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</si>
  <si>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</si>
  <si>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</si>
  <si>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</si>
  <si>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</si>
  <si>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</si>
  <si>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</si>
  <si>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</si>
  <si>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</si>
  <si>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</si>
  <si>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</si>
  <si>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</si>
  <si>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</si>
  <si>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</si>
  <si>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</si>
  <si>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</si>
  <si>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</si>
  <si>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</si>
  <si>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</si>
  <si>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</si>
  <si>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</si>
  <si>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</si>
  <si>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</si>
  <si>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</si>
  <si>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</si>
  <si>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</si>
  <si>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</si>
  <si>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</si>
  <si>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</si>
  <si>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</si>
  <si>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</si>
  <si>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</si>
  <si>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</si>
  <si>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</si>
  <si>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</si>
  <si>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</si>
  <si>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</si>
  <si>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</si>
  <si>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</si>
  <si>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</si>
  <si>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</si>
  <si>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</si>
  <si>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</si>
  <si>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</si>
  <si>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</si>
  <si>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</si>
  <si>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</si>
  <si>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</si>
  <si>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</si>
  <si>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</si>
  <si>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</si>
  <si>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</si>
  <si>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</si>
  <si>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</si>
  <si>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</si>
  <si>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</si>
  <si>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</si>
  <si>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</si>
  <si>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</si>
  <si>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</si>
  <si>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</si>
  <si>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</si>
  <si>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</si>
  <si>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</si>
  <si>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</si>
  <si>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</si>
  <si>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</si>
  <si>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</si>
  <si>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</si>
  <si>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</si>
  <si>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</si>
  <si>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</si>
  <si>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</si>
  <si>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</si>
  <si>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</si>
  <si>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</si>
  <si>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</si>
  <si>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</si>
  <si>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</si>
  <si>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</si>
  <si>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</si>
  <si>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</si>
  <si>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</si>
  <si>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</si>
  <si>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</si>
  <si>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</si>
  <si>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</si>
  <si>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</si>
  <si>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</si>
  <si>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</si>
  <si>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</si>
  <si>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</si>
  <si>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</si>
  <si>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</si>
  <si>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</si>
  <si>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</si>
  <si>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</si>
  <si>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</si>
  <si>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</si>
  <si>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</si>
  <si>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</si>
  <si>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</si>
  <si>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</si>
  <si>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</si>
  <si>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</si>
  <si>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</si>
  <si>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</si>
  <si>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</si>
  <si>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</si>
  <si>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</si>
  <si>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</si>
  <si>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</si>
  <si>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</si>
  <si>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</si>
  <si>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</si>
  <si>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</si>
  <si>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</si>
  <si>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</si>
  <si>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</si>
  <si>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</si>
  <si>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</si>
  <si>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</si>
  <si>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</si>
  <si>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</si>
  <si>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</si>
  <si>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</si>
  <si>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</si>
  <si>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</si>
  <si>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</si>
  <si>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</si>
  <si>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</si>
  <si>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</si>
  <si>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</si>
  <si>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</si>
  <si>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</si>
  <si>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</si>
  <si>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</si>
  <si>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</si>
  <si>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</si>
  <si>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</si>
  <si>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</si>
  <si>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</si>
  <si>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</si>
  <si>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</si>
  <si>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</si>
  <si>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</si>
  <si>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</si>
  <si>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</si>
  <si>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</si>
  <si>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</si>
  <si>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</si>
  <si>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</si>
  <si>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</si>
  <si>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</si>
  <si>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</si>
  <si>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</si>
  <si>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</si>
  <si>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</si>
  <si>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</si>
  <si>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</si>
  <si>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</si>
  <si>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</si>
  <si>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</si>
  <si>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</si>
  <si>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</si>
  <si>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</si>
  <si>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</si>
  <si>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</si>
  <si>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</si>
  <si>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</si>
  <si>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</si>
  <si>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</si>
  <si>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</si>
  <si>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</si>
  <si>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</si>
  <si>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</si>
  <si>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</si>
  <si>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</si>
  <si>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</si>
  <si>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</si>
  <si>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</si>
  <si>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</si>
  <si>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</si>
  <si>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</si>
  <si>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</si>
  <si>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</si>
  <si>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</si>
  <si>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</si>
  <si>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</si>
  <si>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</si>
  <si>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</si>
  <si>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</si>
  <si>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</si>
  <si>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</si>
  <si>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</si>
  <si>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</si>
  <si>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</si>
  <si>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</si>
  <si>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</si>
  <si>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</si>
  <si>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</si>
  <si>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</si>
  <si>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</si>
  <si>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</si>
  <si>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</si>
  <si>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</si>
  <si>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</si>
  <si>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</si>
  <si>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</si>
  <si>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</si>
  <si>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</si>
  <si>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</si>
  <si>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</si>
  <si>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</si>
  <si>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</si>
  <si>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</si>
  <si>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</si>
  <si>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</si>
  <si>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</si>
  <si>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</si>
  <si>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</si>
  <si>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</si>
  <si>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</si>
  <si>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</si>
  <si>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</si>
  <si>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</si>
  <si>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</si>
  <si>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</si>
  <si>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</si>
  <si>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</si>
  <si>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</si>
  <si>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</si>
  <si>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</si>
  <si>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</si>
  <si>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</si>
  <si>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</si>
  <si>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</si>
  <si>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</si>
  <si>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</si>
  <si>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</si>
  <si>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</si>
  <si>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</si>
  <si>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</si>
  <si>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</si>
  <si>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</si>
  <si>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</si>
  <si>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</si>
  <si>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</si>
  <si>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</si>
  <si>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</si>
  <si>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</si>
  <si>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</si>
  <si>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</si>
  <si>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</si>
  <si>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</si>
  <si>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</si>
  <si>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</si>
  <si>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</si>
  <si>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</si>
  <si>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</si>
  <si>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</si>
  <si>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</si>
  <si>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</si>
  <si>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</si>
  <si>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</si>
  <si>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</si>
  <si>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</si>
  <si>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</si>
  <si>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</si>
  <si>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</si>
  <si>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</si>
  <si>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</si>
  <si>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</si>
  <si>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</si>
  <si>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</si>
  <si>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</si>
  <si>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</si>
  <si>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</si>
  <si>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</si>
  <si>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</si>
  <si>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</si>
  <si>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</si>
  <si>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</si>
  <si>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</si>
  <si>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</si>
  <si>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</si>
  <si>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</si>
  <si>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</si>
  <si>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</si>
  <si>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</si>
  <si>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</si>
  <si>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</si>
  <si>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</si>
  <si>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</si>
  <si>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</si>
  <si>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</si>
  <si>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</si>
  <si>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</si>
  <si>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</si>
  <si>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</si>
  <si>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</si>
  <si>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</si>
  <si>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</si>
  <si>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</si>
  <si>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</si>
  <si>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</si>
  <si>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</si>
  <si>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</si>
  <si>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</si>
  <si>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</si>
  <si>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</si>
  <si>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</si>
  <si>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</si>
  <si>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</si>
  <si>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</si>
  <si>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</si>
  <si>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</si>
  <si>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</si>
  <si>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</si>
  <si>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</si>
  <si>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</si>
  <si>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</si>
  <si>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</si>
  <si>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</si>
  <si>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</si>
  <si>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</si>
  <si>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</si>
  <si>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</si>
  <si>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</si>
  <si>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</si>
  <si>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</si>
  <si>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</si>
  <si>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</si>
  <si>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</si>
  <si>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</si>
  <si>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</si>
  <si>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</si>
  <si>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</si>
  <si>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</si>
  <si>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</si>
  <si>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</si>
  <si>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</si>
  <si>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</si>
  <si>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</si>
  <si>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</si>
  <si>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</si>
  <si>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</si>
  <si>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</si>
  <si>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</si>
  <si>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</si>
  <si>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</si>
  <si>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</si>
  <si>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</si>
  <si>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</si>
  <si>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</si>
  <si>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</si>
  <si>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</si>
  <si>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</si>
  <si>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</si>
  <si>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</si>
  <si>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</si>
  <si>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</si>
  <si>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</si>
  <si>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</si>
  <si>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</si>
  <si>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</si>
  <si>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</si>
  <si>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</si>
  <si>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</si>
  <si>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</si>
  <si>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</si>
  <si>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</si>
  <si>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</si>
  <si>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</si>
  <si>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</si>
  <si>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</si>
  <si>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</si>
  <si>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</si>
  <si>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</si>
  <si>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</si>
  <si>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</si>
  <si>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</si>
  <si>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</si>
  <si>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</si>
  <si>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</si>
  <si>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</si>
  <si>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</si>
  <si>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</si>
  <si>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</si>
  <si>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</si>
  <si>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</si>
  <si>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</si>
  <si>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</si>
  <si>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</si>
  <si>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</si>
  <si>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</si>
  <si>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</si>
  <si>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</si>
  <si>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</si>
  <si>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</si>
  <si>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</si>
  <si>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</si>
  <si>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</si>
  <si>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</si>
  <si>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</si>
  <si>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</si>
  <si>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</si>
  <si>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</si>
  <si>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</si>
  <si>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</si>
  <si>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</si>
  <si>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</si>
  <si>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</si>
  <si>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</si>
  <si>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</si>
  <si>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</si>
  <si>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</si>
  <si>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</si>
  <si>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</si>
  <si>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</si>
  <si>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</si>
  <si>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</si>
  <si>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</si>
  <si>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</si>
  <si>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</si>
  <si>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</si>
  <si>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</si>
  <si>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</si>
  <si>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</si>
  <si>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</si>
  <si>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</si>
  <si>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</si>
  <si>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</si>
  <si>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</si>
  <si>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</si>
  <si>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</si>
  <si>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</si>
  <si>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</si>
  <si>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</si>
  <si>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</si>
  <si>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</si>
  <si>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</si>
  <si>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</si>
  <si>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</si>
  <si>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</si>
  <si>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</si>
  <si>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</si>
  <si>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</si>
  <si>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</si>
  <si>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</si>
  <si>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</si>
  <si>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</si>
  <si>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</si>
  <si>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</si>
  <si>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</si>
  <si>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</si>
  <si>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</si>
  <si>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</si>
  <si>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</si>
  <si>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</si>
  <si>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</si>
  <si>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</si>
  <si>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</si>
  <si>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</si>
  <si>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</si>
  <si>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</si>
  <si>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</si>
  <si>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</si>
  <si>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</si>
  <si>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</si>
  <si>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</si>
  <si>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</si>
  <si>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</si>
  <si>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</si>
  <si>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</si>
  <si>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</si>
  <si>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</si>
  <si>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</si>
  <si>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</si>
  <si>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</si>
  <si>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</si>
  <si>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</si>
  <si>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</si>
  <si>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</si>
  <si>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</si>
  <si>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</si>
  <si>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</si>
  <si>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</si>
  <si>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</si>
  <si>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</si>
  <si>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</si>
  <si>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</si>
  <si>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</si>
  <si>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</si>
  <si>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</si>
  <si>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</si>
  <si>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</si>
  <si>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</si>
  <si>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</si>
  <si>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</si>
  <si>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</si>
  <si>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</si>
  <si>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</si>
  <si>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</si>
  <si>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</si>
  <si>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</si>
  <si>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</si>
  <si>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</si>
  <si>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</si>
  <si>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</si>
  <si>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</si>
  <si>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</si>
  <si>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</si>
  <si>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</si>
  <si>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</si>
  <si>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</si>
  <si>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</si>
  <si>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</si>
  <si>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</si>
  <si>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</si>
  <si>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</si>
  <si>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</si>
  <si>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</si>
  <si>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</si>
  <si>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</si>
  <si>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</si>
  <si>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</si>
  <si>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</si>
  <si>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</si>
  <si>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</si>
  <si>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</si>
  <si>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</si>
  <si>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</si>
  <si>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</si>
  <si>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</si>
  <si>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</si>
  <si>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</si>
  <si>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</si>
  <si>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</si>
  <si>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</si>
  <si>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</si>
  <si>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</si>
  <si>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</si>
  <si>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</si>
  <si>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</si>
  <si>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</si>
  <si>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</si>
  <si>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</si>
  <si>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</si>
  <si>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</si>
  <si>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</si>
  <si>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</si>
  <si>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</si>
  <si>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</si>
  <si>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</si>
  <si>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</si>
  <si>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</si>
  <si>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</si>
  <si>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</si>
  <si>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</si>
  <si>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</si>
  <si>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</si>
  <si>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</si>
  <si>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</si>
  <si>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</si>
  <si>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</si>
  <si>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</si>
  <si>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</si>
  <si>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</si>
  <si>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</si>
  <si>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</si>
  <si>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</si>
  <si>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</si>
  <si>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</si>
  <si>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</si>
  <si>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</si>
  <si>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</si>
  <si>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</si>
  <si>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</si>
  <si>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</si>
  <si>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</si>
  <si>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</si>
  <si>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</si>
  <si>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</si>
  <si>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</si>
  <si>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</si>
  <si>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</si>
  <si>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</si>
  <si>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</si>
  <si>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</si>
  <si>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</si>
  <si>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</si>
  <si>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</si>
  <si>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</si>
  <si>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</si>
  <si>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</si>
  <si>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</si>
  <si>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</si>
  <si>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</si>
  <si>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</si>
  <si>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</si>
  <si>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</si>
  <si>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</si>
  <si>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</si>
  <si>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</si>
  <si>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</si>
  <si>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</si>
  <si>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</si>
  <si>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</si>
  <si>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</si>
  <si>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</si>
  <si>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</si>
  <si>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</si>
  <si>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</si>
  <si>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</si>
  <si>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</si>
  <si>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</si>
  <si>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</si>
  <si>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</si>
  <si>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</si>
  <si>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</si>
  <si>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</si>
  <si>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</si>
  <si>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</si>
  <si>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</si>
  <si>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</si>
  <si>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</si>
  <si>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</si>
  <si>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</si>
  <si>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</si>
  <si>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</si>
  <si>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</si>
  <si>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</si>
  <si>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</si>
  <si>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</si>
  <si>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</si>
  <si>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</si>
  <si>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</si>
  <si>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</si>
  <si>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</si>
  <si>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</si>
  <si>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</si>
  <si>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</si>
  <si>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</si>
  <si>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</si>
  <si>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</si>
  <si>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</si>
  <si>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</si>
  <si>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</si>
  <si>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</si>
  <si>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</si>
  <si>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</si>
  <si>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</si>
  <si>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</si>
  <si>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</si>
  <si>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</si>
  <si>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</si>
  <si>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</si>
  <si>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</si>
  <si>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</si>
  <si>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</si>
  <si>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</si>
  <si>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</si>
  <si>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</si>
  <si>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</si>
  <si>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</si>
  <si>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</si>
  <si>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</si>
  <si>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</si>
  <si>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</si>
  <si>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</si>
  <si>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</si>
  <si>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</si>
  <si>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</si>
  <si>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</si>
  <si>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</si>
  <si>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</si>
  <si>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</si>
  <si>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</si>
  <si>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</si>
  <si>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</si>
  <si>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</si>
  <si>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</si>
  <si>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</si>
  <si>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</si>
  <si>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</si>
  <si>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</si>
  <si>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</si>
  <si>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</si>
  <si>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</si>
  <si>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</si>
  <si>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</si>
  <si>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</si>
  <si>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</si>
  <si>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</si>
  <si>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</si>
  <si>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</si>
  <si>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</si>
  <si>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</si>
  <si>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</si>
  <si>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</si>
  <si>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</si>
  <si>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</si>
  <si>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</si>
  <si>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</si>
  <si>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</si>
  <si>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</si>
  <si>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</si>
  <si>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</si>
  <si>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</si>
  <si>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</si>
  <si>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</si>
  <si>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</si>
  <si>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</si>
  <si>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</si>
  <si>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</si>
  <si>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</si>
  <si>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</si>
  <si>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</si>
  <si>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</si>
  <si>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</si>
  <si>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</si>
  <si>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</si>
  <si>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</si>
  <si>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</si>
  <si>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</si>
  <si>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</si>
  <si>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</si>
  <si>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</si>
  <si>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</si>
  <si>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</si>
  <si>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</si>
  <si>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</si>
  <si>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</si>
  <si>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</si>
  <si>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</si>
  <si>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</si>
  <si>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</si>
  <si>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</si>
  <si>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</si>
  <si>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</si>
  <si>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</si>
  <si>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</si>
  <si>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</si>
  <si>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</si>
  <si>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</si>
  <si>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</si>
  <si>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</si>
  <si>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</si>
  <si>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</si>
  <si>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</si>
  <si>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</si>
  <si>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</si>
  <si>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</si>
  <si>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</si>
  <si>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</si>
  <si>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</si>
  <si>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</si>
  <si>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</si>
  <si>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</si>
  <si>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</si>
  <si>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</si>
  <si>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</si>
  <si>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</si>
  <si>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</si>
  <si>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</si>
  <si>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</si>
  <si>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</si>
  <si>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</si>
  <si>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</si>
  <si>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</si>
  <si>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</si>
  <si>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</si>
  <si>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</si>
  <si>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</si>
  <si>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</si>
  <si>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</si>
  <si>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</si>
  <si>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</si>
  <si>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</si>
  <si>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</si>
  <si>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</si>
  <si>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</si>
  <si>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</si>
  <si>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</si>
  <si>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</si>
  <si>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</si>
  <si>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</si>
  <si>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</si>
  <si>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</si>
  <si>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</si>
  <si>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</si>
  <si>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</si>
  <si>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</si>
  <si>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</si>
  <si>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</si>
  <si>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</si>
  <si>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</si>
  <si>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</si>
  <si>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</si>
  <si>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</si>
  <si>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</si>
  <si>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</si>
  <si>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</si>
  <si>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</si>
  <si>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</si>
  <si>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</si>
  <si>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</si>
  <si>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</si>
  <si>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</si>
  <si>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</si>
  <si>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</si>
  <si>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</si>
  <si>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</si>
  <si>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</si>
  <si>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</si>
  <si>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</si>
  <si>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</si>
  <si>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</si>
  <si>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</si>
  <si>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</si>
  <si>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</si>
  <si>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</si>
  <si>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</si>
  <si>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</si>
  <si>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</si>
  <si>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</si>
  <si>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</si>
  <si>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</si>
  <si>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</si>
  <si>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</si>
  <si>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</si>
  <si>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</si>
  <si>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</si>
  <si>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</si>
  <si>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</si>
  <si>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</si>
  <si>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</si>
  <si>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</si>
  <si>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</si>
  <si>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</si>
  <si>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</si>
  <si>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</si>
  <si>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</si>
  <si>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</si>
  <si>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</si>
  <si>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</si>
  <si>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</si>
  <si>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</si>
  <si>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</si>
  <si>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</si>
  <si>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</si>
  <si>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</si>
  <si>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</si>
  <si>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</si>
  <si>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</si>
  <si>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</si>
  <si>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</si>
  <si>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</si>
  <si>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</si>
  <si>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</si>
  <si>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</si>
  <si>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</si>
  <si>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</si>
  <si>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</si>
  <si>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</si>
  <si>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</si>
  <si>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</si>
  <si>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</si>
  <si>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</si>
  <si>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</si>
  <si>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</si>
  <si>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</si>
  <si>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</si>
  <si>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</si>
  <si>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</si>
  <si>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</si>
  <si>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</si>
  <si>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</si>
  <si>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</si>
  <si>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</si>
  <si>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</si>
  <si>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</si>
  <si>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</si>
  <si>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</si>
  <si>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</si>
  <si>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</si>
  <si>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</si>
  <si>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</si>
  <si>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</si>
  <si>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</si>
  <si>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</si>
  <si>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</si>
  <si>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</si>
  <si>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</si>
  <si>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</si>
  <si>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</si>
  <si>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</si>
  <si>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</si>
  <si>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</si>
  <si>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</si>
  <si>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</si>
  <si>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</si>
  <si>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</si>
  <si>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</si>
  <si>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</si>
  <si>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</si>
  <si>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</si>
  <si>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</si>
  <si>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</si>
  <si>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</si>
  <si>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</si>
  <si>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</si>
  <si>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</si>
  <si>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</si>
  <si>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</si>
  <si>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</si>
  <si>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</si>
  <si>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</si>
  <si>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</si>
  <si>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</si>
  <si>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</si>
  <si>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</si>
  <si>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</si>
  <si>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</si>
  <si>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</si>
  <si>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</si>
  <si>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</si>
  <si>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</si>
  <si>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</si>
  <si>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</si>
  <si>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</si>
  <si>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</si>
  <si>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</si>
  <si>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</si>
  <si>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</si>
  <si>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</si>
  <si>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</si>
  <si>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</si>
  <si>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</si>
  <si>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</si>
  <si>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</si>
  <si>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</si>
  <si>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</si>
  <si>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</si>
  <si>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</si>
  <si>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</si>
  <si>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</si>
  <si>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</si>
  <si>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</si>
  <si>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</si>
  <si>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</si>
  <si>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</si>
  <si>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</si>
  <si>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</si>
  <si>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</si>
  <si>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</si>
  <si>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</si>
  <si>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</si>
  <si>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</si>
  <si>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</si>
  <si>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</si>
  <si>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</si>
  <si>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</si>
  <si>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</si>
  <si>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</si>
  <si>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</si>
  <si>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</si>
  <si>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</si>
  <si>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</si>
  <si>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</si>
  <si>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</si>
  <si>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</si>
  <si>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</si>
  <si>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</si>
  <si>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</si>
  <si>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</si>
  <si>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</si>
  <si>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</si>
  <si>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</si>
  <si>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</si>
  <si>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</si>
  <si>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</si>
  <si>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</si>
  <si>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</si>
  <si>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</si>
  <si>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</si>
  <si>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</si>
  <si>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</si>
  <si>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</si>
  <si>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</si>
  <si>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</si>
  <si>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</si>
  <si>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</si>
  <si>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</si>
  <si>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</si>
  <si>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</si>
  <si>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</si>
  <si>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</si>
  <si>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</si>
  <si>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</si>
  <si>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</si>
  <si>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</si>
  <si>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</si>
  <si>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</si>
  <si>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</si>
  <si>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</si>
  <si>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</si>
  <si>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</si>
  <si>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</si>
  <si>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</si>
  <si>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</si>
  <si>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</si>
  <si>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</si>
  <si>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</si>
  <si>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</si>
  <si>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</si>
  <si>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</si>
  <si>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</si>
  <si>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</si>
  <si>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</si>
  <si>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</si>
  <si>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</si>
  <si>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</si>
  <si>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</si>
  <si>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</si>
  <si>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</si>
  <si>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</si>
  <si>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</si>
  <si>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</si>
  <si>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</si>
  <si>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</si>
  <si>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</si>
  <si>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</si>
  <si>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</si>
  <si>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</si>
  <si>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</si>
  <si>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</si>
  <si>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</si>
  <si>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</si>
  <si>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</si>
  <si>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</si>
  <si>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</si>
  <si>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</si>
  <si>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</si>
  <si>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</si>
  <si>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</si>
  <si>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</si>
  <si>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</si>
  <si>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</si>
  <si>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</si>
  <si>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</si>
  <si>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</si>
  <si>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</si>
  <si>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</si>
  <si>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</si>
  <si>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</si>
  <si>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</si>
  <si>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</si>
  <si>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</si>
  <si>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</si>
  <si>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</si>
  <si>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</si>
  <si>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</si>
  <si>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</si>
  <si>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</si>
  <si>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</si>
  <si>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</si>
  <si>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</si>
  <si>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</si>
  <si>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</si>
  <si>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</si>
  <si>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</si>
  <si>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</si>
  <si>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</si>
  <si>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</si>
  <si>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</si>
  <si>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</si>
  <si>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</si>
  <si>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</si>
  <si>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</si>
  <si>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</si>
  <si>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</si>
  <si>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</si>
  <si>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</si>
  <si>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</si>
  <si>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</si>
  <si>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</si>
  <si>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</si>
  <si>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</si>
  <si>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</si>
  <si>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</si>
  <si>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</si>
  <si>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</si>
  <si>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</si>
  <si>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</si>
  <si>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</si>
  <si>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</si>
  <si>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</si>
  <si>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</si>
  <si>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</si>
  <si>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</si>
  <si>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</si>
  <si>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</si>
  <si>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</si>
  <si>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</si>
  <si>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</si>
  <si>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</si>
  <si>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</si>
  <si>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</si>
  <si>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</si>
  <si>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</si>
  <si>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</si>
  <si>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</si>
  <si>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</si>
  <si>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</si>
  <si>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</si>
  <si>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</si>
  <si>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</si>
  <si>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</si>
  <si>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</si>
  <si>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</si>
  <si>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</si>
  <si>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</si>
  <si>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</si>
  <si>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</si>
  <si>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</si>
  <si>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</si>
  <si>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</si>
  <si>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</si>
  <si>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</si>
  <si>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</si>
  <si>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</si>
  <si>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</si>
  <si>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</si>
  <si>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</si>
  <si>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</si>
  <si>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</si>
  <si>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</si>
  <si>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</si>
  <si>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</si>
  <si>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</si>
  <si>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</si>
  <si>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</si>
  <si>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</si>
  <si>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</si>
  <si>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</si>
  <si>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</si>
  <si>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</si>
  <si>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</si>
  <si>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</si>
  <si>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</si>
  <si>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</si>
  <si>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</si>
  <si>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</si>
  <si>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</si>
  <si>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</si>
  <si>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</si>
  <si>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</si>
  <si>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</si>
  <si>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</si>
  <si>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</si>
  <si>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</si>
  <si>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</si>
  <si>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</si>
  <si>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</si>
  <si>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</si>
  <si>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</si>
  <si>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</si>
  <si>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</si>
  <si>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</si>
  <si>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</si>
  <si>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</si>
  <si>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</si>
  <si>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</si>
  <si>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</si>
  <si>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</si>
  <si>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</si>
  <si>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</si>
  <si>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</si>
  <si>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</si>
  <si>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</si>
  <si>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</si>
  <si>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</si>
  <si>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</si>
  <si>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</si>
  <si>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</si>
  <si>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</si>
  <si>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</si>
  <si>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</si>
  <si>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</si>
  <si>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</si>
  <si>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</si>
  <si>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</si>
  <si>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</si>
  <si>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</si>
  <si>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</si>
  <si>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</si>
  <si>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</si>
  <si>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</si>
  <si>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</si>
  <si>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</si>
  <si>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</si>
  <si>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</si>
  <si>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</si>
  <si>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</si>
  <si>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</si>
  <si>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</si>
  <si>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</si>
  <si>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</si>
  <si>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</si>
  <si>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</si>
  <si>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</si>
  <si>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</si>
  <si>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</si>
  <si>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</si>
  <si>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</si>
  <si>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</si>
  <si>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</si>
  <si>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</si>
  <si>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</si>
  <si>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</si>
  <si>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</si>
  <si>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</si>
  <si>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</si>
  <si>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</si>
  <si>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</si>
  <si>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</si>
  <si>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</si>
  <si>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</si>
  <si>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</si>
  <si>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</si>
  <si>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</si>
  <si>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</si>
  <si>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</si>
  <si>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</si>
  <si>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</si>
  <si>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</si>
  <si>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</si>
  <si>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</si>
  <si>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</si>
  <si>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</si>
  <si>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</si>
  <si>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</si>
  <si>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</si>
  <si>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</si>
  <si>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</si>
  <si>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</si>
  <si>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</si>
  <si>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</si>
  <si>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</si>
  <si>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</si>
  <si>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</si>
  <si>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</si>
  <si>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</si>
  <si>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</si>
  <si>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</si>
  <si>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</si>
  <si>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</si>
  <si>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</si>
  <si>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</si>
  <si>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</si>
  <si>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</si>
  <si>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</si>
  <si>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</si>
  <si>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</si>
  <si>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</si>
  <si>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</si>
  <si>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</si>
  <si>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</si>
  <si>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</si>
  <si>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</si>
  <si>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</si>
  <si>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</si>
  <si>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</si>
  <si>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</si>
  <si>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</si>
  <si>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</si>
  <si>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</si>
  <si>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</si>
  <si>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</si>
  <si>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</si>
  <si>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</si>
  <si>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</si>
  <si>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</si>
  <si>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</si>
  <si>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</si>
  <si>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</si>
  <si>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</si>
  <si>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</si>
  <si>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</si>
  <si>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</si>
  <si>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</si>
  <si>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</si>
  <si>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</si>
  <si>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</si>
  <si>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</si>
  <si>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</si>
  <si>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</si>
  <si>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</si>
  <si>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</si>
  <si>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</si>
  <si>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</si>
  <si>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</si>
  <si>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</si>
  <si>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</si>
  <si>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</si>
  <si>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</si>
  <si>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</si>
  <si>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</si>
  <si>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</si>
  <si>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</si>
  <si>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</si>
  <si>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</si>
  <si>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</si>
  <si>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</si>
  <si>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</si>
  <si>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</si>
  <si>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</si>
  <si>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</si>
  <si>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</si>
  <si>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</si>
  <si>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</si>
  <si>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</si>
  <si>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</si>
  <si>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</si>
  <si>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</si>
  <si>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</si>
  <si>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</si>
  <si>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</si>
  <si>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</si>
  <si>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</si>
  <si>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</si>
  <si>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</si>
  <si>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</si>
  <si>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</si>
  <si>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</si>
  <si>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</si>
  <si>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</si>
  <si>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</si>
  <si>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</si>
  <si>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</si>
  <si>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</si>
  <si>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</si>
  <si>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</si>
  <si>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</si>
  <si>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</si>
  <si>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</si>
  <si>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</si>
  <si>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</si>
  <si>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</si>
  <si>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</si>
  <si>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</si>
  <si>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</si>
  <si>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</si>
  <si>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</si>
  <si>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</si>
  <si>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</si>
  <si>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</si>
  <si>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</si>
  <si>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</si>
  <si>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</si>
  <si>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</si>
  <si>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</si>
  <si>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</si>
  <si>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</si>
  <si>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</si>
  <si>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</si>
  <si>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</si>
  <si>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</si>
  <si>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</si>
  <si>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</si>
  <si>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</si>
  <si>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</si>
  <si>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</si>
  <si>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</si>
  <si>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</si>
  <si>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</si>
  <si>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</si>
  <si>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</si>
  <si>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</si>
  <si>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</si>
  <si>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</si>
  <si>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</si>
  <si>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</si>
  <si>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</si>
  <si>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</si>
  <si>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</si>
  <si>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</si>
  <si>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</si>
  <si>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</si>
  <si>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</si>
  <si>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</si>
  <si>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</si>
  <si>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</si>
  <si>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</si>
  <si>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</si>
  <si>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</si>
  <si>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</si>
  <si>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</si>
  <si>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</si>
  <si>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</si>
  <si>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</si>
  <si>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</si>
  <si>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</si>
  <si>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</si>
  <si>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</si>
  <si>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</si>
  <si>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</si>
  <si>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</si>
  <si>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</si>
  <si>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</si>
  <si>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</si>
  <si>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</si>
  <si>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</si>
  <si>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</si>
  <si>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</si>
  <si>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</si>
  <si>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</si>
  <si>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</si>
  <si>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</si>
  <si>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</si>
  <si>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</si>
  <si>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</si>
  <si>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</si>
  <si>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</si>
  <si>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</si>
  <si>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</si>
  <si>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</si>
  <si>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</si>
  <si>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</si>
  <si>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</si>
  <si>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</si>
  <si>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</si>
  <si>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</si>
  <si>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</si>
  <si>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</si>
  <si>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</si>
  <si>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</si>
  <si>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</si>
  <si>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</si>
  <si>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</si>
  <si>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</si>
  <si>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</si>
  <si>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</si>
  <si>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</si>
  <si>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</si>
  <si>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</si>
  <si>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</si>
  <si>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</si>
  <si>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</si>
  <si>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</si>
  <si>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</si>
  <si>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</si>
  <si>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</si>
  <si>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</si>
  <si>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</si>
  <si>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</si>
  <si>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</si>
  <si>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</si>
  <si>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</si>
  <si>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</si>
  <si>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</si>
  <si>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</si>
  <si>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</si>
  <si>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</si>
  <si>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</si>
  <si>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</si>
  <si>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</si>
  <si>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</si>
  <si>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</si>
  <si>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</si>
  <si>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</si>
  <si>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</si>
  <si>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</si>
  <si>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</si>
  <si>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</si>
  <si>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</si>
  <si>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</si>
  <si>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</si>
  <si>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</si>
  <si>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</si>
  <si>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</si>
  <si>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</si>
  <si>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</si>
  <si>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</si>
  <si>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</si>
  <si>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</si>
  <si>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</si>
  <si>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</si>
  <si>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</si>
  <si>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</si>
  <si>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</si>
  <si>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</si>
  <si>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</si>
  <si>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</si>
  <si>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</si>
  <si>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</si>
  <si>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</si>
  <si>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</si>
  <si>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</si>
  <si>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</si>
  <si>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</si>
  <si>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</si>
  <si>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</si>
  <si>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</si>
  <si>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</si>
  <si>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</si>
  <si>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</si>
  <si>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</si>
  <si>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</si>
  <si>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</si>
  <si>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</si>
  <si>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</si>
  <si>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</si>
  <si>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</si>
  <si>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</si>
  <si>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</si>
  <si>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</si>
  <si>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</si>
  <si>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</si>
  <si>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</si>
  <si>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</si>
  <si>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</si>
  <si>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</si>
  <si>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</si>
  <si>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</si>
  <si>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</si>
  <si>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</si>
  <si>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</si>
  <si>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</si>
  <si>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</si>
  <si>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</si>
  <si>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</si>
  <si>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</si>
  <si>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</si>
  <si>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</si>
  <si>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</si>
  <si>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</si>
  <si>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</si>
  <si>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</si>
  <si>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</si>
  <si>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</si>
  <si>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</si>
  <si>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</si>
  <si>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</si>
  <si>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</si>
  <si>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</si>
  <si>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</si>
  <si>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</si>
  <si>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</si>
  <si>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</si>
  <si>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</si>
  <si>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</si>
  <si>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</si>
  <si>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</si>
  <si>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</si>
  <si>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</si>
  <si>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</si>
  <si>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</si>
  <si>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</si>
  <si>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</si>
  <si>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</si>
  <si>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</si>
  <si>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</si>
  <si>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</si>
  <si>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</si>
  <si>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</si>
  <si>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</si>
  <si>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</si>
  <si>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</si>
  <si>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</si>
  <si>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</si>
  <si>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</si>
  <si>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</si>
  <si>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</si>
  <si>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</si>
  <si>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</si>
  <si>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</si>
  <si>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</si>
  <si>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</si>
  <si>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</si>
  <si>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</si>
  <si>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</si>
  <si>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</si>
  <si>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</si>
  <si>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</si>
  <si>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</si>
  <si>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</si>
  <si>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</si>
  <si>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</si>
  <si>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</si>
  <si>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</si>
  <si>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</si>
  <si>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</si>
  <si>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</si>
  <si>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</si>
  <si>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</si>
  <si>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</si>
  <si>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</si>
  <si>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</si>
  <si>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</si>
  <si>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</si>
  <si>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</si>
  <si>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</si>
  <si>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</si>
  <si>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</si>
  <si>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</si>
  <si>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</si>
  <si>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</si>
  <si>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</si>
  <si>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</si>
  <si>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</si>
  <si>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</si>
  <si>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</si>
  <si>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</si>
  <si>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</si>
  <si>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</si>
  <si>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</si>
  <si>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</si>
  <si>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</si>
  <si>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</si>
  <si>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</si>
  <si>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</si>
  <si>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</si>
  <si>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</si>
  <si>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</si>
  <si>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</si>
  <si>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</si>
  <si>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</si>
  <si>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</si>
  <si>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</si>
  <si>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</si>
  <si>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</si>
  <si>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</si>
  <si>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</si>
  <si>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</si>
  <si>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</si>
  <si>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</si>
  <si>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</si>
  <si>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</si>
  <si>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</si>
  <si>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</si>
  <si>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</si>
  <si>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</si>
  <si>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</si>
  <si>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</si>
  <si>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</si>
  <si>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</si>
  <si>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</si>
  <si>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</si>
  <si>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</si>
  <si>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</si>
  <si>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</si>
  <si>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</si>
  <si>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</si>
  <si>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</si>
  <si>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</si>
  <si>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</si>
  <si>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</si>
  <si>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</si>
  <si>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</si>
  <si>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</si>
  <si>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</si>
  <si>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</si>
  <si>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</si>
  <si>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</si>
  <si>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</si>
  <si>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</si>
  <si>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</si>
  <si>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</si>
  <si>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</si>
  <si>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</si>
  <si>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</si>
  <si>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</si>
  <si>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</si>
  <si>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</si>
  <si>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</si>
  <si>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</si>
  <si>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</si>
  <si>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</si>
  <si>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</si>
  <si>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</si>
  <si>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</si>
  <si>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</si>
  <si>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</si>
  <si>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</si>
  <si>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</si>
  <si>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</si>
  <si>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</si>
  <si>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</si>
  <si>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</si>
  <si>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</si>
  <si>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</si>
  <si>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</si>
  <si>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</si>
  <si>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</si>
  <si>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</si>
  <si>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</si>
  <si>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</si>
  <si>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</si>
  <si>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</si>
  <si>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</si>
  <si>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</si>
  <si>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</si>
  <si>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</si>
  <si>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</si>
  <si>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</si>
  <si>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</si>
  <si>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</si>
  <si>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</si>
  <si>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</si>
  <si>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</si>
  <si>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</si>
  <si>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</si>
  <si>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</si>
  <si>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</si>
  <si>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</si>
  <si>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</si>
  <si>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</si>
  <si>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</si>
  <si>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</si>
  <si>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</si>
  <si>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</si>
  <si>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</si>
  <si>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</si>
  <si>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</si>
  <si>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</si>
  <si>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</si>
  <si>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</si>
  <si>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</si>
  <si>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</si>
  <si>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</si>
  <si>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</si>
  <si>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</si>
  <si>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</si>
  <si>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</si>
  <si>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</si>
  <si>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</si>
  <si>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</si>
  <si>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</si>
  <si>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</si>
  <si>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</si>
  <si>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</si>
  <si>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</si>
  <si>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</si>
  <si>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</si>
  <si>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</si>
  <si>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</si>
  <si>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</si>
  <si>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</si>
  <si>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</si>
  <si>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</si>
  <si>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</si>
  <si>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</si>
  <si>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</si>
  <si>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</si>
  <si>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</si>
  <si>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</si>
  <si>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</si>
  <si>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</si>
  <si>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</si>
  <si>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</si>
  <si>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</si>
  <si>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</si>
  <si>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</si>
  <si>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</si>
  <si>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</si>
  <si>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</si>
  <si>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</si>
  <si>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</si>
  <si>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</si>
  <si>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</si>
  <si>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</si>
  <si>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</si>
  <si>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</si>
  <si>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</si>
  <si>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</si>
  <si>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</si>
  <si>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</si>
  <si>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</si>
  <si>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</si>
  <si>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</si>
  <si>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</si>
  <si>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</si>
  <si>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</si>
  <si>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</si>
  <si>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</si>
  <si>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</si>
  <si>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</si>
  <si>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</si>
  <si>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</si>
  <si>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</si>
  <si>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</si>
  <si>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</si>
  <si>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</si>
  <si>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</si>
  <si>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</si>
  <si>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</si>
  <si>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</si>
  <si>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</si>
  <si>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</si>
  <si>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</si>
  <si>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</si>
  <si>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</si>
  <si>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</si>
  <si>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</si>
  <si>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</si>
  <si>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</si>
  <si>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</si>
  <si>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</si>
  <si>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</si>
  <si>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</si>
  <si>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</si>
  <si>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</si>
  <si>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</si>
  <si>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</si>
  <si>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</si>
  <si>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</si>
  <si>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</si>
  <si>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</si>
  <si>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</si>
  <si>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</si>
  <si>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</si>
  <si>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</si>
  <si>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</si>
  <si>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</si>
  <si>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</si>
  <si>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</si>
  <si>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</si>
  <si>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</si>
  <si>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</si>
  <si>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</si>
  <si>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</si>
  <si>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</si>
  <si>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</si>
  <si>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</si>
  <si>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</si>
  <si>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</si>
  <si>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</si>
  <si>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</si>
  <si>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</si>
  <si>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</si>
  <si>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</si>
  <si>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</si>
  <si>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</si>
  <si>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</si>
  <si>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</si>
  <si>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</si>
  <si>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</si>
  <si>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</si>
  <si>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</si>
  <si>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</si>
  <si>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</si>
  <si>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</si>
  <si>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</si>
  <si>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</si>
  <si>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</si>
  <si>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</si>
  <si>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</si>
  <si>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</si>
  <si>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</si>
  <si>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</si>
  <si>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</si>
  <si>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</si>
  <si>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</si>
  <si>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</si>
  <si>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</si>
  <si>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</si>
  <si>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</si>
  <si>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</si>
  <si>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</si>
  <si>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</si>
  <si>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</si>
  <si>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</si>
  <si>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</si>
  <si>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</si>
  <si>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</si>
  <si>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</si>
  <si>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</si>
  <si>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</si>
  <si>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</si>
  <si>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</si>
  <si>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</si>
  <si>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</si>
  <si>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</si>
  <si>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</si>
  <si>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</si>
  <si>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</si>
  <si>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</si>
  <si>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</si>
  <si>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</si>
  <si>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</si>
  <si>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</si>
  <si>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</si>
  <si>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</si>
  <si>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</si>
  <si>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</si>
  <si>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</si>
  <si>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</si>
  <si>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</si>
  <si>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</si>
  <si>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</si>
  <si>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</si>
  <si>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</si>
  <si>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</si>
  <si>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</si>
  <si>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</si>
  <si>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</si>
  <si>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</si>
  <si>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</si>
  <si>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</si>
  <si>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</si>
  <si>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</si>
  <si>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</si>
  <si>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</si>
  <si>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</si>
  <si>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</si>
  <si>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</si>
  <si>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</si>
  <si>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</si>
  <si>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</si>
  <si>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</si>
  <si>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</si>
  <si>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</si>
  <si>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</si>
  <si>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</si>
  <si>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</si>
  <si>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</si>
  <si>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</si>
  <si>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</si>
  <si>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</si>
  <si>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</si>
  <si>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</si>
  <si>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</si>
  <si>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</si>
  <si>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</si>
  <si>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</si>
  <si>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</si>
  <si>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</si>
  <si>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</si>
  <si>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</si>
  <si>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</si>
  <si>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</si>
  <si>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</si>
  <si>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</si>
  <si>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</si>
  <si>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</si>
  <si>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</si>
  <si>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</si>
  <si>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</si>
  <si>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</si>
  <si>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</si>
  <si>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</si>
  <si>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</si>
  <si>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</si>
  <si>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</si>
  <si>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</si>
  <si>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</si>
  <si>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</si>
  <si>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</si>
  <si>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</si>
  <si>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</si>
  <si>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</si>
  <si>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</si>
  <si>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</si>
  <si>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</si>
  <si>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</si>
  <si>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</si>
  <si>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</si>
  <si>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</si>
  <si>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</si>
  <si>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</si>
  <si>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</si>
  <si>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</si>
  <si>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</si>
  <si>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</si>
  <si>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</si>
  <si>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</si>
  <si>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</si>
  <si>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</si>
  <si>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</si>
  <si>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</si>
  <si>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</si>
  <si>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</si>
  <si>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</si>
  <si>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</si>
  <si>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</si>
  <si>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</si>
  <si>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</si>
  <si>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</si>
  <si>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</si>
  <si>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</si>
  <si>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</si>
  <si>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</si>
  <si>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</si>
  <si>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</si>
  <si>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</si>
  <si>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</si>
  <si>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</si>
  <si>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</si>
  <si>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</si>
  <si>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</si>
  <si>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</si>
  <si>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</si>
  <si>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</si>
  <si>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</si>
  <si>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</si>
  <si>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</si>
  <si>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</si>
  <si>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</si>
  <si>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</si>
  <si>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</si>
  <si>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</si>
  <si>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</si>
  <si>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</si>
  <si>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</si>
  <si>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</si>
  <si>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</si>
  <si>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</si>
  <si>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</si>
  <si>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</si>
  <si>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</si>
  <si>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</si>
  <si>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</si>
  <si>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</si>
  <si>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</si>
  <si>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</si>
  <si>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</si>
  <si>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</si>
  <si>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</si>
  <si>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</si>
  <si>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</si>
  <si>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</si>
  <si>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</si>
  <si>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</si>
  <si>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</si>
  <si>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</si>
  <si>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</si>
  <si>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</si>
  <si>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</si>
  <si>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</si>
  <si>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</si>
  <si>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</si>
  <si>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</si>
  <si>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</si>
  <si>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</si>
  <si>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</si>
  <si>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</si>
  <si>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</si>
  <si>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</si>
  <si>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</si>
  <si>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</si>
  <si>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</si>
  <si>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</si>
  <si>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</si>
  <si>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</si>
  <si>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</si>
  <si>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</si>
  <si>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</si>
  <si>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</si>
  <si>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</si>
  <si>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</si>
  <si>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</si>
  <si>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</si>
  <si>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</si>
  <si>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</si>
  <si>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</si>
  <si>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</si>
  <si>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</si>
  <si>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</si>
  <si>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</si>
  <si>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</si>
  <si>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</si>
  <si>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</si>
  <si>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</si>
  <si>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</si>
  <si>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</si>
  <si>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</si>
  <si>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</si>
  <si>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</si>
  <si>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</si>
  <si>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</si>
  <si>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</si>
  <si>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</si>
  <si>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</si>
  <si>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</si>
  <si>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</si>
  <si>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</si>
  <si>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</si>
  <si>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</si>
  <si>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</si>
  <si>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</si>
  <si>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</si>
  <si>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</si>
  <si>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</si>
  <si>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</si>
  <si>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</si>
  <si>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</si>
  <si>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</si>
  <si>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</si>
  <si>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</si>
  <si>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</si>
  <si>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</si>
  <si>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</si>
  <si>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</si>
  <si>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</si>
  <si>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</si>
  <si>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</si>
  <si>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</si>
  <si>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</si>
  <si>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</si>
  <si>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</si>
  <si>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</si>
  <si>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</si>
  <si>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</si>
  <si>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</si>
  <si>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</si>
  <si>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</si>
  <si>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</si>
  <si>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</si>
  <si>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</si>
  <si>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</si>
  <si>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</si>
  <si>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</si>
  <si>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</si>
  <si>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</si>
  <si>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</si>
  <si>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</si>
  <si>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</si>
  <si>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</si>
  <si>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</si>
  <si>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</si>
  <si>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</si>
  <si>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</si>
  <si>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</si>
  <si>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</si>
  <si>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</si>
  <si>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</si>
  <si>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</si>
  <si>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</si>
  <si>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</si>
  <si>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</si>
  <si>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</si>
  <si>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</si>
  <si>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</si>
  <si>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</si>
  <si>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</si>
  <si>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</si>
  <si>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</si>
  <si>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</si>
  <si>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</si>
  <si>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</si>
  <si>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</si>
  <si>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</si>
  <si>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</si>
  <si>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</si>
  <si>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</si>
  <si>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</si>
  <si>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</si>
  <si>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</si>
  <si>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</si>
  <si>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</si>
  <si>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</si>
  <si>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</si>
  <si>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</si>
  <si>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</si>
  <si>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</si>
  <si>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</si>
  <si>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</si>
  <si>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</si>
  <si>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</si>
  <si>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</si>
  <si>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</si>
  <si>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</si>
  <si>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</si>
  <si>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</si>
  <si>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</si>
  <si>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</si>
  <si>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</si>
  <si>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</si>
  <si>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</si>
  <si>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</si>
  <si>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</si>
  <si>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</si>
  <si>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</si>
  <si>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</si>
  <si>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</si>
  <si>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</si>
  <si>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</si>
  <si>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</si>
  <si>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</si>
  <si>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</si>
  <si>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</si>
  <si>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</si>
  <si>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</si>
  <si>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</si>
  <si>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</si>
  <si>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</si>
  <si>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</si>
  <si>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</si>
  <si>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</si>
  <si>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</si>
  <si>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</si>
  <si>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</si>
  <si>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</si>
  <si>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</si>
  <si>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</si>
  <si>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</si>
  <si>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</si>
  <si>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</si>
  <si>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</si>
  <si>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</si>
  <si>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</si>
  <si>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</si>
  <si>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</si>
  <si>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</si>
  <si>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</si>
  <si>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</si>
  <si>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</si>
  <si>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</si>
  <si>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</si>
  <si>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</si>
  <si>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</si>
  <si>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</si>
  <si>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</si>
  <si>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</si>
  <si>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</si>
  <si>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</si>
  <si>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</si>
  <si>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</si>
  <si>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</si>
  <si>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</si>
  <si>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</si>
  <si>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</si>
  <si>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</si>
  <si>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</si>
  <si>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</si>
  <si>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</si>
  <si>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</si>
  <si>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</si>
  <si>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</si>
  <si>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</si>
  <si>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</si>
  <si>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</si>
  <si>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</si>
  <si>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</si>
  <si>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</si>
  <si>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</si>
  <si>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</si>
  <si>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</si>
  <si>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</si>
  <si>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</si>
  <si>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</si>
  <si>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</si>
  <si>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</si>
  <si>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</si>
  <si>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</si>
  <si>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</si>
  <si>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</si>
  <si>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</si>
  <si>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</si>
  <si>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</si>
  <si>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</si>
  <si>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</si>
  <si>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</si>
  <si>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</si>
  <si>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</si>
  <si>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</si>
  <si>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</si>
  <si>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</si>
  <si>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</si>
  <si>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</si>
  <si>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</si>
  <si>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</si>
  <si>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</si>
  <si>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</si>
  <si>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</si>
  <si>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</si>
  <si>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</si>
  <si>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</si>
  <si>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</si>
  <si>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</si>
  <si>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</si>
  <si>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</si>
  <si>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</si>
  <si>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</si>
  <si>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</si>
  <si>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</si>
  <si>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</si>
  <si>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</si>
  <si>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</si>
  <si>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</si>
  <si>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</si>
  <si>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</si>
  <si>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</si>
  <si>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</si>
  <si>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</si>
  <si>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</si>
  <si>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</si>
  <si>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</si>
  <si>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</si>
  <si>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</si>
  <si>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</si>
  <si>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</si>
  <si>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</si>
  <si>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</si>
  <si>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</si>
  <si>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</si>
  <si>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</si>
  <si>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</si>
  <si>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</si>
  <si>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</si>
  <si>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</si>
  <si>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</si>
  <si>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</si>
  <si>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</si>
  <si>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</si>
  <si>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</si>
  <si>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</si>
  <si>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</si>
  <si>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</si>
  <si>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</si>
  <si>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</si>
  <si>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</si>
  <si>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</si>
  <si>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</si>
  <si>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</si>
  <si>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</si>
  <si>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</si>
  <si>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</si>
  <si>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</si>
  <si>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</si>
  <si>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</si>
  <si>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</si>
  <si>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</si>
  <si>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</si>
  <si>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</si>
  <si>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</si>
  <si>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</si>
  <si>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</si>
  <si>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</si>
  <si>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</si>
  <si>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</si>
  <si>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</si>
  <si>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</si>
  <si>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</si>
  <si>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</si>
  <si>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</si>
  <si>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</si>
  <si>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</si>
  <si>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</si>
  <si>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</si>
  <si>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</si>
  <si>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</si>
  <si>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</si>
  <si>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</si>
  <si>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</si>
  <si>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</si>
  <si>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</si>
  <si>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</si>
  <si>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</si>
  <si>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</si>
  <si>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</si>
  <si>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</si>
  <si>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</si>
  <si>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</si>
  <si>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</si>
  <si>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</si>
  <si>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</si>
  <si>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</si>
  <si>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</si>
  <si>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</si>
  <si>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</si>
  <si>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</si>
  <si>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</si>
  <si>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</si>
  <si>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</si>
  <si>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</si>
  <si>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</si>
  <si>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</si>
  <si>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</si>
  <si>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</si>
  <si>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</si>
  <si>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</si>
  <si>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</si>
  <si>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</si>
  <si>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</si>
  <si>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</si>
  <si>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</si>
  <si>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</si>
  <si>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</si>
  <si>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</si>
  <si>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</si>
  <si>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</si>
  <si>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</si>
  <si>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</si>
  <si>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</si>
  <si>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</si>
  <si>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</si>
  <si>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</si>
  <si>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</si>
  <si>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</si>
  <si>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</si>
  <si>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</si>
  <si>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</si>
  <si>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</si>
  <si>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</si>
  <si>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</si>
  <si>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</si>
  <si>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</si>
  <si>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</si>
  <si>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</si>
  <si>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</si>
  <si>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</si>
  <si>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</si>
  <si>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</si>
  <si>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</si>
  <si>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</si>
  <si>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</si>
  <si>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</si>
  <si>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</si>
  <si>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</si>
  <si>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</si>
  <si>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</si>
  <si>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</si>
  <si>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</si>
  <si>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</si>
  <si>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</si>
  <si>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</si>
  <si>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</si>
  <si>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</si>
  <si>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</si>
  <si>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</si>
  <si>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</si>
  <si>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</si>
  <si>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</si>
  <si>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</si>
  <si>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</si>
  <si>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</si>
  <si>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</si>
  <si>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</si>
  <si>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</si>
  <si>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</si>
  <si>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</si>
  <si>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</si>
  <si>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</si>
  <si>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</si>
  <si>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</si>
  <si>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</si>
  <si>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</si>
  <si>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</si>
  <si>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</si>
  <si>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</si>
  <si>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</si>
  <si>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</si>
  <si>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</si>
  <si>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</si>
  <si>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</si>
  <si>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</si>
  <si>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</si>
  <si>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</si>
  <si>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</si>
  <si>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</si>
  <si>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</si>
  <si>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</si>
  <si>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</si>
  <si>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</si>
  <si>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</si>
  <si>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</si>
  <si>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</si>
  <si>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</si>
  <si>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</si>
  <si>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</si>
  <si>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</si>
  <si>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</si>
  <si>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</si>
  <si>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</si>
  <si>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</si>
  <si>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</si>
  <si>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</si>
  <si>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</si>
  <si>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</si>
  <si>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</si>
  <si>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</si>
  <si>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</si>
  <si>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</si>
  <si>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</si>
  <si>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</si>
  <si>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</si>
  <si>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</si>
  <si>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</si>
  <si>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</si>
  <si>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</si>
  <si>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</si>
  <si>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</si>
  <si>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</si>
  <si>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</si>
  <si>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</si>
  <si>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</si>
  <si>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</si>
  <si>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</si>
  <si>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</si>
  <si>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</si>
  <si>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</si>
  <si>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</si>
  <si>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</si>
  <si>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</si>
  <si>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</si>
  <si>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</si>
  <si>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</si>
  <si>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</si>
  <si>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</si>
  <si>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</si>
  <si>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</si>
  <si>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</si>
  <si>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</si>
  <si>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</si>
  <si>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</si>
  <si>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</si>
  <si>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</si>
  <si>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</si>
  <si>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</si>
  <si>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</si>
  <si>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</si>
  <si>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</si>
  <si>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</si>
  <si>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</si>
  <si>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</si>
  <si>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</si>
  <si>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</si>
  <si>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</si>
  <si>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</si>
  <si>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</si>
  <si>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</si>
  <si>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</si>
  <si>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</si>
  <si>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</si>
  <si>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</si>
  <si>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</si>
  <si>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</si>
  <si>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</si>
  <si>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</si>
  <si>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</si>
  <si>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</si>
  <si>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</si>
  <si>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</si>
  <si>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</si>
  <si>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</si>
  <si>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</si>
  <si>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</si>
  <si>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</si>
  <si>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</si>
  <si>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</si>
  <si>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</si>
  <si>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</si>
  <si>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</si>
  <si>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</si>
  <si>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</si>
  <si>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</si>
  <si>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</si>
  <si>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</si>
  <si>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</si>
  <si>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</si>
  <si>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</si>
  <si>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</si>
  <si>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</si>
  <si>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</si>
  <si>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</si>
  <si>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</si>
  <si>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</si>
  <si>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</si>
  <si>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</si>
  <si>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</si>
  <si>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</si>
  <si>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</si>
  <si>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</si>
  <si>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</si>
  <si>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</si>
  <si>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</si>
  <si>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</si>
  <si>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</si>
  <si>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</si>
  <si>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</si>
  <si>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</si>
  <si>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</si>
  <si>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</si>
  <si>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</si>
  <si>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</si>
  <si>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</si>
  <si>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</si>
  <si>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</si>
  <si>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</si>
  <si>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</si>
  <si>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</si>
  <si>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</si>
  <si>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</si>
  <si>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</si>
  <si>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</si>
  <si>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</si>
  <si>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</si>
  <si>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</si>
  <si>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</si>
  <si>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</si>
  <si>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</si>
  <si>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</si>
  <si>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</si>
  <si>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</si>
  <si>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</si>
  <si>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</si>
  <si>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</si>
  <si>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</si>
  <si>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</si>
  <si>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</si>
  <si>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</si>
  <si>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</si>
  <si>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</si>
  <si>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</si>
  <si>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</si>
  <si>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</si>
  <si>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</si>
  <si>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</si>
  <si>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</si>
  <si>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</si>
  <si>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</si>
  <si>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</si>
  <si>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</si>
  <si>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</si>
  <si>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</si>
  <si>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</si>
  <si>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</si>
  <si>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</si>
  <si>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</si>
  <si>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</si>
  <si>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</si>
  <si>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</si>
  <si>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</si>
  <si>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</si>
  <si>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</si>
  <si>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</si>
  <si>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</si>
  <si>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</si>
  <si>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</si>
  <si>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</si>
  <si>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</si>
  <si>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</si>
  <si>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</si>
  <si>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</si>
  <si>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</si>
  <si>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</si>
  <si>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</si>
  <si>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</si>
  <si>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</si>
  <si>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</si>
  <si>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</si>
  <si>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</si>
  <si>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</si>
  <si>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</si>
  <si>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</si>
  <si>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</si>
  <si>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</si>
  <si>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</si>
  <si>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</si>
  <si>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</si>
  <si>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</si>
  <si>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</si>
  <si>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</si>
  <si>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</si>
  <si>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</si>
  <si>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</si>
  <si>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</si>
  <si>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</si>
  <si>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</si>
  <si>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</si>
  <si>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</si>
  <si>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</si>
  <si>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</si>
  <si>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</si>
  <si>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</si>
  <si>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</si>
  <si>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</si>
  <si>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</si>
  <si>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</si>
  <si>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</si>
  <si>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</si>
  <si>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</si>
  <si>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</si>
  <si>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</si>
  <si>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</si>
  <si>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</si>
  <si>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</si>
  <si>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</si>
  <si>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</si>
  <si>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</si>
  <si>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</si>
  <si>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</si>
  <si>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</si>
  <si>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</si>
  <si>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</si>
  <si>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</si>
  <si>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</si>
  <si>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</si>
  <si>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</si>
  <si>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</si>
  <si>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</si>
  <si>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</si>
  <si>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</si>
  <si>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</si>
  <si>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</si>
  <si>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</si>
  <si>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</si>
  <si>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</si>
  <si>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</si>
  <si>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</si>
  <si>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</si>
  <si>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</si>
  <si>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</si>
  <si>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</si>
  <si>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</si>
  <si>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</si>
  <si>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</si>
  <si>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</si>
  <si>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</si>
  <si>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</si>
  <si>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</si>
  <si>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</si>
  <si>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</si>
  <si>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</si>
  <si>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</si>
  <si>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</si>
  <si>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</si>
  <si>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</si>
  <si>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</si>
  <si>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</si>
  <si>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</si>
  <si>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</si>
  <si>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</si>
  <si>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</si>
  <si>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</si>
  <si>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</si>
  <si>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</si>
  <si>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</si>
  <si>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</si>
  <si>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</si>
  <si>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</si>
  <si>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</si>
  <si>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</si>
  <si>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</si>
  <si>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</si>
  <si>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</si>
  <si>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</si>
  <si>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</si>
  <si>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</si>
  <si>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</si>
  <si>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</si>
  <si>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</si>
  <si>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</si>
  <si>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</si>
  <si>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</si>
  <si>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</si>
  <si>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</si>
  <si>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</si>
  <si>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</si>
  <si>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</si>
  <si>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</si>
  <si>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</si>
  <si>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</si>
  <si>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</si>
  <si>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</si>
  <si>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</si>
  <si>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</si>
  <si>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</si>
  <si>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</si>
  <si>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</si>
  <si>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</si>
  <si>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</si>
  <si>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</si>
  <si>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</si>
  <si>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</si>
  <si>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</si>
  <si>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</si>
  <si>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</si>
  <si>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</si>
  <si>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</si>
  <si>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</si>
  <si>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</si>
  <si>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</si>
  <si>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</si>
  <si>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</si>
  <si>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</si>
  <si>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</si>
  <si>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</si>
  <si>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</si>
  <si>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</si>
  <si>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</si>
  <si>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</si>
  <si>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</si>
  <si>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</si>
  <si>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</si>
  <si>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</si>
  <si>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</si>
  <si>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</si>
  <si>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</si>
  <si>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</si>
  <si>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</si>
  <si>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</si>
  <si>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</si>
  <si>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</si>
  <si>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</si>
  <si>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</si>
  <si>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</si>
  <si>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</si>
  <si>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</si>
  <si>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</si>
  <si>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</si>
  <si>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</si>
  <si>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</si>
  <si>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</si>
  <si>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</si>
  <si>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</si>
  <si>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</si>
  <si>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</si>
  <si>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</si>
  <si>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</si>
  <si>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</si>
  <si>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</si>
  <si>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</si>
  <si>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</si>
  <si>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</si>
  <si>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</si>
  <si>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</si>
  <si>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</si>
  <si>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</si>
  <si>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</si>
  <si>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</si>
  <si>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</si>
  <si>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</si>
  <si>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</si>
  <si>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</si>
  <si>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</si>
  <si>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</si>
  <si>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</si>
  <si>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</si>
  <si>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</si>
  <si>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</si>
  <si>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</si>
  <si>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</si>
  <si>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</si>
  <si>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</si>
  <si>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</si>
  <si>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</si>
  <si>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</si>
  <si>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</si>
  <si>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</si>
  <si>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</si>
  <si>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</si>
  <si>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</si>
  <si>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</si>
  <si>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</si>
  <si>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</si>
  <si>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</si>
  <si>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</si>
  <si>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</si>
  <si>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</si>
  <si>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</si>
  <si>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</si>
  <si>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</si>
  <si>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</si>
  <si>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</si>
  <si>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</si>
  <si>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</si>
  <si>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</si>
  <si>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</si>
  <si>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</si>
  <si>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</si>
  <si>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</si>
  <si>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</si>
  <si>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</si>
  <si>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</si>
  <si>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</si>
  <si>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</si>
  <si>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</si>
  <si>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</si>
  <si>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</si>
  <si>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</si>
  <si>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</si>
  <si>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</si>
  <si>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</si>
  <si>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</si>
  <si>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</si>
  <si>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</si>
  <si>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</si>
  <si>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</si>
  <si>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</si>
  <si>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</si>
  <si>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</si>
  <si>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</si>
  <si>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</si>
  <si>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</si>
  <si>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</si>
  <si>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</si>
  <si>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</si>
  <si>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</si>
  <si>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</si>
  <si>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</si>
  <si>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</si>
  <si>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</si>
  <si>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</si>
  <si>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</si>
  <si>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</si>
  <si>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</si>
  <si>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</si>
  <si>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</si>
  <si>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</si>
  <si>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</si>
  <si>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</si>
  <si>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</si>
  <si>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</si>
  <si>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</si>
  <si>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</si>
  <si>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</si>
  <si>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</si>
  <si>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</si>
  <si>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</si>
  <si>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</si>
  <si>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</si>
  <si>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</si>
  <si>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</si>
  <si>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</si>
  <si>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</si>
  <si>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</si>
  <si>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</si>
  <si>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</si>
  <si>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</si>
  <si>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</si>
  <si>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</si>
  <si>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</si>
  <si>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</si>
  <si>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</si>
  <si>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</si>
  <si>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</si>
  <si>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</si>
  <si>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</si>
  <si>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</si>
  <si>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</si>
  <si>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</si>
  <si>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</si>
  <si>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</si>
  <si>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</si>
  <si>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</si>
  <si>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</si>
  <si>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</si>
  <si>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</si>
  <si>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</si>
  <si>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</si>
  <si>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</si>
  <si>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</si>
  <si>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</si>
  <si>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</si>
  <si>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</si>
  <si>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</si>
  <si>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</si>
  <si>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</si>
  <si>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</si>
  <si>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</si>
  <si>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</si>
  <si>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</si>
  <si>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</si>
  <si>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</si>
  <si>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</si>
  <si>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</si>
  <si>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</si>
  <si>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</si>
  <si>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</si>
  <si>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</si>
  <si>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</si>
  <si>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</si>
  <si>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</si>
  <si>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</si>
  <si>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</si>
  <si>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</si>
  <si>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</si>
  <si>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</si>
  <si>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</si>
  <si>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</si>
  <si>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</si>
  <si>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</si>
  <si>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</si>
  <si>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</si>
  <si>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</si>
  <si>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</si>
  <si>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</si>
  <si>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</si>
  <si>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</si>
  <si>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</si>
  <si>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</si>
  <si>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</si>
  <si>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</si>
  <si>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</si>
  <si>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</si>
  <si>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</si>
  <si>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</si>
  <si>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</si>
  <si>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</si>
  <si>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</si>
  <si>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</si>
  <si>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</si>
  <si>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</si>
  <si>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</si>
  <si>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</si>
  <si>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</si>
  <si>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</si>
  <si>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</si>
  <si>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</si>
  <si>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</si>
  <si>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</si>
  <si>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</si>
  <si>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</si>
  <si>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</si>
  <si>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</si>
  <si>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</si>
  <si>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</si>
  <si>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</si>
  <si>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</si>
  <si>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</si>
  <si>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</si>
  <si>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</si>
  <si>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</si>
  <si>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</si>
  <si>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</si>
  <si>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</si>
  <si>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</si>
  <si>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</si>
  <si>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</si>
  <si>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</si>
  <si>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</si>
  <si>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</si>
  <si>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</si>
  <si>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</si>
  <si>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</si>
  <si>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</si>
  <si>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</si>
  <si>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</si>
  <si>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</si>
  <si>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</si>
  <si>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</si>
  <si>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</si>
  <si>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</si>
  <si>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</si>
  <si>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</si>
  <si>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</si>
  <si>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</si>
  <si>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</si>
  <si>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</si>
  <si>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</si>
  <si>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</si>
  <si>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</si>
  <si>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</si>
  <si>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</si>
  <si>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</si>
  <si>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</si>
  <si>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</si>
  <si>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</si>
  <si>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</si>
  <si>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</si>
  <si>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</si>
  <si>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</si>
  <si>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</si>
  <si>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</si>
  <si>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</si>
  <si>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</si>
  <si>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</si>
  <si>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</si>
  <si>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</si>
  <si>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</si>
  <si>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</si>
  <si>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</si>
  <si>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</si>
  <si>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</si>
  <si>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</si>
  <si>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</si>
  <si>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</si>
  <si>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</si>
  <si>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</si>
  <si>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</si>
  <si>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</si>
  <si>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</si>
  <si>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</si>
  <si>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</si>
  <si>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</si>
  <si>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</si>
  <si>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</si>
  <si>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</si>
  <si>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</si>
  <si>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</si>
  <si>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</si>
  <si>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</si>
  <si>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</si>
  <si>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</si>
  <si>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</si>
  <si>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</si>
  <si>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</si>
  <si>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</si>
  <si>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</si>
  <si>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</si>
  <si>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</si>
  <si>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</si>
  <si>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</si>
  <si>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</si>
  <si>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</si>
  <si>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</si>
  <si>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</si>
  <si>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</si>
  <si>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</si>
  <si>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</si>
  <si>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</si>
  <si>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</si>
  <si>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</si>
  <si>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</si>
  <si>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</si>
  <si>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</si>
  <si>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</si>
  <si>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</si>
  <si>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</si>
  <si>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</si>
  <si>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</si>
  <si>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</si>
  <si>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</si>
  <si>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</si>
  <si>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</si>
  <si>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</si>
  <si>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</si>
  <si>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</si>
  <si>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</si>
  <si>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</si>
  <si>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</si>
  <si>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</si>
  <si>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</si>
  <si>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</si>
  <si>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</si>
  <si>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</si>
  <si>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</si>
  <si>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</si>
  <si>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</si>
  <si>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</si>
  <si>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</si>
  <si>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</si>
  <si>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</si>
  <si>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</si>
  <si>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</si>
  <si>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</si>
  <si>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</si>
  <si>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</si>
  <si>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</si>
  <si>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</si>
  <si>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</si>
  <si>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</si>
  <si>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</si>
  <si>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</si>
  <si>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</si>
  <si>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</si>
  <si>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</si>
  <si>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</si>
  <si>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</si>
  <si>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</si>
  <si>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</si>
  <si>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</si>
  <si>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</si>
  <si>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</si>
  <si>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</si>
  <si>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</si>
  <si>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</si>
  <si>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</si>
  <si>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</si>
  <si>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</si>
  <si>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</si>
  <si>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</si>
  <si>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</si>
  <si>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</si>
  <si>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</si>
  <si>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</si>
  <si>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</si>
  <si>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</si>
  <si>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</si>
  <si>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</si>
  <si>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</si>
  <si>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</si>
  <si>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</si>
  <si>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</si>
  <si>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</si>
  <si>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</si>
  <si>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</si>
  <si>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</si>
  <si>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</si>
  <si>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</si>
  <si>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</si>
  <si>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</si>
  <si>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</si>
  <si>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</si>
  <si>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</si>
  <si>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</si>
  <si>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</si>
  <si>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</si>
  <si>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</si>
  <si>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</si>
  <si>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</si>
  <si>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</si>
  <si>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</si>
  <si>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</si>
  <si>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</si>
  <si>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</si>
  <si>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</si>
  <si>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</si>
  <si>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</si>
  <si>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</si>
  <si>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</si>
  <si>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</si>
  <si>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</si>
  <si>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</si>
  <si>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</si>
  <si>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</si>
  <si>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</si>
  <si>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</si>
  <si>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</si>
  <si>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</si>
  <si>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</si>
  <si>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</si>
  <si>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</si>
  <si>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</si>
  <si>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</si>
  <si>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</si>
  <si>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</si>
  <si>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</si>
  <si>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</si>
  <si>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</si>
  <si>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</si>
  <si>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</si>
  <si>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</si>
  <si>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</si>
  <si>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</si>
  <si>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</si>
  <si>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</si>
  <si>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</si>
  <si>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</si>
  <si>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</si>
  <si>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</si>
  <si>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</si>
  <si>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</si>
  <si>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</si>
  <si>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</si>
  <si>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</si>
  <si>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</si>
  <si>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</si>
  <si>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</si>
  <si>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</si>
  <si>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</si>
  <si>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</si>
  <si>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</si>
  <si>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</si>
  <si>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</si>
  <si>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</si>
  <si>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</si>
  <si>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</si>
  <si>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</si>
  <si>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</si>
  <si>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</si>
  <si>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</si>
  <si>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</si>
  <si>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</si>
  <si>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</si>
  <si>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</si>
  <si>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</si>
  <si>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</si>
  <si>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</si>
  <si>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</si>
  <si>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</si>
  <si>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</si>
  <si>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</si>
  <si>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</si>
  <si>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</si>
  <si>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</si>
  <si>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</si>
  <si>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</si>
  <si>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</si>
  <si>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</si>
  <si>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</si>
  <si>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</si>
  <si>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</si>
  <si>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</si>
  <si>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</si>
  <si>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</si>
  <si>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</si>
  <si>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</si>
  <si>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</si>
  <si>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</si>
  <si>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</si>
  <si>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</si>
  <si>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</si>
  <si>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</si>
  <si>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</si>
  <si>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</si>
  <si>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</si>
  <si>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</si>
  <si>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</si>
  <si>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</si>
  <si>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</si>
  <si>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</si>
  <si>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</si>
  <si>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</si>
  <si>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</si>
  <si>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</si>
  <si>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</si>
  <si>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</si>
  <si>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</si>
  <si>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</si>
  <si>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</si>
  <si>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</si>
  <si>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</si>
  <si>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</si>
  <si>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</si>
  <si>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</si>
  <si>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</si>
  <si>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</si>
  <si>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</si>
  <si>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</si>
  <si>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</si>
  <si>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</si>
  <si>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</si>
  <si>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</si>
  <si>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</si>
  <si>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</si>
  <si>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</si>
  <si>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</si>
  <si>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</si>
  <si>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</si>
  <si>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</si>
  <si>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</si>
  <si>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</si>
  <si>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</si>
  <si>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</si>
  <si>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</si>
  <si>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</si>
  <si>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</si>
  <si>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</si>
  <si>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</si>
  <si>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</si>
  <si>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</si>
  <si>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</si>
  <si>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</si>
  <si>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</si>
  <si>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</si>
  <si>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</si>
  <si>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</si>
  <si>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</si>
  <si>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</si>
  <si>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</si>
  <si>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</si>
  <si>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</si>
  <si>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</si>
  <si>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</si>
  <si>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</si>
  <si>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</si>
  <si>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</si>
  <si>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</si>
  <si>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</si>
  <si>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</si>
  <si>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</si>
  <si>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</si>
  <si>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</si>
  <si>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</si>
  <si>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</si>
  <si>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</si>
  <si>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</si>
  <si>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</si>
  <si>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</si>
  <si>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</si>
  <si>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</si>
  <si>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</si>
  <si>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</si>
  <si>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</si>
  <si>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</si>
  <si>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</si>
  <si>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</si>
  <si>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</si>
  <si>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</si>
  <si>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</si>
  <si>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</si>
  <si>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</si>
  <si>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</si>
  <si>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</si>
  <si>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</si>
  <si>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</si>
  <si>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</si>
  <si>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</si>
  <si>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</si>
  <si>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</si>
  <si>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</si>
  <si>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</si>
  <si>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</si>
  <si>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</si>
  <si>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</si>
  <si>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</si>
  <si>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</si>
  <si>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</si>
  <si>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</si>
  <si>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</si>
  <si>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</si>
  <si>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</si>
  <si>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</si>
  <si>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</si>
  <si>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</si>
  <si>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</si>
  <si>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</si>
  <si>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</si>
  <si>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</si>
  <si>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</si>
  <si>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</si>
  <si>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</si>
  <si>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</si>
  <si>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</si>
  <si>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</si>
  <si>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</si>
  <si>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</si>
  <si>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</si>
  <si>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</si>
  <si>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</si>
  <si>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</si>
  <si>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</si>
  <si>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</si>
  <si>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</si>
  <si>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</si>
  <si>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</si>
  <si>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</si>
  <si>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</si>
  <si>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</si>
  <si>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</si>
  <si>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</si>
  <si>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</si>
  <si>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</si>
  <si>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</si>
  <si>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</si>
  <si>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</si>
  <si>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</si>
  <si>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</si>
  <si>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</si>
  <si>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</si>
  <si>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</si>
  <si>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</si>
  <si>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</si>
  <si>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</si>
  <si>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</si>
  <si>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</si>
  <si>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</si>
  <si>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</si>
  <si>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</si>
  <si>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</si>
  <si>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</si>
  <si>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</si>
  <si>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</si>
  <si>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</si>
  <si>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</si>
  <si>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</si>
  <si>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</si>
  <si>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</si>
  <si>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</si>
  <si>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</si>
  <si>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</si>
  <si>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</si>
  <si>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</si>
  <si>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</si>
  <si>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</si>
  <si>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</si>
  <si>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</si>
  <si>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</si>
  <si>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</si>
  <si>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</si>
  <si>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</si>
  <si>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</si>
  <si>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</si>
  <si>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</si>
  <si>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</si>
  <si>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</si>
  <si>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</si>
  <si>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</si>
  <si>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</si>
  <si>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</si>
  <si>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</si>
  <si>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</si>
  <si>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</si>
  <si>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</si>
  <si>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</si>
  <si>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</si>
  <si>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</si>
  <si>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</si>
  <si>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</si>
  <si>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</si>
  <si>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</si>
  <si>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</si>
  <si>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</si>
  <si>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</si>
  <si>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</si>
  <si>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</si>
  <si>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</si>
  <si>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</si>
  <si>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</si>
  <si>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</si>
  <si>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</si>
  <si>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</si>
  <si>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</si>
  <si>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</si>
  <si>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</si>
  <si>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</si>
  <si>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</si>
  <si>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</si>
  <si>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</si>
  <si>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</si>
  <si>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</si>
  <si>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</si>
  <si>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</si>
  <si>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</si>
  <si>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</si>
  <si>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</si>
  <si>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</si>
  <si>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</si>
  <si>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</si>
  <si>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</si>
  <si>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</si>
  <si>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</si>
  <si>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</si>
  <si>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</si>
  <si>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</si>
  <si>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</si>
  <si>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</si>
  <si>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</si>
  <si>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</si>
  <si>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</si>
  <si>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</si>
  <si>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</si>
  <si>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</si>
  <si>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</si>
  <si>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</si>
  <si>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</si>
  <si>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</si>
  <si>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</si>
  <si>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</si>
  <si>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</si>
  <si>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</si>
  <si>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</si>
  <si>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</si>
  <si>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</si>
  <si>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</si>
  <si>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</si>
  <si>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</si>
  <si>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</si>
  <si>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</si>
  <si>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</si>
  <si>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</si>
  <si>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</si>
  <si>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</si>
  <si>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</si>
  <si>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</si>
  <si>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</si>
  <si>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</si>
  <si>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</si>
  <si>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</si>
  <si>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</si>
  <si>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</si>
  <si>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</si>
  <si>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</si>
  <si>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</si>
  <si>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</si>
  <si>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</si>
  <si>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</si>
  <si>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</si>
  <si>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</si>
  <si>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</si>
  <si>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</si>
  <si>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</si>
  <si>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</si>
  <si>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</si>
  <si>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</si>
  <si>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</si>
  <si>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</si>
  <si>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</si>
  <si>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</si>
  <si>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</si>
  <si>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</si>
  <si>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</si>
  <si>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</si>
  <si>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</si>
  <si>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</si>
  <si>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</si>
  <si>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</si>
  <si>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</si>
  <si>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</si>
  <si>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</si>
  <si>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</si>
  <si>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</si>
  <si>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</si>
  <si>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</si>
  <si>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</si>
  <si>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</si>
  <si>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</si>
  <si>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</si>
  <si>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</si>
  <si>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</si>
  <si>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</si>
  <si>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</si>
  <si>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</si>
  <si>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</si>
  <si>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</si>
  <si>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</si>
  <si>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</si>
  <si>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</si>
  <si>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</si>
  <si>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</si>
  <si>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</si>
  <si>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</si>
  <si>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</si>
  <si>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</si>
  <si>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</si>
  <si>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</si>
  <si>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</si>
  <si>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</si>
  <si>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</si>
  <si>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</si>
  <si>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</si>
  <si>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</si>
  <si>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</si>
  <si>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</si>
  <si>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</si>
  <si>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</si>
  <si>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</si>
  <si>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</si>
  <si>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</si>
  <si>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</si>
  <si>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</si>
  <si>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</si>
  <si>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</si>
  <si>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</si>
  <si>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</si>
  <si>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</si>
  <si>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</si>
  <si>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</si>
  <si>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</si>
  <si>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</si>
  <si>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</si>
  <si>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</si>
  <si>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</si>
  <si>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</si>
  <si>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</si>
  <si>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</si>
  <si>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</si>
  <si>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</si>
  <si>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</si>
  <si>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</si>
  <si>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</si>
  <si>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</si>
  <si>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</si>
  <si>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</si>
  <si>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</si>
  <si>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</si>
  <si>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</si>
  <si>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</si>
  <si>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</si>
  <si>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</si>
  <si>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</si>
  <si>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</si>
  <si>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</si>
  <si>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</si>
  <si>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</si>
  <si>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</si>
  <si>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</si>
  <si>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</si>
  <si>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</si>
  <si>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</si>
  <si>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</si>
  <si>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</si>
  <si>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</si>
  <si>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</si>
  <si>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</si>
  <si>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</si>
  <si>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</si>
  <si>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</si>
  <si>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</si>
  <si>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</si>
  <si>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</si>
  <si>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</si>
  <si>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</si>
  <si>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</si>
  <si>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</si>
  <si>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</si>
  <si>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</si>
  <si>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</si>
  <si>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</si>
  <si>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</si>
  <si>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</si>
  <si>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</si>
  <si>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</si>
  <si>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</si>
  <si>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</si>
  <si>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</si>
  <si>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</si>
  <si>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</si>
  <si>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</si>
  <si>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</si>
  <si>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</si>
  <si>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</si>
  <si>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</si>
  <si>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</si>
  <si>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</si>
  <si>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</si>
  <si>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</si>
  <si>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</si>
  <si>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</si>
  <si>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</si>
  <si>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</si>
  <si>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</si>
  <si>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</si>
  <si>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</si>
  <si>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</si>
  <si>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</si>
  <si>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</si>
  <si>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</si>
  <si>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</si>
  <si>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</si>
  <si>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</si>
  <si>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</si>
  <si>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</si>
  <si>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</si>
  <si>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</si>
  <si>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</si>
  <si>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</si>
  <si>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</si>
  <si>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</si>
  <si>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</si>
  <si>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</si>
  <si>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</si>
  <si>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</si>
  <si>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</si>
  <si>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</si>
  <si>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</si>
  <si>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</si>
  <si>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</si>
  <si>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</si>
  <si>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</si>
  <si>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</si>
  <si>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</si>
  <si>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</si>
  <si>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</si>
  <si>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</si>
  <si>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</si>
  <si>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</si>
  <si>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</si>
  <si>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</si>
  <si>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</si>
  <si>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</si>
  <si>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</si>
  <si>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</si>
  <si>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</si>
  <si>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</si>
  <si>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</si>
  <si>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</si>
  <si>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</si>
  <si>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</si>
  <si>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</si>
  <si>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</si>
  <si>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</si>
  <si>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</si>
  <si>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</si>
  <si>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</si>
  <si>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</si>
  <si>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</si>
  <si>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</si>
  <si>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</si>
  <si>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</si>
  <si>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</si>
  <si>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</si>
  <si>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</si>
  <si>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</si>
  <si>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</si>
  <si>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</si>
  <si>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</si>
  <si>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</si>
  <si>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</si>
  <si>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</si>
  <si>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</si>
  <si>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</si>
  <si>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</si>
  <si>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</si>
  <si>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</si>
  <si>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</si>
  <si>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</si>
  <si>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</si>
  <si>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</si>
  <si>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</si>
  <si>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</si>
  <si>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</si>
  <si>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</si>
  <si>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</si>
  <si>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</si>
  <si>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</si>
  <si>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</si>
  <si>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</si>
  <si>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</si>
  <si>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</si>
  <si>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</si>
  <si>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</si>
  <si>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</si>
  <si>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</si>
  <si>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</si>
  <si>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</si>
  <si>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</si>
  <si>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</si>
  <si>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</si>
  <si>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</si>
  <si>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</si>
  <si>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</si>
  <si>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</si>
  <si>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</si>
  <si>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</si>
  <si>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</si>
  <si>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</si>
  <si>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</si>
  <si>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</si>
  <si>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</si>
  <si>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</si>
  <si>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</si>
  <si>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</si>
  <si>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</si>
  <si>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</si>
  <si>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</si>
  <si>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</si>
  <si>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</si>
  <si>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</si>
  <si>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</si>
  <si>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</si>
  <si>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</si>
  <si>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</si>
  <si>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</si>
  <si>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</si>
  <si>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</si>
  <si>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</si>
  <si>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</si>
  <si>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</si>
  <si>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</si>
  <si>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</si>
  <si>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</si>
  <si>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</si>
  <si>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</si>
  <si>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</si>
  <si>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</si>
  <si>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</si>
  <si>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</si>
  <si>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</si>
  <si>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</si>
  <si>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</si>
  <si>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</si>
  <si>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</si>
  <si>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</si>
  <si>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</si>
  <si>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</si>
  <si>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</si>
  <si>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</si>
  <si>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</si>
  <si>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</si>
  <si>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</si>
  <si>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</si>
  <si>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</si>
  <si>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</si>
  <si>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</si>
  <si>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</si>
  <si>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</si>
  <si>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</si>
  <si>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</si>
  <si>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</si>
  <si>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</si>
  <si>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</si>
  <si>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</si>
  <si>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</si>
  <si>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</si>
  <si>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</si>
  <si>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</si>
  <si>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</si>
  <si>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</si>
  <si>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</si>
  <si>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</si>
  <si>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</si>
  <si>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</si>
  <si>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</si>
  <si>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</si>
  <si>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</si>
  <si>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</si>
  <si>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</si>
  <si>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</si>
  <si>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</si>
  <si>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</si>
  <si>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</si>
  <si>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</si>
  <si>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</si>
  <si>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</si>
  <si>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</si>
  <si>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</si>
  <si>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</si>
  <si>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</si>
  <si>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</si>
  <si>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</si>
  <si>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</si>
  <si>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</si>
  <si>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</si>
  <si>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</si>
  <si>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</si>
  <si>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</si>
  <si>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</si>
  <si>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</si>
  <si>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</si>
  <si>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</si>
  <si>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</si>
  <si>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</si>
  <si>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</si>
  <si>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</si>
  <si>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</si>
  <si>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</si>
  <si>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</si>
  <si>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</si>
  <si>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</si>
  <si>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</si>
  <si>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</si>
  <si>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</si>
  <si>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</si>
  <si>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</si>
  <si>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</si>
  <si>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</si>
  <si>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</si>
  <si>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</si>
  <si>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</si>
  <si>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</si>
  <si>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</si>
  <si>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</si>
  <si>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</si>
  <si>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</si>
  <si>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</si>
  <si>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</si>
  <si>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</si>
  <si>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</si>
  <si>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</si>
  <si>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</si>
  <si>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</si>
  <si>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</si>
  <si>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</si>
  <si>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</si>
  <si>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</si>
  <si>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</si>
  <si>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</si>
  <si>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</si>
  <si>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</si>
  <si>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</si>
  <si>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</si>
  <si>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</si>
  <si>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</si>
  <si>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</si>
  <si>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</si>
  <si>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</si>
  <si>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</si>
  <si>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</si>
  <si>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</si>
  <si>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</si>
  <si>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</si>
  <si>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</si>
  <si>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</si>
  <si>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</si>
  <si>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</si>
  <si>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</si>
  <si>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</si>
  <si>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</si>
  <si>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</si>
  <si>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</si>
  <si>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</si>
  <si>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</si>
  <si>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</si>
  <si>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</si>
  <si>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</si>
  <si>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</si>
  <si>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</si>
  <si>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</si>
  <si>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</si>
  <si>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</si>
  <si>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</si>
  <si>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</si>
  <si>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</si>
  <si>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</si>
  <si>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</si>
  <si>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</si>
  <si>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</si>
  <si>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</si>
  <si>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</si>
  <si>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</si>
  <si>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</si>
  <si>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</si>
  <si>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</si>
  <si>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</si>
  <si>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</si>
  <si>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</si>
  <si>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</si>
  <si>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</si>
  <si>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</si>
  <si>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</si>
  <si>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</si>
  <si>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</si>
  <si>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</si>
  <si>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</si>
  <si>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</si>
  <si>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</si>
  <si>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</si>
  <si>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</si>
  <si>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</si>
  <si>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</si>
  <si>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</si>
  <si>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</si>
  <si>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</si>
  <si>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</si>
  <si>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</si>
  <si>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</si>
  <si>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</si>
  <si>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</si>
  <si>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</si>
  <si>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</si>
  <si>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</si>
  <si>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</si>
  <si>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</si>
  <si>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</si>
  <si>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</si>
  <si>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</si>
  <si>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</si>
  <si>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</si>
  <si>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</si>
  <si>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</si>
  <si>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</si>
  <si>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</si>
  <si>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</si>
  <si>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</si>
  <si>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</si>
  <si>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</si>
  <si>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</si>
  <si>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</si>
  <si>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</si>
  <si>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</si>
  <si>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</si>
  <si>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</si>
  <si>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</si>
  <si>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</si>
  <si>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</si>
  <si>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</si>
  <si>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</si>
  <si>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</si>
  <si>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</si>
  <si>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</si>
  <si>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</si>
  <si>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</si>
  <si>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</si>
  <si>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</si>
  <si>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</si>
  <si>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</si>
  <si>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</si>
  <si>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</si>
  <si>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</si>
  <si>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</si>
  <si>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</si>
  <si>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</si>
  <si>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</si>
  <si>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</si>
  <si>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</si>
  <si>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</si>
  <si>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</si>
  <si>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</si>
  <si>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</si>
  <si>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</si>
  <si>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</si>
  <si>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</si>
  <si>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</si>
  <si>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</si>
  <si>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</si>
  <si>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</si>
  <si>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</si>
  <si>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</si>
  <si>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</si>
  <si>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</si>
  <si>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</si>
  <si>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</si>
  <si>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</si>
  <si>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</si>
  <si>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</si>
  <si>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</si>
  <si>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</si>
  <si>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</si>
  <si>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</si>
  <si>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</si>
  <si>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</si>
  <si>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</si>
  <si>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</si>
  <si>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</si>
  <si>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</si>
  <si>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</si>
  <si>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</si>
  <si>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</si>
  <si>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</si>
  <si>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</si>
  <si>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</si>
  <si>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</si>
  <si>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</si>
  <si>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</si>
  <si>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</si>
  <si>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</si>
  <si>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</si>
  <si>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</si>
  <si>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</si>
  <si>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</si>
  <si>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</si>
  <si>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</si>
  <si>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</si>
  <si>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</si>
  <si>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</si>
  <si>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</si>
  <si>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</si>
  <si>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</si>
  <si>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</si>
  <si>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</si>
  <si>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</si>
  <si>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</si>
  <si>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</si>
  <si>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</si>
  <si>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</si>
  <si>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</si>
  <si>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</si>
  <si>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</si>
  <si>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</si>
  <si>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</si>
  <si>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</si>
  <si>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</si>
  <si>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</si>
  <si>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</si>
  <si>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</si>
  <si>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</si>
  <si>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</si>
  <si>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</si>
  <si>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</si>
  <si>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</si>
  <si>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</si>
  <si>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</si>
  <si>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</si>
  <si>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</si>
  <si>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</si>
  <si>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</si>
  <si>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</si>
  <si>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</si>
  <si>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</si>
  <si>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</si>
  <si>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</si>
  <si>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</si>
  <si>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</si>
  <si>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</si>
  <si>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</si>
  <si>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</si>
  <si>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</si>
  <si>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</si>
  <si>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</si>
  <si>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</si>
  <si>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</si>
  <si>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</si>
  <si>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</si>
  <si>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</si>
  <si>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</si>
  <si>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</si>
  <si>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</si>
  <si>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</si>
  <si>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</si>
  <si>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</si>
  <si>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</si>
  <si>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</si>
  <si>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</si>
  <si>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</si>
  <si>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</si>
  <si>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</si>
  <si>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</si>
  <si>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</si>
  <si>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</si>
  <si>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</si>
  <si>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</si>
  <si>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</si>
  <si>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</si>
  <si>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</si>
  <si>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</si>
  <si>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</si>
  <si>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</si>
  <si>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</si>
  <si>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</si>
  <si>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</si>
  <si>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</si>
  <si>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</si>
  <si>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</si>
  <si>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</si>
  <si>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</si>
  <si>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</si>
  <si>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</si>
  <si>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</si>
  <si>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</si>
  <si>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</si>
  <si>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</si>
  <si>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</si>
  <si>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</si>
  <si>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</si>
  <si>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</si>
  <si>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</si>
  <si>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</si>
  <si>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</si>
  <si>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</si>
  <si>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</si>
  <si>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</si>
  <si>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</si>
  <si>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</si>
  <si>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</si>
  <si>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</si>
  <si>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</si>
  <si>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</si>
  <si>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</si>
  <si>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</si>
  <si>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</si>
  <si>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</si>
  <si>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</si>
  <si>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</si>
  <si>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</si>
  <si>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</si>
  <si>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</si>
  <si>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</si>
  <si>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</si>
  <si>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</si>
  <si>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</si>
  <si>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</si>
  <si>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</si>
  <si>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</si>
  <si>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</si>
  <si>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</si>
  <si>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</si>
  <si>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</si>
  <si>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</si>
  <si>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</si>
  <si>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</si>
  <si>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</si>
  <si>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</si>
  <si>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</si>
  <si>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</si>
  <si>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</si>
  <si>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</si>
  <si>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</si>
  <si>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</si>
  <si>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</si>
  <si>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</si>
  <si>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</si>
  <si>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</si>
  <si>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</si>
  <si>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</si>
  <si>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</si>
  <si>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</si>
  <si>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</si>
  <si>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</si>
  <si>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</si>
  <si>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</si>
  <si>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</si>
  <si>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</si>
  <si>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</si>
  <si>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</si>
  <si>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</si>
  <si>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</si>
  <si>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</si>
  <si>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</si>
  <si>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</si>
  <si>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</si>
  <si>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</si>
  <si>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</si>
  <si>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</si>
  <si>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</si>
  <si>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</si>
  <si>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</si>
  <si>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</si>
  <si>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</si>
  <si>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</si>
  <si>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</si>
  <si>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</si>
  <si>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</si>
  <si>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</si>
  <si>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</si>
  <si>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</si>
  <si>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</si>
  <si>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</si>
  <si>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</si>
  <si>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</si>
  <si>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</si>
  <si>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</si>
  <si>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</si>
  <si>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</si>
  <si>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</si>
  <si>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</si>
  <si>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</si>
  <si>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</si>
  <si>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</si>
  <si>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</si>
  <si>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</si>
  <si>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</si>
  <si>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</si>
  <si>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</si>
  <si>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</si>
  <si>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</si>
  <si>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</si>
  <si>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</si>
  <si>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</si>
  <si>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</si>
  <si>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</si>
  <si>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</si>
  <si>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</si>
  <si>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</si>
  <si>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</si>
  <si>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</si>
  <si>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</si>
  <si>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</si>
  <si>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</si>
  <si>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</si>
  <si>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</si>
  <si>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</si>
  <si>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</si>
  <si>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</si>
  <si>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</si>
  <si>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</si>
  <si>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</si>
  <si>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</si>
  <si>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</si>
  <si>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</si>
  <si>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</si>
  <si>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</si>
  <si>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</si>
  <si>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</si>
  <si>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</si>
  <si>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</si>
  <si>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</si>
  <si>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</si>
  <si>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</si>
  <si>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</si>
  <si>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</si>
  <si>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</si>
  <si>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</si>
  <si>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</si>
  <si>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</si>
  <si>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</si>
  <si>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</si>
  <si>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</si>
  <si>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</si>
  <si>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</si>
  <si>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</si>
  <si>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</si>
  <si>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</si>
  <si>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</si>
  <si>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</si>
  <si>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</si>
  <si>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</si>
  <si>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</si>
  <si>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</si>
  <si>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</si>
  <si>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</si>
  <si>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</si>
  <si>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</si>
  <si>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</si>
  <si>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</si>
  <si>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</si>
  <si>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</si>
  <si>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</si>
  <si>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</si>
  <si>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</si>
  <si>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</si>
  <si>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</si>
  <si>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</si>
  <si>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</si>
  <si>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</si>
  <si>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</si>
  <si>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</si>
  <si>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</si>
  <si>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</si>
  <si>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</si>
  <si>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</si>
  <si>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</si>
  <si>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</si>
  <si>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</si>
  <si>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</si>
  <si>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</si>
  <si>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</si>
  <si>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</si>
  <si>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</si>
  <si>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</si>
  <si>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</si>
  <si>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</si>
  <si>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</si>
  <si>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</si>
  <si>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</si>
  <si>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</si>
  <si>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</si>
  <si>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</si>
  <si>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</si>
  <si>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</si>
  <si>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</si>
  <si>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</si>
  <si>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</si>
  <si>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</si>
  <si>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</si>
  <si>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</si>
  <si>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</si>
  <si>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</si>
  <si>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</si>
  <si>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</si>
  <si>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</si>
  <si>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</si>
  <si>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</si>
  <si>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</si>
  <si>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</si>
  <si>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</si>
  <si>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</si>
  <si>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</si>
  <si>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</si>
  <si>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</si>
  <si>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</si>
  <si>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</si>
  <si>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</si>
  <si>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</si>
  <si>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</si>
  <si>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</si>
  <si>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</si>
  <si>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</si>
  <si>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</si>
  <si>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</si>
  <si>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</si>
  <si>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</si>
  <si>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</si>
  <si>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</si>
  <si>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</si>
  <si>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</si>
  <si>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</si>
  <si>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</si>
  <si>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</si>
  <si>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</si>
  <si>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</si>
  <si>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</si>
  <si>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</si>
  <si>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</si>
  <si>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</si>
  <si>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</si>
  <si>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</si>
  <si>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</si>
  <si>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</si>
  <si>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</si>
  <si>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</si>
  <si>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</si>
  <si>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</si>
  <si>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</si>
  <si>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</si>
  <si>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</si>
  <si>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</si>
  <si>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</si>
  <si>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</si>
  <si>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</si>
  <si>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</si>
  <si>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</si>
  <si>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</si>
  <si>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</si>
  <si>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</si>
  <si>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</si>
  <si>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</si>
  <si>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</si>
  <si>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</si>
  <si>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</si>
  <si>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</si>
  <si>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</si>
  <si>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</si>
  <si>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</si>
  <si>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</si>
  <si>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</si>
  <si>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</si>
  <si>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</si>
  <si>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</si>
  <si>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</si>
  <si>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</si>
  <si>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</si>
  <si>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</si>
  <si>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</si>
  <si>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</si>
  <si>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</si>
  <si>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</si>
  <si>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</si>
  <si>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</si>
  <si>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</si>
  <si>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</si>
  <si>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</si>
  <si>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</si>
  <si>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</si>
  <si>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</si>
  <si>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</si>
  <si>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</si>
  <si>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</si>
  <si>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</si>
  <si>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</si>
  <si>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</si>
  <si>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</si>
  <si>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</si>
  <si>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</si>
  <si>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</si>
  <si>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</si>
  <si>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</si>
  <si>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</si>
  <si>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</si>
  <si>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</si>
  <si>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</si>
  <si>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</si>
  <si>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</si>
  <si>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</si>
  <si>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</si>
  <si>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</si>
  <si>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</si>
  <si>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</si>
  <si>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</si>
  <si>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</si>
  <si>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</si>
  <si>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</si>
  <si>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</si>
  <si>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</si>
  <si>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</si>
  <si>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</si>
  <si>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</si>
  <si>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</si>
  <si>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</si>
  <si>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</si>
  <si>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</si>
  <si>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</si>
  <si>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</si>
  <si>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</si>
  <si>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</si>
  <si>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</si>
  <si>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</si>
  <si>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</si>
  <si>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</si>
  <si>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</si>
  <si>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</si>
  <si>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</si>
  <si>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</si>
  <si>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</si>
  <si>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</si>
  <si>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</si>
  <si>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</si>
  <si>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</si>
  <si>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</si>
  <si>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</si>
  <si>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</si>
  <si>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</si>
  <si>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</si>
  <si>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</si>
  <si>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</si>
  <si>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</si>
  <si>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</si>
  <si>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</si>
  <si>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</si>
  <si>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</si>
  <si>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</si>
  <si>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</si>
  <si>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</si>
  <si>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</si>
  <si>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</si>
  <si>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</si>
  <si>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</si>
  <si>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</si>
  <si>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</si>
  <si>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</si>
  <si>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</si>
  <si>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</si>
  <si>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</si>
  <si>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</si>
  <si>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</si>
  <si>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</si>
  <si>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</si>
  <si>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</si>
  <si>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</si>
  <si>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</si>
  <si>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</si>
  <si>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</si>
  <si>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</si>
  <si>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</si>
  <si>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</si>
  <si>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</si>
  <si>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</si>
  <si>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</si>
  <si>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</si>
  <si>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</si>
  <si>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</si>
  <si>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</si>
  <si>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</si>
  <si>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</si>
  <si>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</si>
  <si>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</si>
  <si>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</si>
  <si>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</si>
  <si>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</si>
  <si>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</si>
  <si>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</si>
  <si>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</si>
  <si>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</si>
  <si>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</si>
  <si>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</si>
  <si>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</si>
  <si>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</si>
  <si>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</si>
  <si>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</si>
  <si>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</si>
  <si>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</si>
  <si>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</si>
  <si>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</si>
  <si>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</si>
  <si>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</si>
  <si>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</si>
  <si>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</si>
  <si>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</si>
  <si>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</si>
  <si>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</si>
  <si>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</si>
  <si>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</si>
  <si>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</si>
  <si>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</si>
  <si>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</si>
  <si>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</si>
  <si>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</si>
  <si>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</si>
  <si>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</si>
  <si>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</si>
  <si>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</si>
  <si>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</si>
  <si>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</si>
  <si>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</si>
  <si>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</si>
  <si>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</si>
  <si>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</si>
  <si>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</si>
  <si>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</si>
  <si>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</si>
  <si>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</si>
  <si>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</si>
  <si>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</si>
  <si>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</si>
  <si>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</si>
  <si>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</si>
  <si>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</si>
  <si>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</si>
  <si>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</si>
  <si>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</si>
  <si>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</si>
  <si>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</si>
  <si>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</si>
  <si>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</si>
  <si>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</si>
  <si>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</si>
  <si>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</si>
  <si>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</si>
  <si>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</si>
  <si>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</si>
  <si>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</si>
  <si>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</si>
  <si>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</si>
  <si>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</si>
  <si>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</si>
  <si>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</si>
  <si>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</si>
  <si>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</si>
  <si>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</si>
  <si>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</si>
  <si>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</si>
  <si>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</si>
  <si>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</si>
  <si>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</si>
  <si>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</si>
  <si>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</si>
  <si>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</si>
  <si>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</si>
  <si>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</si>
  <si>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</si>
  <si>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</si>
  <si>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</si>
  <si>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</si>
  <si>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</si>
  <si>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</si>
  <si>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</si>
  <si>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</si>
  <si>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</si>
  <si>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</si>
  <si>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</si>
  <si>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</si>
  <si>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</si>
  <si>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</si>
  <si>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</si>
  <si>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</si>
  <si>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</si>
  <si>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</si>
  <si>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</si>
  <si>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</si>
  <si>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</si>
  <si>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</si>
  <si>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</si>
  <si>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</si>
  <si>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</si>
  <si>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</si>
  <si>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</si>
  <si>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</si>
  <si>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</si>
  <si>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</si>
  <si>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</si>
  <si>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</si>
  <si>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</si>
  <si>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</si>
  <si>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</si>
  <si>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</si>
  <si>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</si>
  <si>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</si>
  <si>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</si>
  <si>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</si>
  <si>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</si>
  <si>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</si>
  <si>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</si>
  <si>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</si>
  <si>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</si>
  <si>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</si>
  <si>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</si>
  <si>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</si>
  <si>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</si>
  <si>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</si>
  <si>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</si>
  <si>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</si>
  <si>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</si>
  <si>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</si>
  <si>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</si>
  <si>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</si>
  <si>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</si>
  <si>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</si>
  <si>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</si>
  <si>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</si>
  <si>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</si>
  <si>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</si>
  <si>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</si>
  <si>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</si>
  <si>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</si>
  <si>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</si>
  <si>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</si>
  <si>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</si>
  <si>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</si>
  <si>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</si>
  <si>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</si>
  <si>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</si>
  <si>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</si>
  <si>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</si>
  <si>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</si>
  <si>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</si>
  <si>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</si>
  <si>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</si>
  <si>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</si>
  <si>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</si>
  <si>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</si>
  <si>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</si>
  <si>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</si>
  <si>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</si>
  <si>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</si>
  <si>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</si>
  <si>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</si>
  <si>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</si>
  <si>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</si>
  <si>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</si>
  <si>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</si>
  <si>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</si>
  <si>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</si>
  <si>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</si>
  <si>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</si>
  <si>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</si>
  <si>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</si>
  <si>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</si>
  <si>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</si>
  <si>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</si>
  <si>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</si>
  <si>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</si>
  <si>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</si>
  <si>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</si>
  <si>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</si>
  <si>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</si>
  <si>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</si>
  <si>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</si>
  <si>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</si>
  <si>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</si>
  <si>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</si>
  <si>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</si>
  <si>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</si>
  <si>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</si>
  <si>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</si>
  <si>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</si>
  <si>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</si>
  <si>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</si>
  <si>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</si>
  <si>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</si>
  <si>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</si>
  <si>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</si>
  <si>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</si>
  <si>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</si>
  <si>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</si>
  <si>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</si>
  <si>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</si>
  <si>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</si>
  <si>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</si>
  <si>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</si>
  <si>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</si>
  <si>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</si>
  <si>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</si>
  <si>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</si>
  <si>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</si>
  <si>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</si>
  <si>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</si>
  <si>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</si>
  <si>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</si>
  <si>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</si>
  <si>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</si>
  <si>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</si>
  <si>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</si>
  <si>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</si>
  <si>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</si>
  <si>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</si>
  <si>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</si>
  <si>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</si>
  <si>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</si>
  <si>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</si>
  <si>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</si>
  <si>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</si>
  <si>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</si>
  <si>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</si>
  <si>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</si>
  <si>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</si>
  <si>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</si>
  <si>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</si>
  <si>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</si>
  <si>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</si>
  <si>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</si>
  <si>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</si>
  <si>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</si>
  <si>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</si>
  <si>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</si>
  <si>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</si>
  <si>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</si>
  <si>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</si>
  <si>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</si>
  <si>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</si>
  <si>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</si>
  <si>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</si>
  <si>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</si>
  <si>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</si>
  <si>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</si>
  <si>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</si>
  <si>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</si>
  <si>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</si>
  <si>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</si>
  <si>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</si>
  <si>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</si>
  <si>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</si>
  <si>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</si>
  <si>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</si>
  <si>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</si>
  <si>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</si>
  <si>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</si>
  <si>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</si>
  <si>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</si>
  <si>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</si>
  <si>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</si>
  <si>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</si>
  <si>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</si>
  <si>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</si>
  <si>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</si>
  <si>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</si>
  <si>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</si>
  <si>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</si>
  <si>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</si>
  <si>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</si>
  <si>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</si>
  <si>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</si>
  <si>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</si>
  <si>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</si>
  <si>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</si>
  <si>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</si>
  <si>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</si>
  <si>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</si>
  <si>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</si>
  <si>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</si>
  <si>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</si>
  <si>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</si>
  <si>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</si>
  <si>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</si>
  <si>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</si>
  <si>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</si>
  <si>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</si>
  <si>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</si>
  <si>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</si>
  <si>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</si>
  <si>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</si>
  <si>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</si>
  <si>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</si>
  <si>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</si>
  <si>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</si>
  <si>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</si>
  <si>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</si>
  <si>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</si>
  <si>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</si>
  <si>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</si>
  <si>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</si>
  <si>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</si>
  <si>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</si>
  <si>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</si>
  <si>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</si>
  <si>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</si>
  <si>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</si>
  <si>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</si>
  <si>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</si>
  <si>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</si>
  <si>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</si>
  <si>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</si>
  <si>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</si>
  <si>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</si>
  <si>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</si>
  <si>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</si>
  <si>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</si>
  <si>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</si>
  <si>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</si>
  <si>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</si>
  <si>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</si>
  <si>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</si>
  <si>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</si>
  <si>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</si>
  <si>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</si>
  <si>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</si>
  <si>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</si>
  <si>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</si>
  <si>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</si>
  <si>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</si>
  <si>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</si>
  <si>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</si>
  <si>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</si>
  <si>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</si>
  <si>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</si>
  <si>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</si>
  <si>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</si>
  <si>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</si>
  <si>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</si>
  <si>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</si>
  <si>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</si>
  <si>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</si>
  <si>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</si>
  <si>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</si>
  <si>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</si>
  <si>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</si>
  <si>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</si>
  <si>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</si>
  <si>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</si>
  <si>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</si>
  <si>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</si>
  <si>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</si>
  <si>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</si>
  <si>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</si>
  <si>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</si>
  <si>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</si>
  <si>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</si>
  <si>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</si>
  <si>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</si>
  <si>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</si>
  <si>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</si>
  <si>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</si>
  <si>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</si>
  <si>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</si>
  <si>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</si>
  <si>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</si>
  <si>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</si>
  <si>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</si>
  <si>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</si>
  <si>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</si>
  <si>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</si>
  <si>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</si>
  <si>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</si>
  <si>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</si>
  <si>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</si>
  <si>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</si>
  <si>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</si>
  <si>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</si>
  <si>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</si>
  <si>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</si>
  <si>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</si>
  <si>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</si>
  <si>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</si>
  <si>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</si>
  <si>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</si>
  <si>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</si>
  <si>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</si>
  <si>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</si>
  <si>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</si>
  <si>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</si>
  <si>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</si>
  <si>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</si>
  <si>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</si>
  <si>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</si>
  <si>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</si>
  <si>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</si>
  <si>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</si>
  <si>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</si>
  <si>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</si>
  <si>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</si>
  <si>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</si>
  <si>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</si>
  <si>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</si>
  <si>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</si>
  <si>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</si>
  <si>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</si>
  <si>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</si>
  <si>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</si>
  <si>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</si>
  <si>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</si>
  <si>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</si>
  <si>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</si>
  <si>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</si>
  <si>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</si>
  <si>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</si>
  <si>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</si>
  <si>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</si>
  <si>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</si>
  <si>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</si>
  <si>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</si>
  <si>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</si>
  <si>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</si>
  <si>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</si>
  <si>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</si>
  <si>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</si>
  <si>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</si>
  <si>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</si>
  <si>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</si>
  <si>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</si>
  <si>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</si>
  <si>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</si>
  <si>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</si>
  <si>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</si>
  <si>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</si>
  <si>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</si>
  <si>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</si>
  <si>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</si>
  <si>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</si>
  <si>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</si>
  <si>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</si>
  <si>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</si>
  <si>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</si>
  <si>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</si>
  <si>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</si>
  <si>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</si>
  <si>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</si>
  <si>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</si>
  <si>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</si>
  <si>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</si>
  <si>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</si>
  <si>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</si>
  <si>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</si>
  <si>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</si>
  <si>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</si>
  <si>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</si>
  <si>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</si>
  <si>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</si>
  <si>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</si>
  <si>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</si>
  <si>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</si>
  <si>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</si>
  <si>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</si>
  <si>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</si>
  <si>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</si>
  <si>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</si>
  <si>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</si>
  <si>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</si>
  <si>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</si>
  <si>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</si>
  <si>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</si>
  <si>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</si>
  <si>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</si>
  <si>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</si>
  <si>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</si>
  <si>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</si>
  <si>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</si>
  <si>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</si>
  <si>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</si>
  <si>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</si>
  <si>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</si>
  <si>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</si>
  <si>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</si>
  <si>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</si>
  <si>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</si>
  <si>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</si>
  <si>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</si>
  <si>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</si>
  <si>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</si>
  <si>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</si>
  <si>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</si>
  <si>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</si>
  <si>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</si>
  <si>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</si>
  <si>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</si>
  <si>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</si>
  <si>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</si>
  <si>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</si>
  <si>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</si>
  <si>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</si>
  <si>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</si>
  <si>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</si>
  <si>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</si>
  <si>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</si>
  <si>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</si>
  <si>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</si>
  <si>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</si>
  <si>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</si>
  <si>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</si>
  <si>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</si>
  <si>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</si>
  <si>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</si>
  <si>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</si>
  <si>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</si>
  <si>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</si>
  <si>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</si>
  <si>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</si>
  <si>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</si>
  <si>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</si>
  <si>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</si>
  <si>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</si>
  <si>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</si>
  <si>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</si>
  <si>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</si>
  <si>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</si>
  <si>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</si>
  <si>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</si>
  <si>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</si>
  <si>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</si>
  <si>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</si>
  <si>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</si>
  <si>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</si>
  <si>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</si>
  <si>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</si>
  <si>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</si>
  <si>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</si>
  <si>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</si>
  <si>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</si>
  <si>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</si>
  <si>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</si>
  <si>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</si>
  <si>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</si>
  <si>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</si>
  <si>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</si>
  <si>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</si>
  <si>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</si>
  <si>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</si>
  <si>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</si>
  <si>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</si>
  <si>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</si>
  <si>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</si>
  <si>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</si>
  <si>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</si>
  <si>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</si>
  <si>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</si>
  <si>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</si>
  <si>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</si>
  <si>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</si>
  <si>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</si>
  <si>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</si>
  <si>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</si>
  <si>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</si>
  <si>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</si>
  <si>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</si>
  <si>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</si>
  <si>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</si>
  <si>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</si>
  <si>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</si>
  <si>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</si>
  <si>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</si>
  <si>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</si>
  <si>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</si>
  <si>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</si>
  <si>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</si>
  <si>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</si>
  <si>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</si>
  <si>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</si>
  <si>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</si>
  <si>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</si>
  <si>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</si>
  <si>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</si>
  <si>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</si>
  <si>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</si>
  <si>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</si>
  <si>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</si>
  <si>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</si>
  <si>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</si>
  <si>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</si>
  <si>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</si>
  <si>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</si>
  <si>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</si>
  <si>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</si>
  <si>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</si>
  <si>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</si>
  <si>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</si>
  <si>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</si>
  <si>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</si>
  <si>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</si>
  <si>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</si>
  <si>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</si>
  <si>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</si>
  <si>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</si>
  <si>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</si>
  <si>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</si>
  <si>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</si>
  <si>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</si>
  <si>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</si>
  <si>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</si>
  <si>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</si>
  <si>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</si>
  <si>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</si>
  <si>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</si>
  <si>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</si>
  <si>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</si>
  <si>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</si>
  <si>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</si>
  <si>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</si>
  <si>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</si>
  <si>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</si>
  <si>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</si>
  <si>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</si>
  <si>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</si>
  <si>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</si>
  <si>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</si>
  <si>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</si>
  <si>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</si>
  <si>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</si>
  <si>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</si>
  <si>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</si>
  <si>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</si>
  <si>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</si>
  <si>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</si>
  <si>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</si>
  <si>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</si>
  <si>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</si>
  <si>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</si>
  <si>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</si>
  <si>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</si>
  <si>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</si>
  <si>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</si>
  <si>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</si>
  <si>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</si>
  <si>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</si>
  <si>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</si>
  <si>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</si>
  <si>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</si>
  <si>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</si>
  <si>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</si>
  <si>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</si>
  <si>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</si>
  <si>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</si>
  <si>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</si>
  <si>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</si>
  <si>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</si>
  <si>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</si>
  <si>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</si>
  <si>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</si>
  <si>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</si>
  <si>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</si>
  <si>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</si>
  <si>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</si>
  <si>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</si>
  <si>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</si>
  <si>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</si>
  <si>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</si>
  <si>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</si>
  <si>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</si>
  <si>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</si>
  <si>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</si>
  <si>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</si>
  <si>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</si>
  <si>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</si>
  <si>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</si>
  <si>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</si>
  <si>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</si>
  <si>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</si>
  <si>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</si>
  <si>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</si>
  <si>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</si>
  <si>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</si>
  <si>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</si>
  <si>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</si>
  <si>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</si>
  <si>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</si>
  <si>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</si>
  <si>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</si>
  <si>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</si>
  <si>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</si>
  <si>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</si>
  <si>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</si>
  <si>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</si>
  <si>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</si>
  <si>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</si>
  <si>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</si>
  <si>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</si>
  <si>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</si>
  <si>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</si>
  <si>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</si>
  <si>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</si>
  <si>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</si>
  <si>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</si>
  <si>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</si>
  <si>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</si>
  <si>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</si>
  <si>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</si>
  <si>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</si>
  <si>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</si>
  <si>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</si>
  <si>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</si>
  <si>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</si>
  <si>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</si>
  <si>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</si>
  <si>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</si>
  <si>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</si>
  <si>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</si>
  <si>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</si>
  <si>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</si>
  <si>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</si>
  <si>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</si>
  <si>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</si>
  <si>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</si>
  <si>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</si>
  <si>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</si>
  <si>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</si>
  <si>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</si>
  <si>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</si>
  <si>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</si>
  <si>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</si>
  <si>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</si>
  <si>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</si>
  <si>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</si>
  <si>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</si>
  <si>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</si>
  <si>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</si>
  <si>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</si>
  <si>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</si>
  <si>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</si>
  <si>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</si>
  <si>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</si>
  <si>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</si>
  <si>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</si>
  <si>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</si>
  <si>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</si>
  <si>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</si>
  <si>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</si>
  <si>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</si>
  <si>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</si>
  <si>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</si>
  <si>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</si>
  <si>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</si>
  <si>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</si>
  <si>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</si>
  <si>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</si>
  <si>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</si>
  <si>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</si>
  <si>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</si>
  <si>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</si>
  <si>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</si>
  <si>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</si>
  <si>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</si>
  <si>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</si>
  <si>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</si>
  <si>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</si>
  <si>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</si>
  <si>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</si>
  <si>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</si>
  <si>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</si>
  <si>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</si>
  <si>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</si>
  <si>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</si>
  <si>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</si>
  <si>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</si>
  <si>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</si>
  <si>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</si>
  <si>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</si>
  <si>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</si>
  <si>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</si>
  <si>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</si>
  <si>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</si>
  <si>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</si>
  <si>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</si>
  <si>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</si>
  <si>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</si>
  <si>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</si>
  <si>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</si>
  <si>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</si>
  <si>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</si>
  <si>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</si>
  <si>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</si>
  <si>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</si>
  <si>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</si>
  <si>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</si>
  <si>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</si>
  <si>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</si>
  <si>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</si>
  <si>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</si>
  <si>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</si>
  <si>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</si>
  <si>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</si>
  <si>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</si>
  <si>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</si>
  <si>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</si>
  <si>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</si>
  <si>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</si>
  <si>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</si>
  <si>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</si>
  <si>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</si>
  <si>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</si>
  <si>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</si>
  <si>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</si>
  <si>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</si>
  <si>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</si>
  <si>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</si>
  <si>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</si>
  <si>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</si>
  <si>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</si>
  <si>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</si>
  <si>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</si>
  <si>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</si>
  <si>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</si>
  <si>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</si>
  <si>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</si>
  <si>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</si>
  <si>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</si>
  <si>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</si>
  <si>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</si>
  <si>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</si>
  <si>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</si>
  <si>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</si>
  <si>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</si>
  <si>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</si>
  <si>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</si>
  <si>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</si>
  <si>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</si>
  <si>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</si>
  <si>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</si>
  <si>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</si>
  <si>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</si>
  <si>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</si>
  <si>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</si>
  <si>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</si>
  <si>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</si>
  <si>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</si>
  <si>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</si>
  <si>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</si>
  <si>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</si>
  <si>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</si>
  <si>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</si>
  <si>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</si>
  <si>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</si>
  <si>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</si>
  <si>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</si>
  <si>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</si>
  <si>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</si>
  <si>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</si>
  <si>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</si>
  <si>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</si>
  <si>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</si>
  <si>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</si>
  <si>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</si>
  <si>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</si>
  <si>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</si>
  <si>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</si>
  <si>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</si>
  <si>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</si>
  <si>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</si>
  <si>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</si>
  <si>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</si>
  <si>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</si>
  <si>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</si>
  <si>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</si>
  <si>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</si>
  <si>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</si>
  <si>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</si>
  <si>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</si>
  <si>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</si>
  <si>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</si>
  <si>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</si>
  <si>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</si>
  <si>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</si>
  <si>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</si>
  <si>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</si>
  <si>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</si>
  <si>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</si>
  <si>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</si>
  <si>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</si>
  <si>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</si>
  <si>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</si>
  <si>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</si>
  <si>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</si>
  <si>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</si>
  <si>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</si>
  <si>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</si>
  <si>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</si>
  <si>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</si>
  <si>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</si>
  <si>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</si>
  <si>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</si>
  <si>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</si>
  <si>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</si>
  <si>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</si>
  <si>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</si>
  <si>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</si>
  <si>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</si>
  <si>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</si>
  <si>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</si>
  <si>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</si>
  <si>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</si>
  <si>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</si>
  <si>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</si>
  <si>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</si>
  <si>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</si>
  <si>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</si>
  <si>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</si>
  <si>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</si>
  <si>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</si>
  <si>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</si>
  <si>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</si>
  <si>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</si>
  <si>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</si>
  <si>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</si>
  <si>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</si>
  <si>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</si>
  <si>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</si>
  <si>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</si>
  <si>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</si>
  <si>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</si>
  <si>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</si>
  <si>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</si>
  <si>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</si>
  <si>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</si>
  <si>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</si>
  <si>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</si>
  <si>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</si>
  <si>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</si>
  <si>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</si>
  <si>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</si>
  <si>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</si>
  <si>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</si>
  <si>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</si>
  <si>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</si>
  <si>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</si>
  <si>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</si>
  <si>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</si>
  <si>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</si>
  <si>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</si>
  <si>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</si>
  <si>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</si>
  <si>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</si>
  <si>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</si>
  <si>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</si>
  <si>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</si>
  <si>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</si>
  <si>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</si>
  <si>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</si>
  <si>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</si>
  <si>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</si>
  <si>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</si>
  <si>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</si>
  <si>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</si>
  <si>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</si>
  <si>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</si>
  <si>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</si>
  <si>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</si>
  <si>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</si>
  <si>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</si>
  <si>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</si>
  <si>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</si>
  <si>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</si>
  <si>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</si>
  <si>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</si>
  <si>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</si>
  <si>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</si>
  <si>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</si>
  <si>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</si>
  <si>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</si>
  <si>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</si>
  <si>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</si>
  <si>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</si>
  <si>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</si>
  <si>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</si>
  <si>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</si>
  <si>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</si>
  <si>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</si>
  <si>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</si>
  <si>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</si>
  <si>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</si>
  <si>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</si>
  <si>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</si>
  <si>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</si>
  <si>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</si>
  <si>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</si>
  <si>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</si>
  <si>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</si>
  <si>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</si>
  <si>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</si>
  <si>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</si>
  <si>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</si>
  <si>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</si>
  <si>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</si>
  <si>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</si>
  <si>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</si>
  <si>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</si>
  <si>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</si>
  <si>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</si>
  <si>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</si>
  <si>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</si>
  <si>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</si>
  <si>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</si>
  <si>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</si>
  <si>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</si>
  <si>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</si>
  <si>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</si>
  <si>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</si>
  <si>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</si>
  <si>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</si>
  <si>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</si>
  <si>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</si>
  <si>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</si>
  <si>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</si>
  <si>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</si>
  <si>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</si>
  <si>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</si>
  <si>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</si>
  <si>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</si>
  <si>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</si>
  <si>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</si>
  <si>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</si>
  <si>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</si>
  <si>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</si>
  <si>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</si>
  <si>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</si>
  <si>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</si>
  <si>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</si>
  <si>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</si>
  <si>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</si>
  <si>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</si>
  <si>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</si>
  <si>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</si>
  <si>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</si>
  <si>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</si>
  <si>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</si>
  <si>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</si>
  <si>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</si>
  <si>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</si>
  <si>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</si>
  <si>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</si>
  <si>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</si>
  <si>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</si>
  <si>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</si>
  <si>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</si>
  <si>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</si>
  <si>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</si>
  <si>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</si>
  <si>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</si>
  <si>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</si>
  <si>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</si>
  <si>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</si>
  <si>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</si>
  <si>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</si>
  <si>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</si>
  <si>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</si>
  <si>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</si>
  <si>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</si>
  <si>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</si>
  <si>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</si>
  <si>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</si>
  <si>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</si>
  <si>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</si>
  <si>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</si>
  <si>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</si>
  <si>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</si>
  <si>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</si>
  <si>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</si>
  <si>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</si>
  <si>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</si>
  <si>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</si>
  <si>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</si>
  <si>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</si>
  <si>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</si>
  <si>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</si>
  <si>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</si>
  <si>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</si>
  <si>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</si>
  <si>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</si>
  <si>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</si>
  <si>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</si>
  <si>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</si>
  <si>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</si>
  <si>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</si>
  <si>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</si>
  <si>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</si>
  <si>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</si>
  <si>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</si>
  <si>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</si>
  <si>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</si>
  <si>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</si>
  <si>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</si>
  <si>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</si>
  <si>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</si>
  <si>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</si>
  <si>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</si>
  <si>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</si>
  <si>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</si>
  <si>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</si>
  <si>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</si>
  <si>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</si>
  <si>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</si>
  <si>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</si>
  <si>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</si>
  <si>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</si>
  <si>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</si>
  <si>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</si>
  <si>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</si>
  <si>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</si>
  <si>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</si>
  <si>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</si>
  <si>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</si>
  <si>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</si>
  <si>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</si>
  <si>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</si>
  <si>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</si>
  <si>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</si>
  <si>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</si>
  <si>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</si>
  <si>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</si>
  <si>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</si>
  <si>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</si>
  <si>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</si>
  <si>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</si>
  <si>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</si>
  <si>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</si>
  <si>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</si>
  <si>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</si>
  <si>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</si>
  <si>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</si>
  <si>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</si>
  <si>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</si>
  <si>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</si>
  <si>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</si>
  <si>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</si>
  <si>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</si>
  <si>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</si>
  <si>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</si>
  <si>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</si>
  <si>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</si>
  <si>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</si>
  <si>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</si>
  <si>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</si>
  <si>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</si>
  <si>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</si>
  <si>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</si>
  <si>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</si>
  <si>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</si>
  <si>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</si>
  <si>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</si>
  <si>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</si>
  <si>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</si>
  <si>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</si>
  <si>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</si>
  <si>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</si>
  <si>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</si>
  <si>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</si>
  <si>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</si>
  <si>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</si>
  <si>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</si>
  <si>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</si>
  <si>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</si>
  <si>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</si>
  <si>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</si>
  <si>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</si>
  <si>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</si>
  <si>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</si>
  <si>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</si>
  <si>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</si>
  <si>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</si>
  <si>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</si>
  <si>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</si>
  <si>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</si>
  <si>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</si>
  <si>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</si>
  <si>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</si>
  <si>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</si>
  <si>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</si>
  <si>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</si>
  <si>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</si>
  <si>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</si>
  <si>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</si>
  <si>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</si>
  <si>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</si>
  <si>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</si>
  <si>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</si>
  <si>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</si>
  <si>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</si>
  <si>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</si>
  <si>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</si>
  <si>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</si>
  <si>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</si>
  <si>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</si>
  <si>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</si>
  <si>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</si>
  <si>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</si>
  <si>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</si>
  <si>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</si>
  <si>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</si>
  <si>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</si>
  <si>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</si>
  <si>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</si>
  <si>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</si>
  <si>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</si>
  <si>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</si>
  <si>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</si>
  <si>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</si>
  <si>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</si>
  <si>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</si>
  <si>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</si>
  <si>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</si>
  <si>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</si>
  <si>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</si>
  <si>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</si>
  <si>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</si>
  <si>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</si>
  <si>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</si>
  <si>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</si>
  <si>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</si>
  <si>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</si>
  <si>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</si>
  <si>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</si>
  <si>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</si>
  <si>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</si>
  <si>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</si>
  <si>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</si>
  <si>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</si>
  <si>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</si>
  <si>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</si>
  <si>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</si>
  <si>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</si>
  <si>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</si>
  <si>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</si>
  <si>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</si>
  <si>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</si>
  <si>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</si>
  <si>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</si>
  <si>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</si>
  <si>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</si>
  <si>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</si>
  <si>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</si>
  <si>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</si>
  <si>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</si>
  <si>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</si>
  <si>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</si>
  <si>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</si>
  <si>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</si>
  <si>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</si>
  <si>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</si>
  <si>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</si>
  <si>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</si>
  <si>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</si>
  <si>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</si>
  <si>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</si>
  <si>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</si>
  <si>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</si>
  <si>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</si>
  <si>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</si>
  <si>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</si>
  <si>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</si>
  <si>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</si>
  <si>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</si>
  <si>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</si>
  <si>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</si>
  <si>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</si>
  <si>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</si>
  <si>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</si>
  <si>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</si>
  <si>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</si>
  <si>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</si>
  <si>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</si>
  <si>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</si>
  <si>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</si>
  <si>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</si>
  <si>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</si>
  <si>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</si>
  <si>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</si>
  <si>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</si>
  <si>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</si>
  <si>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</si>
  <si>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</si>
  <si>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</si>
  <si>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</si>
  <si>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</si>
  <si>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</si>
  <si>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</si>
  <si>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</si>
  <si>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</si>
  <si>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</si>
  <si>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</si>
  <si>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</si>
  <si>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</si>
  <si>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</si>
  <si>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</si>
  <si>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</si>
  <si>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</si>
  <si>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</si>
  <si>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</si>
  <si>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</si>
  <si>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</si>
  <si>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</si>
  <si>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</si>
  <si>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</si>
  <si>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</si>
  <si>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</si>
  <si>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</si>
  <si>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</si>
  <si>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</si>
  <si>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</si>
  <si>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</si>
  <si>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</si>
  <si>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</si>
  <si>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</si>
  <si>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</si>
  <si>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</si>
  <si>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</si>
  <si>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</si>
  <si>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</si>
  <si>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</si>
  <si>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</si>
  <si>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</si>
  <si>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</si>
  <si>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</si>
  <si>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</si>
  <si>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</si>
  <si>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</si>
  <si>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</si>
  <si>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</si>
  <si>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</si>
  <si>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</si>
  <si>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</si>
  <si>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</si>
  <si>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</si>
  <si>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</si>
  <si>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</si>
  <si>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</si>
  <si>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</si>
  <si>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</si>
  <si>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</si>
  <si>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</si>
  <si>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</si>
  <si>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</si>
  <si>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</si>
  <si>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</si>
  <si>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</si>
  <si>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</si>
  <si>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</si>
  <si>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</si>
  <si>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</si>
  <si>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</si>
  <si>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</si>
  <si>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</si>
  <si>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</si>
  <si>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</si>
  <si>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</si>
  <si>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</si>
  <si>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</si>
  <si>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</si>
  <si>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</si>
  <si>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</si>
  <si>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</si>
  <si>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</si>
  <si>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</si>
  <si>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</si>
  <si>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</si>
  <si>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</si>
  <si>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</si>
  <si>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</si>
  <si>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</si>
  <si>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</si>
  <si>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</si>
  <si>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</si>
  <si>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</si>
  <si>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</si>
  <si>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</si>
  <si>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</si>
  <si>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</si>
  <si>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</si>
  <si>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</si>
  <si>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</si>
  <si>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</si>
  <si>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</si>
  <si>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</si>
  <si>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</si>
  <si>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</si>
  <si>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</si>
  <si>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</si>
  <si>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</si>
  <si>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</si>
  <si>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</si>
  <si>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</si>
  <si>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</si>
  <si>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</si>
  <si>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</si>
  <si>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</si>
  <si>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</si>
  <si>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</si>
  <si>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</si>
  <si>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</si>
  <si>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</si>
  <si>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</si>
  <si>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</si>
  <si>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</si>
  <si>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</si>
  <si>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</si>
  <si>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</si>
  <si>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</si>
  <si>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</si>
  <si>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</si>
  <si>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</si>
  <si>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</si>
  <si>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</si>
  <si>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</si>
  <si>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</si>
  <si>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</si>
  <si>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</si>
  <si>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</si>
  <si>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</si>
  <si>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</si>
  <si>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</si>
  <si>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</si>
  <si>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</si>
  <si>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</si>
  <si>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</si>
  <si>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</si>
  <si>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</si>
  <si>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</si>
  <si>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</si>
  <si>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</si>
  <si>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</si>
  <si>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</si>
  <si>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</si>
  <si>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</si>
  <si>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</si>
  <si>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</si>
  <si>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</si>
  <si>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</si>
  <si>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</si>
  <si>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</si>
  <si>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</si>
  <si>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</si>
  <si>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</si>
  <si>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</si>
  <si>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</si>
  <si>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</si>
  <si>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</si>
  <si>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</si>
  <si>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</si>
  <si>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</si>
  <si>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</si>
  <si>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</si>
  <si>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</si>
  <si>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</si>
  <si>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</si>
  <si>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</si>
  <si>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</si>
  <si>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</si>
  <si>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</si>
  <si>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</si>
  <si>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</si>
  <si>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</si>
  <si>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</si>
  <si>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</si>
  <si>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</si>
  <si>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</si>
  <si>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</si>
  <si>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</si>
  <si>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</si>
  <si>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</si>
  <si>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</si>
  <si>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</si>
  <si>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</si>
  <si>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</si>
  <si>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</si>
  <si>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</si>
  <si>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</si>
  <si>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</si>
  <si>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</si>
  <si>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</si>
  <si>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</si>
  <si>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</si>
  <si>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</si>
  <si>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</si>
  <si>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</si>
  <si>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</si>
  <si>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</si>
  <si>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</si>
  <si>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</si>
  <si>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</si>
  <si>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</si>
  <si>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</si>
  <si>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</si>
  <si>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</si>
  <si>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</si>
  <si>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</si>
  <si>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</si>
  <si>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</si>
  <si>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</si>
  <si>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</si>
  <si>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</si>
  <si>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</si>
  <si>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</si>
  <si>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</si>
  <si>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</si>
  <si>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</si>
  <si>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</si>
  <si>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</si>
  <si>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</si>
  <si>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</si>
  <si>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</si>
  <si>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</si>
  <si>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</si>
  <si>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</si>
  <si>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</si>
  <si>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</si>
  <si>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</si>
  <si>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</si>
  <si>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</si>
  <si>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</si>
  <si>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</si>
  <si>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</si>
  <si>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</si>
  <si>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</si>
  <si>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</si>
  <si>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</si>
  <si>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</si>
  <si>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</si>
  <si>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</si>
  <si>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</si>
  <si>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</si>
  <si>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</si>
  <si>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</si>
  <si>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</si>
  <si>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</si>
  <si>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</si>
  <si>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</si>
  <si>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</si>
  <si>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</si>
  <si>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</si>
  <si>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</si>
  <si>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</si>
  <si>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</si>
  <si>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</si>
  <si>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</si>
  <si>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</si>
  <si>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</si>
  <si>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</si>
  <si>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</si>
  <si>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</si>
  <si>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</si>
  <si>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</si>
  <si>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</si>
  <si>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</si>
  <si>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</si>
  <si>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</si>
  <si>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</si>
  <si>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</si>
  <si>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</si>
  <si>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</si>
  <si>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</si>
  <si>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</si>
  <si>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</si>
  <si>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</si>
  <si>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</si>
  <si>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</si>
  <si>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</si>
  <si>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</si>
  <si>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</si>
  <si>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</si>
  <si>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</si>
  <si>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</si>
  <si>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</si>
  <si>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</si>
  <si>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</si>
  <si>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</si>
  <si>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</si>
  <si>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</si>
  <si>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</si>
  <si>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</si>
  <si>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</si>
  <si>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</si>
  <si>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</si>
  <si>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</si>
  <si>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</si>
  <si>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</si>
  <si>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</si>
  <si>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</si>
  <si>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</si>
  <si>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</si>
  <si>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</si>
  <si>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</si>
  <si>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</si>
  <si>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</si>
  <si>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</si>
  <si>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</si>
  <si>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</si>
  <si>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</si>
  <si>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</si>
  <si>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</si>
  <si>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</si>
  <si>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</si>
  <si>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</si>
  <si>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</si>
  <si>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</si>
  <si>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</si>
  <si>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</si>
  <si>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</si>
  <si>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</si>
  <si>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</si>
  <si>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</si>
  <si>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</si>
  <si>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</si>
  <si>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</si>
  <si>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</si>
  <si>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</si>
  <si>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</si>
  <si>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</si>
  <si>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</si>
  <si>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</si>
  <si>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</si>
  <si>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</si>
  <si>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</si>
  <si>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</si>
  <si>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</si>
  <si>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</si>
  <si>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</si>
  <si>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</si>
  <si>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</si>
  <si>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</si>
  <si>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</si>
  <si>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</si>
  <si>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</si>
  <si>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</si>
  <si>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</si>
  <si>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</si>
  <si>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</si>
  <si>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</si>
  <si>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</si>
  <si>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</si>
  <si>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</si>
  <si>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</si>
  <si>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</si>
  <si>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</si>
  <si>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</si>
  <si>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</si>
  <si>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</si>
  <si>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</si>
  <si>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</si>
  <si>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</si>
  <si>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</si>
  <si>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</si>
  <si>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</si>
  <si>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</si>
  <si>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</si>
  <si>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</si>
  <si>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</si>
  <si>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</si>
  <si>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</si>
  <si>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</si>
  <si>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</si>
  <si>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</si>
  <si>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</si>
  <si>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</si>
  <si>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</si>
  <si>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</si>
  <si>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</si>
  <si>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</si>
  <si>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</si>
  <si>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</si>
  <si>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</si>
  <si>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</si>
  <si>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</si>
  <si>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</si>
  <si>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</si>
  <si>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</si>
  <si>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</si>
  <si>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</si>
  <si>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</si>
  <si>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</si>
  <si>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</si>
  <si>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</si>
  <si>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</si>
  <si>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</si>
  <si>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</si>
  <si>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</si>
  <si>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</si>
  <si>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</si>
  <si>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</si>
  <si>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</si>
  <si>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</si>
  <si>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</si>
  <si>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</si>
  <si>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</si>
  <si>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</si>
  <si>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</si>
  <si>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</si>
  <si>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</si>
  <si>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</si>
  <si>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</si>
  <si>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</si>
  <si>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</si>
  <si>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</si>
  <si>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</si>
  <si>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</si>
  <si>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</si>
  <si>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</si>
  <si>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</si>
  <si>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</si>
  <si>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</si>
  <si>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</si>
  <si>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</si>
  <si>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</si>
  <si>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</si>
  <si>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</si>
  <si>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</si>
  <si>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</si>
  <si>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</si>
  <si>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</si>
  <si>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</si>
  <si>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</si>
  <si>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</si>
  <si>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</si>
  <si>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</si>
  <si>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</si>
  <si>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</si>
  <si>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</si>
  <si>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</si>
  <si>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</si>
  <si>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</si>
  <si>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</si>
  <si>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</si>
  <si>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</si>
  <si>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</si>
  <si>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</si>
  <si>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</si>
  <si>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</si>
  <si>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</si>
  <si>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</si>
  <si>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</si>
  <si>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</si>
  <si>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</si>
  <si>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</si>
  <si>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</si>
  <si>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</si>
  <si>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</si>
  <si>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</si>
  <si>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</si>
  <si>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</si>
  <si>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</si>
  <si>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</si>
  <si>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</si>
  <si>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</si>
  <si>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</si>
  <si>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</si>
  <si>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</si>
  <si>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</si>
  <si>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</si>
  <si>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</si>
  <si>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</si>
  <si>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</si>
  <si>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</si>
  <si>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</si>
  <si>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</si>
  <si>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</si>
  <si>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</si>
  <si>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</si>
  <si>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</si>
  <si>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</si>
  <si>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</si>
  <si>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</si>
  <si>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</si>
  <si>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</si>
  <si>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</si>
  <si>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</si>
  <si>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</si>
  <si>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</si>
  <si>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</si>
  <si>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</si>
  <si>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</si>
  <si>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</si>
  <si>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</si>
  <si>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</si>
  <si>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</si>
  <si>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</si>
  <si>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</si>
  <si>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</si>
  <si>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</si>
  <si>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</si>
  <si>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</si>
  <si>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</si>
  <si>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</si>
  <si>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</si>
  <si>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</si>
  <si>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</si>
  <si>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</si>
  <si>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</si>
  <si>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</si>
  <si>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</si>
  <si>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</si>
  <si>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</si>
  <si>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</si>
  <si>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</si>
  <si>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</si>
  <si>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</si>
  <si>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</si>
  <si>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</si>
  <si>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</si>
  <si>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</si>
  <si>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</si>
  <si>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</si>
  <si>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</si>
  <si>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</si>
  <si>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</si>
  <si>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</si>
  <si>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</si>
  <si>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</si>
  <si>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</si>
  <si>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</si>
  <si>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</si>
  <si>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</si>
  <si>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</si>
  <si>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</si>
  <si>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</si>
  <si>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</si>
  <si>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</si>
  <si>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</si>
  <si>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</si>
  <si>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</si>
  <si>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</si>
  <si>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</si>
  <si>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</si>
  <si>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</si>
  <si>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</si>
  <si>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</si>
  <si>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</si>
  <si>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</si>
  <si>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</si>
  <si>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</si>
  <si>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</si>
  <si>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</si>
  <si>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</si>
  <si>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</si>
  <si>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</si>
  <si>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</si>
  <si>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</si>
  <si>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</si>
  <si>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</si>
  <si>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</si>
  <si>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</si>
  <si>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</si>
  <si>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</si>
  <si>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</si>
  <si>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</si>
  <si>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</si>
  <si>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</si>
  <si>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</si>
  <si>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</si>
  <si>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</si>
  <si>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</si>
  <si>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</si>
  <si>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</si>
  <si>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</si>
  <si>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</si>
  <si>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</si>
  <si>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</si>
  <si>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</si>
  <si>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</si>
  <si>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</si>
  <si>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</si>
  <si>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</si>
  <si>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</si>
  <si>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</si>
  <si>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</si>
  <si>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</si>
  <si>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</si>
  <si>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</si>
  <si>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</si>
  <si>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</si>
  <si>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</si>
  <si>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</si>
  <si>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</si>
  <si>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</si>
  <si>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</si>
  <si>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</si>
  <si>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</si>
  <si>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</si>
  <si>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</si>
  <si>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</si>
  <si>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</si>
  <si>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</si>
  <si>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</si>
  <si>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</si>
  <si>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</si>
  <si>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</si>
  <si>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</si>
  <si>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</si>
  <si>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</si>
  <si>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</si>
  <si>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</si>
  <si>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</si>
  <si>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</si>
  <si>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</si>
  <si>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</si>
  <si>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</si>
  <si>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</si>
  <si>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</si>
  <si>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</si>
  <si>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</si>
  <si>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</si>
  <si>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</si>
  <si>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</si>
  <si>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</si>
  <si>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</si>
  <si>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</si>
  <si>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</si>
  <si>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</si>
  <si>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</si>
  <si>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</si>
  <si>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</si>
  <si>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</si>
  <si>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</si>
  <si>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</si>
  <si>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</si>
  <si>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</si>
  <si>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</si>
  <si>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</si>
  <si>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</si>
  <si>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</si>
  <si>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</si>
  <si>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</si>
  <si>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</si>
  <si>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</si>
  <si>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</si>
  <si>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</si>
  <si>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</si>
  <si>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</si>
  <si>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</si>
  <si>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</si>
  <si>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</si>
  <si>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</si>
  <si>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</si>
  <si>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</si>
  <si>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</si>
  <si>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</si>
  <si>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</si>
  <si>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</si>
  <si>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</si>
  <si>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</si>
  <si>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</si>
  <si>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</si>
  <si>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</si>
  <si>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</si>
  <si>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</si>
  <si>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</si>
  <si>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</si>
  <si>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</si>
  <si>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</si>
  <si>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</si>
  <si>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</si>
  <si>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</si>
  <si>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</si>
  <si>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</si>
  <si>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</si>
  <si>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</si>
  <si>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</si>
  <si>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</si>
  <si>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</si>
  <si>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</si>
  <si>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</si>
  <si>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</si>
  <si>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</si>
  <si>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</si>
  <si>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</si>
  <si>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</si>
  <si>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</si>
  <si>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</si>
  <si>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</si>
  <si>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</si>
  <si>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</si>
  <si>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</si>
  <si>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</si>
  <si>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</si>
  <si>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</si>
  <si>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</si>
  <si>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</si>
  <si>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</si>
  <si>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</si>
  <si>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</si>
  <si>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</si>
  <si>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</si>
  <si>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</si>
  <si>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</si>
  <si>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</si>
  <si>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</si>
  <si>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</si>
  <si>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</si>
  <si>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</si>
  <si>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</si>
  <si>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</si>
  <si>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</si>
  <si>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</si>
  <si>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</si>
  <si>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</si>
  <si>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</si>
  <si>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</si>
  <si>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</si>
  <si>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</si>
  <si>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</si>
  <si>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</si>
  <si>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</si>
  <si>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</si>
  <si>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</si>
  <si>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</si>
  <si>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</si>
  <si>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</si>
  <si>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</si>
  <si>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</si>
  <si>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</si>
  <si>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</si>
  <si>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</si>
  <si>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</si>
  <si>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</si>
  <si>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</si>
  <si>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</si>
  <si>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</si>
  <si>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</si>
  <si>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</si>
  <si>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</si>
  <si>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</si>
  <si>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</si>
  <si>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</si>
  <si>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</si>
  <si>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</si>
  <si>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</si>
  <si>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</si>
  <si>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</si>
  <si>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</si>
  <si>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</si>
  <si>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</si>
  <si>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</si>
  <si>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</si>
  <si>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</si>
  <si>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</si>
  <si>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</si>
  <si>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</si>
  <si>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</si>
  <si>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</si>
  <si>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</si>
  <si>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</si>
  <si>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</si>
  <si>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</si>
  <si>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</si>
  <si>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</si>
  <si>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</si>
  <si>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</si>
  <si>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</si>
  <si>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</si>
  <si>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</si>
  <si>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</si>
  <si>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</si>
  <si>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</si>
  <si>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</si>
  <si>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</si>
  <si>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</si>
  <si>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</si>
  <si>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</si>
  <si>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</si>
  <si>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</si>
  <si>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</si>
  <si>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</si>
  <si>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</si>
  <si>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</si>
  <si>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</si>
  <si>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</si>
  <si>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</si>
  <si>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</si>
  <si>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</si>
  <si>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</si>
  <si>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</si>
  <si>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</si>
  <si>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</si>
  <si>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</si>
  <si>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</si>
  <si>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</si>
  <si>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</si>
  <si>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</si>
  <si>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</si>
  <si>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</si>
  <si>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</si>
  <si>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</si>
  <si>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</si>
  <si>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</si>
  <si>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</si>
  <si>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</si>
  <si>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</si>
  <si>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</si>
  <si>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</si>
  <si>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</si>
  <si>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</si>
  <si>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</si>
  <si>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</si>
  <si>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</si>
  <si>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</si>
  <si>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</si>
  <si>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</si>
  <si>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</si>
  <si>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</si>
  <si>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</si>
  <si>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</si>
  <si>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</si>
  <si>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</si>
  <si>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</si>
  <si>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</si>
  <si>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</si>
  <si>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</si>
  <si>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</si>
  <si>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</si>
  <si>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</si>
  <si>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</si>
  <si>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</si>
  <si>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</si>
  <si>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</si>
  <si>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</si>
  <si>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</si>
  <si>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</si>
  <si>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</si>
  <si>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</si>
  <si>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</si>
  <si>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</si>
  <si>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</si>
  <si>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</si>
  <si>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</si>
  <si>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</si>
  <si>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</si>
  <si>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</si>
  <si>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</si>
  <si>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</si>
  <si>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</si>
  <si>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</si>
  <si>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</si>
  <si>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</si>
  <si>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</si>
  <si>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</si>
  <si>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</si>
  <si>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</si>
  <si>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</si>
  <si>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</si>
  <si>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</si>
  <si>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</si>
  <si>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</si>
  <si>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</si>
  <si>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</si>
  <si>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</si>
  <si>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</si>
  <si>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</si>
  <si>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</si>
  <si>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</si>
  <si>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</si>
  <si>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</si>
  <si>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</si>
  <si>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</si>
  <si>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</si>
  <si>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</si>
  <si>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</si>
  <si>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</si>
  <si>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</si>
  <si>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</si>
  <si>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</si>
  <si>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</si>
  <si>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</si>
  <si>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</si>
  <si>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</si>
  <si>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</si>
  <si>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</si>
  <si>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</si>
  <si>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</si>
  <si>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</si>
  <si>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</si>
  <si>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</si>
  <si>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</si>
  <si>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</si>
  <si>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</si>
  <si>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</si>
  <si>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</si>
  <si>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</si>
  <si>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</si>
  <si>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</si>
  <si>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</si>
  <si>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</si>
  <si>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</si>
  <si>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</si>
  <si>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</si>
  <si>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</si>
  <si>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</si>
  <si>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</si>
  <si>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</si>
  <si>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</si>
  <si>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</si>
  <si>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</si>
  <si>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</si>
  <si>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</si>
  <si>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</si>
  <si>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</si>
  <si>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</si>
  <si>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</si>
  <si>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</si>
  <si>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</si>
  <si>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</si>
  <si>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</si>
  <si>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</si>
  <si>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</si>
  <si>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</si>
  <si>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</si>
  <si>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</si>
  <si>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</si>
  <si>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</si>
  <si>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</si>
  <si>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</si>
  <si>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</si>
  <si>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</si>
  <si>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</si>
  <si>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</si>
  <si>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</si>
  <si>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</si>
  <si>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</si>
  <si>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</si>
  <si>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</si>
  <si>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</si>
  <si>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</si>
  <si>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</si>
  <si>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</si>
  <si>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</si>
  <si>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</si>
  <si>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</si>
  <si>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</si>
  <si>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</si>
  <si>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</si>
  <si>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</si>
  <si>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</si>
  <si>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</si>
  <si>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</si>
  <si>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</si>
  <si>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</si>
  <si>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</si>
  <si>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</si>
  <si>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</si>
  <si>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</si>
  <si>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</si>
  <si>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</si>
  <si>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</si>
  <si>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</si>
  <si>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</si>
  <si>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</si>
  <si>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</si>
  <si>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</si>
  <si>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</si>
  <si>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</si>
  <si>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</si>
  <si>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</si>
  <si>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</si>
  <si>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</si>
  <si>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</si>
  <si>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</si>
  <si>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</si>
  <si>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</si>
  <si>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</si>
  <si>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</si>
  <si>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</si>
  <si>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</si>
  <si>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</si>
  <si>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</si>
  <si>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</si>
  <si>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</si>
  <si>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</si>
  <si>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</si>
  <si>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</si>
  <si>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</si>
  <si>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</si>
  <si>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</si>
  <si>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</si>
  <si>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</si>
  <si>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</si>
  <si>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</si>
  <si>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</si>
  <si>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</si>
  <si>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</si>
  <si>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</si>
  <si>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</si>
  <si>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</si>
  <si>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</si>
  <si>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</si>
  <si>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</si>
  <si>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</si>
  <si>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</si>
  <si>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</si>
  <si>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</si>
  <si>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</si>
  <si>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</si>
  <si>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</si>
  <si>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</si>
  <si>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</si>
  <si>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</si>
  <si>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</si>
  <si>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</si>
  <si>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</si>
  <si>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</si>
  <si>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</si>
  <si>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</si>
  <si>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</si>
  <si>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</si>
  <si>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</si>
  <si>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</si>
  <si>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</si>
  <si>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</si>
  <si>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</si>
  <si>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</si>
  <si>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</si>
  <si>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</si>
  <si>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</si>
  <si>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</si>
  <si>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</si>
  <si>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</si>
  <si>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</si>
  <si>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</si>
  <si>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</si>
  <si>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</si>
  <si>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</si>
  <si>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</si>
  <si>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</si>
  <si>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</si>
  <si>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</si>
  <si>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</si>
  <si>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</si>
  <si>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</si>
  <si>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</si>
  <si>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</si>
  <si>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</si>
  <si>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</si>
  <si>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</si>
  <si>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</si>
  <si>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</si>
  <si>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</si>
  <si>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</si>
  <si>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</si>
  <si>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</si>
  <si>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</si>
  <si>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</si>
  <si>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</si>
  <si>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</si>
  <si>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</si>
  <si>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</si>
  <si>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</si>
  <si>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</si>
  <si>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</si>
  <si>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</si>
  <si>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</si>
  <si>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</si>
  <si>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</si>
  <si>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</si>
  <si>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</si>
  <si>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</si>
  <si>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</si>
  <si>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</si>
  <si>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</si>
  <si>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</si>
  <si>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</si>
  <si>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</si>
  <si>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</si>
  <si>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</si>
  <si>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</si>
  <si>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</si>
  <si>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</si>
  <si>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</si>
  <si>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</si>
  <si>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</si>
  <si>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</si>
  <si>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</si>
  <si>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</si>
  <si>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</si>
  <si>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</si>
  <si>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</si>
  <si>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</si>
  <si>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</si>
  <si>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</si>
  <si>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</si>
  <si>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</si>
  <si>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</si>
  <si>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</si>
  <si>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</si>
  <si>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</si>
  <si>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</si>
  <si>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</si>
  <si>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</si>
  <si>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</si>
  <si>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</si>
  <si>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</si>
  <si>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</si>
  <si>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</si>
  <si>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</si>
  <si>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</si>
  <si>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</si>
  <si>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</si>
  <si>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</si>
  <si>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</si>
  <si>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</si>
  <si>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</si>
  <si>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</si>
  <si>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</si>
  <si>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</si>
  <si>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</si>
  <si>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</si>
  <si>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</si>
  <si>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</si>
  <si>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</si>
  <si>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</si>
  <si>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</si>
  <si>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</si>
  <si>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</si>
  <si>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</si>
  <si>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</si>
  <si>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</si>
  <si>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</si>
  <si>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</si>
  <si>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</si>
  <si>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</si>
  <si>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</si>
  <si>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</si>
  <si>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</si>
  <si>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</si>
  <si>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</si>
  <si>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</si>
  <si>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</si>
  <si>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</si>
  <si>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</si>
  <si>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</si>
  <si>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</si>
  <si>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</si>
  <si>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</si>
  <si>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</si>
  <si>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</si>
  <si>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</si>
  <si>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</si>
  <si>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</si>
  <si>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</si>
  <si>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</si>
  <si>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</si>
  <si>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</si>
  <si>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</si>
  <si>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</si>
  <si>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</si>
  <si>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</si>
  <si>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</si>
  <si>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</si>
  <si>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</si>
  <si>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</si>
  <si>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</si>
  <si>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</si>
  <si>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</si>
  <si>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</si>
  <si>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</si>
  <si>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</si>
  <si>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</si>
  <si>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</si>
  <si>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</si>
  <si>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</si>
  <si>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</si>
  <si>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</si>
  <si>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</si>
  <si>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</si>
  <si>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</si>
  <si>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</si>
  <si>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</si>
  <si>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</si>
  <si>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</si>
  <si>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</si>
  <si>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</si>
  <si>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</si>
  <si>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</si>
  <si>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</si>
  <si>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</si>
  <si>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</si>
  <si>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</si>
  <si>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</si>
  <si>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</si>
  <si>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</si>
  <si>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</si>
  <si>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</si>
  <si>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</si>
  <si>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</si>
  <si>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</si>
  <si>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</si>
  <si>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</si>
  <si>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</si>
  <si>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</si>
  <si>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</si>
  <si>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</si>
  <si>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</si>
  <si>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</si>
  <si>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</si>
  <si>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</si>
  <si>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</si>
  <si>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</si>
  <si>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</si>
  <si>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</si>
  <si>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</si>
  <si>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</si>
  <si>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</si>
  <si>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</si>
  <si>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</si>
  <si>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</si>
  <si>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</si>
  <si>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</si>
  <si>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</si>
  <si>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</si>
  <si>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</si>
  <si>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</si>
  <si>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</si>
  <si>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</si>
  <si>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</si>
  <si>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</si>
  <si>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</si>
  <si>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</si>
  <si>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</si>
  <si>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</si>
  <si>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</si>
  <si>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</si>
  <si>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</si>
  <si>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</si>
  <si>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</si>
  <si>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</si>
  <si>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</si>
  <si>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</si>
  <si>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</si>
  <si>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</si>
  <si>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</si>
  <si>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</si>
  <si>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</si>
  <si>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</si>
  <si>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</si>
  <si>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</si>
  <si>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</si>
  <si>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</si>
  <si>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</si>
  <si>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</si>
  <si>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</si>
  <si>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</si>
  <si>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</si>
  <si>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</si>
  <si>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</si>
  <si>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</si>
  <si>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</si>
  <si>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</si>
  <si>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</si>
  <si>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</si>
  <si>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</si>
  <si>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</si>
  <si>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</si>
  <si>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</si>
  <si>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</si>
  <si>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</si>
  <si>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</si>
  <si>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</si>
  <si>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</si>
  <si>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</si>
  <si>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</si>
  <si>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</si>
  <si>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</si>
  <si>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</si>
  <si>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</si>
  <si>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</si>
  <si>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</si>
  <si>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</si>
  <si>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</si>
  <si>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</si>
  <si>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</si>
  <si>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</si>
  <si>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</si>
  <si>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</si>
  <si>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</si>
  <si>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</si>
  <si>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</si>
  <si>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</si>
  <si>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</si>
  <si>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</si>
  <si>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</si>
  <si>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</si>
  <si>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</si>
  <si>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</si>
  <si>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</si>
  <si>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</si>
  <si>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</si>
  <si>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</si>
  <si>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</si>
  <si>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</si>
  <si>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</si>
  <si>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</si>
  <si>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</si>
  <si>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</si>
  <si>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</si>
  <si>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</si>
  <si>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</si>
  <si>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</si>
  <si>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</si>
  <si>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</si>
  <si>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</si>
  <si>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</si>
  <si>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</si>
  <si>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</si>
  <si>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</si>
  <si>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</si>
  <si>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</si>
  <si>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</si>
  <si>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</si>
  <si>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</si>
  <si>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</si>
  <si>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</si>
  <si>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</si>
  <si>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</si>
  <si>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</si>
  <si>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</si>
  <si>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</si>
  <si>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</si>
  <si>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</si>
  <si>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</si>
  <si>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</si>
  <si>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</si>
  <si>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</si>
  <si>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</si>
  <si>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</si>
  <si>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</si>
  <si>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</si>
  <si>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</si>
  <si>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</si>
  <si>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</si>
  <si>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</si>
  <si>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</si>
  <si>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</si>
  <si>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</si>
  <si>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</si>
  <si>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</si>
  <si>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</si>
  <si>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</si>
  <si>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</si>
  <si>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</si>
  <si>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</si>
  <si>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</si>
  <si>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</si>
  <si>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</si>
  <si>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</si>
  <si>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</si>
  <si>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</si>
  <si>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</si>
  <si>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</si>
  <si>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</si>
  <si>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</si>
  <si>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</si>
  <si>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</si>
  <si>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</si>
  <si>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</si>
  <si>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</si>
  <si>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</si>
  <si>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</si>
  <si>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</si>
  <si>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</si>
  <si>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</si>
  <si>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</si>
  <si>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</si>
  <si>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</si>
  <si>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</si>
  <si>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</si>
  <si>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</si>
  <si>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</si>
  <si>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</si>
  <si>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</si>
  <si>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</si>
  <si>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</si>
  <si>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</si>
  <si>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</si>
  <si>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</si>
  <si>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</si>
  <si>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</si>
  <si>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</si>
  <si>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</si>
  <si>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</si>
  <si>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</si>
  <si>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</si>
  <si>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</si>
  <si>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</si>
  <si>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</si>
  <si>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</si>
  <si>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</si>
  <si>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</si>
  <si>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</si>
  <si>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</si>
  <si>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</si>
  <si>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</si>
  <si>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</si>
  <si>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</si>
  <si>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</si>
  <si>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</si>
  <si>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</si>
  <si>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</si>
  <si>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</si>
  <si>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</si>
  <si>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</si>
  <si>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</si>
  <si>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</si>
  <si>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</si>
  <si>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</si>
  <si>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</si>
  <si>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</si>
  <si>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</si>
  <si>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</si>
  <si>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</si>
  <si>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</si>
  <si>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</si>
  <si>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</si>
  <si>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</si>
  <si>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</si>
  <si>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</si>
  <si>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</si>
  <si>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</si>
  <si>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</si>
  <si>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</si>
  <si>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</si>
  <si>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</si>
  <si>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</si>
  <si>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</si>
  <si>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</si>
  <si>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</si>
  <si>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</si>
  <si>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</si>
  <si>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</si>
  <si>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</si>
  <si>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</si>
  <si>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</si>
  <si>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</si>
  <si>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</si>
  <si>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</si>
  <si>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</si>
  <si>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</si>
  <si>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</si>
  <si>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</si>
  <si>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</si>
  <si>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</si>
  <si>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</si>
  <si>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</si>
  <si>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</si>
  <si>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</si>
  <si>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</si>
  <si>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</si>
  <si>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</si>
  <si>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</si>
  <si>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</si>
  <si>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</si>
  <si>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</si>
  <si>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</si>
  <si>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</si>
  <si>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</si>
  <si>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</si>
  <si>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</si>
  <si>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</si>
  <si>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</si>
  <si>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</si>
  <si>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</si>
  <si>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</si>
  <si>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</si>
  <si>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</si>
  <si>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</si>
  <si>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</si>
  <si>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</si>
  <si>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</si>
  <si>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</si>
  <si>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</si>
  <si>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</si>
  <si>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</si>
  <si>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</si>
  <si>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</si>
  <si>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</si>
  <si>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</si>
  <si>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</si>
  <si>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</si>
  <si>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</si>
  <si>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</si>
  <si>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</si>
  <si>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</si>
  <si>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</si>
  <si>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</si>
  <si>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</si>
  <si>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</si>
  <si>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</si>
  <si>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</si>
  <si>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</si>
  <si>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</si>
  <si>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</si>
  <si>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</si>
  <si>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</si>
  <si>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</si>
  <si>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</si>
  <si>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</si>
  <si>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</si>
  <si>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</si>
  <si>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</si>
  <si>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</si>
  <si>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</si>
  <si>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</si>
  <si>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</si>
  <si>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</si>
  <si>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</si>
  <si>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</si>
  <si>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</si>
  <si>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</si>
  <si>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</si>
  <si>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</si>
  <si>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</si>
  <si>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</si>
  <si>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</si>
  <si>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</si>
  <si>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</si>
  <si>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</si>
  <si>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</si>
  <si>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</si>
  <si>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</si>
  <si>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</si>
  <si>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</si>
  <si>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</si>
  <si>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</si>
  <si>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</si>
  <si>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</si>
  <si>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</si>
  <si>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</si>
  <si>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</si>
  <si>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</si>
  <si>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</si>
  <si>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</si>
  <si>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</si>
  <si>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</si>
  <si>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</si>
  <si>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</si>
  <si>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</si>
  <si>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</si>
  <si>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</si>
  <si>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</si>
  <si>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</si>
  <si>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</si>
  <si>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</si>
  <si>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</si>
  <si>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</si>
  <si>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</si>
  <si>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</si>
  <si>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</si>
  <si>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</si>
  <si>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</si>
  <si>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</si>
  <si>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</si>
  <si>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</si>
  <si>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</si>
  <si>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</si>
  <si>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</si>
  <si>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</si>
  <si>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</si>
  <si>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</si>
  <si>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</si>
  <si>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</si>
  <si>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</si>
  <si>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</si>
  <si>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</si>
  <si>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</si>
  <si>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</si>
  <si>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</si>
  <si>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</si>
  <si>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</si>
  <si>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</si>
  <si>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</si>
  <si>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</si>
  <si>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</si>
  <si>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</si>
  <si>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</si>
  <si>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</si>
  <si>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</si>
  <si>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</si>
  <si>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</si>
  <si>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</si>
  <si>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</si>
  <si>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</si>
  <si>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</si>
  <si>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</si>
  <si>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</si>
  <si>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</si>
  <si>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</si>
  <si>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</si>
  <si>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</si>
  <si>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</si>
  <si>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</si>
  <si>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</si>
  <si>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</si>
  <si>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</si>
  <si>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</si>
  <si>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</si>
  <si>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</si>
  <si>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</si>
  <si>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</si>
  <si>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</si>
  <si>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</si>
  <si>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</si>
  <si>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</si>
  <si>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</si>
  <si>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</si>
  <si>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</si>
  <si>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</si>
  <si>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</si>
  <si>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</si>
  <si>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</si>
  <si>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</si>
  <si>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</si>
  <si>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</si>
  <si>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</si>
  <si>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</si>
  <si>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</si>
  <si>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</si>
  <si>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</si>
  <si>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</si>
  <si>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</si>
  <si>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</si>
  <si>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</si>
  <si>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</si>
  <si>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</si>
  <si>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</si>
  <si>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</si>
  <si>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</si>
  <si>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</si>
  <si>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</si>
  <si>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</si>
  <si>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</si>
  <si>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</si>
  <si>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</si>
  <si>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</si>
  <si>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</si>
  <si>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</si>
  <si>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</si>
  <si>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</si>
  <si>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</si>
  <si>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</si>
  <si>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</si>
  <si>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</si>
  <si>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</si>
  <si>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</si>
  <si>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</si>
  <si>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</si>
  <si>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</si>
  <si>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</si>
  <si>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</si>
  <si>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</si>
  <si>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</si>
  <si>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</si>
  <si>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</si>
  <si>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</si>
  <si>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</si>
  <si>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</si>
  <si>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</si>
  <si>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</si>
  <si>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</si>
  <si>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</si>
  <si>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</si>
  <si>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</si>
  <si>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</si>
  <si>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</si>
  <si>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</si>
  <si>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</si>
  <si>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</si>
  <si>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</si>
  <si>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</si>
  <si>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</si>
  <si>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</si>
  <si>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</si>
  <si>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</si>
  <si>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</si>
  <si>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</si>
  <si>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</si>
  <si>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</si>
  <si>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</si>
  <si>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</si>
  <si>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</si>
  <si>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</si>
  <si>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</si>
  <si>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</si>
  <si>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</si>
  <si>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</si>
  <si>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</si>
  <si>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</si>
  <si>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</si>
  <si>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</si>
  <si>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</si>
  <si>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</si>
  <si>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</si>
  <si>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</si>
  <si>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</si>
  <si>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</si>
  <si>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</si>
  <si>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</si>
  <si>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</si>
  <si>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</si>
  <si>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</si>
  <si>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</si>
  <si>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</si>
  <si>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</si>
  <si>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</si>
  <si>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</si>
  <si>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</si>
  <si>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</si>
  <si>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</si>
  <si>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</si>
  <si>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</si>
  <si>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</si>
  <si>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</si>
  <si>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</si>
  <si>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</si>
  <si>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</si>
  <si>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</si>
  <si>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</si>
  <si>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</si>
  <si>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</si>
  <si>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</si>
  <si>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</si>
  <si>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</si>
  <si>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</si>
  <si>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</si>
  <si>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</si>
  <si>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</si>
  <si>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</si>
  <si>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</si>
  <si>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</si>
  <si>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</si>
  <si>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</si>
  <si>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</si>
  <si>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</si>
  <si>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</si>
  <si>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</si>
  <si>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</si>
  <si>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</si>
  <si>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</si>
  <si>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</si>
  <si>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</si>
  <si>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</si>
  <si>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</si>
  <si>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</si>
  <si>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</si>
  <si>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</si>
  <si>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</si>
  <si>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</si>
  <si>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</si>
  <si>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</si>
  <si>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</si>
  <si>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</si>
  <si>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</si>
  <si>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</si>
  <si>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</si>
  <si>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</si>
  <si>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</si>
  <si>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</si>
  <si>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</si>
  <si>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</si>
  <si>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</si>
  <si>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</si>
  <si>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</si>
  <si>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</si>
  <si>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</si>
  <si>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</si>
  <si>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</si>
  <si>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</si>
  <si>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</si>
  <si>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</si>
  <si>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</si>
  <si>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</si>
  <si>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</si>
  <si>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</si>
  <si>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</si>
  <si>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</si>
  <si>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</si>
  <si>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</si>
  <si>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</si>
  <si>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</si>
  <si>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</si>
  <si>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</si>
  <si>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</si>
  <si>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</si>
  <si>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</si>
  <si>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</si>
  <si>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</si>
  <si>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</si>
  <si>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</si>
  <si>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</si>
  <si>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</si>
  <si>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</si>
  <si>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</si>
  <si>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</si>
  <si>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</si>
  <si>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</si>
  <si>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</si>
  <si>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</si>
  <si>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</si>
  <si>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</si>
  <si>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</si>
  <si>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</si>
  <si>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</si>
  <si>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</si>
  <si>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</si>
  <si>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</si>
  <si>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</si>
  <si>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</si>
  <si>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</si>
  <si>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</si>
  <si>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</si>
  <si>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</si>
  <si>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</si>
  <si>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</si>
  <si>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</si>
  <si>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</si>
  <si>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</si>
  <si>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</si>
  <si>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</si>
  <si>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</si>
  <si>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</si>
  <si>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</si>
  <si>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</si>
  <si>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</si>
  <si>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</si>
  <si>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</si>
  <si>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</si>
  <si>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</si>
  <si>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</si>
  <si>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</si>
  <si>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</si>
  <si>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</si>
  <si>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</si>
  <si>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</si>
  <si>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</si>
  <si>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</si>
  <si>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</si>
  <si>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</si>
  <si>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</si>
  <si>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</si>
  <si>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</si>
  <si>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</si>
  <si>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</si>
  <si>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</si>
  <si>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</si>
  <si>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</si>
  <si>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</si>
  <si>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</si>
  <si>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</si>
  <si>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</si>
  <si>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</si>
  <si>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</si>
  <si>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</si>
  <si>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</si>
  <si>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</si>
  <si>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</si>
  <si>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</si>
  <si>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</si>
  <si>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</si>
  <si>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</si>
  <si>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</si>
  <si>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</si>
  <si>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</si>
  <si>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</si>
  <si>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</si>
  <si>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</si>
  <si>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</si>
  <si>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</si>
  <si>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</si>
  <si>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</si>
  <si>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</si>
  <si>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</si>
  <si>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</si>
  <si>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</si>
  <si>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</si>
  <si>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</si>
  <si>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</si>
  <si>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</si>
  <si>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</si>
  <si>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</si>
  <si>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</si>
  <si>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</si>
  <si>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</si>
  <si>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</si>
  <si>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</si>
  <si>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</si>
  <si>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</si>
  <si>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</si>
  <si>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</si>
  <si>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</si>
  <si>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</si>
  <si>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</si>
  <si>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</si>
  <si>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</si>
  <si>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</si>
  <si>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</si>
  <si>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</si>
  <si>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</si>
  <si>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</si>
  <si>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</si>
  <si>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</si>
  <si>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</si>
  <si>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</si>
  <si>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</si>
  <si>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</si>
  <si>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</si>
  <si>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</si>
  <si>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</si>
  <si>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</si>
  <si>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</si>
  <si>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</si>
  <si>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</si>
  <si>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</si>
  <si>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</si>
  <si>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</si>
  <si>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</si>
  <si>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</si>
  <si>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</si>
  <si>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</si>
  <si>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</si>
  <si>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</si>
  <si>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</si>
  <si>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</si>
  <si>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</si>
  <si>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</si>
  <si>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</si>
  <si>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</si>
  <si>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</si>
  <si>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</si>
  <si>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</si>
  <si>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</si>
  <si>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</si>
  <si>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</si>
  <si>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</si>
  <si>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</si>
  <si>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</si>
  <si>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</si>
  <si>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</si>
  <si>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</si>
  <si>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</si>
  <si>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</si>
  <si>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</si>
  <si>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</si>
  <si>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</si>
  <si>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</si>
  <si>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</si>
  <si>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</si>
  <si>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</si>
  <si>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</si>
  <si>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</si>
  <si>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</si>
  <si>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</si>
  <si>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</si>
  <si>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</si>
  <si>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</si>
  <si>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</si>
  <si>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</si>
  <si>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</si>
  <si>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</si>
  <si>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</si>
  <si>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</si>
  <si>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</si>
  <si>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</si>
  <si>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</si>
  <si>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</si>
  <si>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</si>
  <si>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</si>
  <si>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</si>
  <si>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</si>
  <si>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</si>
  <si>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</si>
  <si>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</si>
  <si>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</si>
  <si>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</si>
  <si>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</si>
  <si>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</si>
  <si>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</si>
  <si>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</si>
  <si>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</si>
  <si>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</si>
  <si>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</si>
  <si>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</si>
  <si>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</si>
  <si>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</si>
  <si>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</si>
  <si>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</si>
  <si>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</si>
  <si>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</si>
  <si>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</si>
  <si>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</si>
  <si>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</si>
  <si>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</si>
  <si>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</si>
  <si>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</si>
  <si>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</si>
  <si>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</si>
  <si>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</si>
  <si>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</si>
  <si>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</si>
  <si>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</si>
  <si>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</si>
  <si>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</si>
  <si>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</si>
  <si>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</si>
  <si>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</si>
  <si>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</si>
  <si>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</si>
  <si>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</si>
  <si>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</si>
  <si>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</si>
  <si>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</si>
  <si>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</si>
  <si>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</si>
  <si>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</si>
  <si>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</si>
  <si>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</si>
  <si>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</si>
  <si>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</si>
  <si>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</si>
  <si>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</si>
  <si>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</si>
  <si>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</si>
  <si>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</si>
  <si>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</si>
  <si>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</si>
  <si>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</si>
  <si>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</si>
  <si>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</si>
  <si>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</si>
  <si>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</si>
  <si>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</si>
  <si>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</si>
  <si>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</si>
  <si>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</si>
  <si>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</si>
  <si>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</si>
  <si>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</si>
  <si>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</si>
  <si>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</si>
  <si>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</si>
  <si>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</si>
  <si>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</si>
  <si>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</si>
  <si>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</si>
  <si>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</si>
  <si>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</si>
  <si>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</si>
  <si>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</si>
  <si>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</si>
  <si>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</si>
  <si>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</si>
  <si>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</si>
  <si>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</si>
  <si>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</si>
  <si>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</si>
  <si>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</si>
  <si>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</si>
  <si>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</si>
  <si>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</si>
  <si>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</si>
  <si>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</si>
  <si>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</si>
  <si>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</si>
  <si>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</si>
  <si>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</si>
  <si>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</si>
  <si>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</si>
  <si>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</si>
  <si>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</si>
  <si>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</si>
  <si>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</si>
  <si>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</si>
  <si>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</si>
  <si>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</si>
  <si>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</si>
  <si>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</si>
  <si>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</si>
  <si>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</si>
  <si>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</si>
  <si>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</si>
  <si>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</si>
  <si>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</si>
  <si>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</si>
  <si>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</si>
  <si>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</si>
  <si>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</si>
  <si>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</si>
  <si>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</si>
  <si>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</si>
  <si>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</si>
  <si>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</si>
  <si>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</si>
  <si>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</si>
  <si>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</si>
  <si>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</si>
  <si>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</si>
  <si>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</si>
  <si>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</si>
  <si>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</si>
  <si>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</si>
  <si>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</si>
  <si>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</si>
  <si>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</si>
  <si>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</si>
  <si>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</si>
  <si>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</si>
  <si>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</si>
  <si>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</si>
  <si>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</si>
  <si>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</si>
  <si>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</si>
  <si>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</si>
  <si>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</si>
  <si>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</si>
  <si>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</si>
  <si>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</si>
  <si>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</si>
  <si>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</si>
  <si>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</si>
  <si>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</si>
  <si>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</si>
  <si>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</si>
  <si>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</si>
  <si>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</si>
  <si>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</si>
  <si>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</si>
  <si>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</si>
  <si>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</si>
  <si>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</si>
  <si>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</si>
  <si>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</si>
  <si>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</si>
  <si>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</si>
  <si>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</si>
  <si>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</si>
  <si>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</si>
  <si>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</si>
  <si>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</si>
  <si>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</si>
  <si>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</si>
  <si>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</si>
  <si>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</si>
  <si>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</si>
  <si>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</si>
  <si>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</si>
  <si>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</si>
  <si>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</si>
  <si>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</si>
  <si>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</si>
  <si>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</si>
  <si>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</si>
  <si>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</si>
  <si>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</si>
  <si>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</si>
  <si>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</si>
  <si>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</si>
  <si>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</si>
  <si>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</si>
  <si>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</si>
  <si>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</si>
  <si>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</si>
  <si>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</si>
  <si>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</si>
  <si>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</si>
  <si>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</si>
  <si>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</si>
  <si>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</si>
  <si>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</si>
  <si>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</si>
  <si>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</si>
  <si>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</si>
  <si>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</si>
  <si>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</si>
  <si>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</si>
  <si>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</si>
  <si>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</si>
  <si>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</si>
  <si>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</si>
  <si>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</si>
  <si>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</si>
  <si>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</si>
  <si>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</si>
  <si>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</si>
  <si>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</si>
  <si>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</si>
  <si>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</si>
  <si>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</si>
  <si>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</si>
  <si>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</si>
  <si>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</si>
  <si>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</si>
  <si>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</si>
  <si>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</si>
  <si>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</si>
  <si>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</si>
  <si>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</si>
  <si>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</si>
  <si>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</si>
  <si>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</si>
  <si>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</si>
  <si>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</si>
  <si>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</si>
  <si>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</si>
  <si>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</si>
  <si>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</si>
  <si>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</si>
  <si>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</si>
  <si>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</si>
  <si>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</si>
  <si>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</si>
  <si>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</si>
  <si>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</si>
  <si>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</si>
  <si>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</si>
  <si>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</si>
  <si>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</si>
  <si>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</si>
  <si>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</si>
  <si>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</si>
  <si>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</si>
  <si>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</si>
  <si>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</si>
  <si>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</si>
  <si>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</si>
  <si>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</si>
  <si>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</si>
  <si>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</si>
  <si>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</si>
  <si>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</si>
  <si>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</si>
  <si>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</si>
  <si>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</si>
  <si>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</si>
  <si>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</si>
  <si>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</si>
  <si>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</si>
  <si>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</si>
  <si>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</si>
  <si>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</si>
  <si>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</si>
  <si>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</si>
  <si>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</si>
  <si>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</si>
  <si>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</si>
  <si>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</si>
  <si>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</si>
  <si>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</si>
  <si>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</si>
  <si>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</si>
  <si>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</si>
  <si>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</si>
  <si>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</si>
  <si>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</si>
  <si>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</si>
  <si>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</si>
  <si>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</si>
  <si>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</si>
  <si>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</si>
  <si>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</si>
  <si>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</si>
  <si>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</si>
  <si>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</si>
  <si>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</si>
  <si>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</si>
  <si>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</si>
  <si>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</si>
  <si>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</si>
  <si>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</si>
  <si>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</si>
  <si>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</si>
  <si>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</si>
  <si>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</si>
  <si>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</si>
  <si>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</si>
  <si>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</si>
  <si>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</si>
  <si>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</si>
  <si>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</si>
  <si>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</si>
  <si>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</si>
  <si>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</si>
  <si>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</si>
  <si>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</si>
  <si>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</si>
  <si>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</si>
  <si>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</si>
  <si>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</si>
  <si>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</si>
  <si>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</si>
  <si>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</si>
  <si>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</si>
  <si>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</si>
  <si>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</si>
  <si>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</si>
  <si>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</si>
  <si>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</si>
  <si>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</si>
  <si>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</si>
  <si>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</si>
  <si>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</si>
  <si>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</si>
  <si>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</si>
  <si>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</si>
  <si>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</si>
  <si>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</si>
  <si>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</si>
  <si>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</si>
  <si>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</si>
  <si>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</si>
  <si>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</si>
  <si>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</si>
  <si>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</si>
  <si>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</si>
  <si>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</si>
  <si>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</si>
  <si>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</si>
  <si>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</si>
  <si>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</si>
  <si>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</si>
  <si>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</si>
  <si>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</si>
  <si>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</si>
  <si>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</si>
  <si>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</si>
  <si>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</si>
  <si>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</si>
  <si>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</si>
  <si>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</si>
  <si>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</si>
  <si>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</si>
  <si>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</si>
  <si>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</si>
  <si>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</si>
  <si>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</si>
  <si>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</si>
  <si>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</si>
  <si>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</si>
  <si>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</si>
  <si>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</si>
  <si>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</si>
  <si>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</si>
  <si>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</si>
  <si>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</si>
  <si>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</si>
  <si>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</si>
  <si>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</si>
  <si>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</si>
  <si>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</si>
  <si>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</si>
  <si>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</si>
  <si>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</si>
  <si>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</si>
  <si>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</si>
  <si>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</si>
  <si>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</si>
  <si>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</si>
  <si>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</si>
  <si>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</si>
  <si>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</si>
  <si>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</si>
  <si>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</si>
  <si>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</si>
  <si>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</si>
  <si>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</si>
  <si>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</si>
  <si>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</si>
  <si>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</si>
  <si>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</si>
  <si>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</si>
  <si>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</si>
  <si>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</si>
  <si>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</si>
  <si>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</si>
  <si>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</si>
  <si>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</si>
  <si>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</si>
  <si>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</si>
  <si>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</si>
  <si>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</si>
  <si>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</si>
  <si>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</si>
  <si>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</si>
  <si>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</si>
  <si>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</si>
  <si>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</si>
  <si>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</si>
  <si>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</si>
  <si>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</si>
  <si>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</si>
  <si>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</si>
  <si>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</si>
  <si>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</si>
  <si>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</si>
  <si>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</si>
  <si>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</si>
  <si>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</si>
  <si>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</si>
  <si>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</si>
  <si>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</si>
  <si>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</si>
  <si>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</si>
  <si>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</si>
  <si>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</si>
  <si>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</si>
  <si>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</si>
  <si>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</si>
  <si>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</si>
  <si>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</si>
  <si>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</si>
  <si>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</si>
  <si>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</si>
  <si>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</si>
  <si>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</si>
  <si>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</si>
  <si>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</si>
  <si>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</si>
  <si>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</si>
  <si>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</si>
  <si>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</si>
  <si>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</si>
  <si>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</si>
  <si>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</si>
  <si>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</si>
  <si>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</si>
  <si>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</si>
  <si>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</si>
  <si>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</si>
  <si>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</si>
  <si>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</si>
  <si>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</si>
  <si>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</si>
  <si>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</si>
  <si>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</si>
  <si>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</si>
  <si>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</si>
  <si>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</si>
  <si>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</si>
  <si>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</si>
  <si>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</si>
  <si>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</si>
  <si>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</si>
  <si>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</si>
  <si>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</si>
  <si>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</si>
  <si>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</si>
  <si>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</si>
  <si>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</si>
  <si>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</si>
  <si>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</si>
  <si>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</si>
  <si>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</si>
  <si>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</si>
  <si>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</si>
  <si>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</si>
  <si>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</si>
  <si>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</si>
  <si>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</si>
  <si>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</si>
  <si>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</si>
  <si>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</si>
  <si>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</si>
  <si>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</si>
  <si>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</si>
  <si>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</si>
  <si>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</si>
  <si>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</si>
  <si>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</si>
  <si>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</si>
  <si>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</si>
  <si>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</si>
  <si>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</si>
  <si>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</si>
  <si>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</si>
  <si>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</si>
  <si>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</si>
  <si>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</si>
  <si>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</si>
  <si>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</si>
  <si>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</si>
  <si>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</si>
  <si>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</si>
  <si>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</si>
  <si>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</si>
  <si>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</si>
  <si>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</si>
  <si>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</si>
  <si>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</si>
  <si>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</si>
  <si>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</si>
  <si>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</si>
  <si>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</si>
  <si>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</si>
  <si>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</si>
  <si>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</si>
  <si>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</si>
  <si>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</si>
  <si>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</si>
  <si>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</si>
  <si>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</si>
  <si>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</si>
  <si>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</si>
  <si>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</si>
  <si>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</si>
  <si>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</si>
  <si>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</si>
  <si>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</si>
  <si>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</si>
  <si>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</si>
  <si>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</si>
  <si>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</si>
  <si>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</si>
  <si>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</si>
  <si>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</si>
  <si>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</si>
  <si>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</si>
  <si>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</si>
  <si>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</si>
  <si>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</si>
  <si>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</si>
  <si>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</si>
  <si>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</si>
  <si>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</si>
  <si>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</si>
  <si>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</si>
  <si>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</si>
  <si>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</si>
  <si>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</si>
  <si>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</si>
  <si>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</si>
  <si>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</si>
  <si>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</si>
  <si>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</si>
  <si>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</si>
  <si>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</si>
  <si>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</si>
  <si>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</si>
  <si>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</si>
  <si>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</si>
  <si>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</si>
  <si>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</si>
  <si>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</si>
  <si>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</si>
  <si>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</si>
  <si>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</si>
  <si>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</si>
  <si>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</si>
  <si>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</si>
  <si>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</si>
  <si>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</si>
  <si>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</si>
  <si>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</si>
  <si>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</si>
  <si>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</si>
  <si>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</si>
  <si>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</si>
  <si>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</si>
  <si>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</si>
  <si>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</si>
  <si>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</si>
  <si>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</si>
  <si>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</si>
  <si>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</si>
  <si>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</si>
  <si>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</si>
  <si>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</si>
  <si>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</si>
  <si>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</si>
  <si>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</si>
  <si>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</si>
  <si>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</si>
  <si>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</si>
  <si>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</si>
  <si>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</si>
  <si>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</si>
  <si>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</si>
  <si>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</si>
  <si>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</si>
  <si>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</si>
  <si>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</si>
  <si>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</si>
  <si>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</si>
  <si>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</si>
  <si>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</si>
  <si>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</si>
  <si>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</si>
  <si>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</si>
  <si>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</si>
  <si>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</si>
  <si>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</si>
  <si>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</si>
  <si>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</si>
  <si>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</si>
  <si>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</si>
  <si>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</si>
  <si>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</si>
  <si>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</si>
  <si>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</si>
  <si>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</si>
  <si>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</si>
  <si>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</si>
  <si>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</si>
  <si>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</si>
  <si>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</si>
  <si>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</si>
  <si>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</si>
  <si>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</si>
  <si>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</si>
  <si>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</si>
  <si>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</si>
  <si>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</si>
  <si>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</si>
  <si>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</si>
  <si>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</si>
  <si>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</si>
  <si>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</si>
  <si>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</si>
  <si>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</si>
  <si>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</si>
  <si>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</si>
  <si>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</si>
  <si>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</si>
  <si>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</si>
  <si>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</si>
  <si>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</si>
  <si>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</si>
  <si>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</si>
  <si>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</si>
  <si>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</si>
  <si>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</si>
  <si>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</si>
  <si>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</si>
  <si>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</si>
  <si>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</si>
  <si>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</si>
  <si>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</si>
  <si>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</si>
  <si>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</si>
  <si>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</si>
  <si>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</si>
  <si>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</si>
  <si>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</si>
  <si>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</si>
  <si>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</si>
  <si>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</si>
  <si>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</si>
  <si>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</si>
  <si>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</si>
  <si>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</si>
  <si>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</si>
  <si>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</si>
  <si>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</si>
  <si>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</si>
  <si>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</si>
  <si>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</si>
  <si>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</si>
  <si>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</si>
  <si>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</si>
  <si>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</si>
  <si>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</si>
  <si>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</si>
  <si>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</si>
  <si>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</si>
  <si>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</si>
  <si>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</si>
  <si>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</si>
  <si>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</si>
  <si>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</si>
  <si>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</si>
  <si>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</si>
  <si>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</si>
  <si>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</si>
  <si>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</si>
  <si>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</si>
  <si>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</si>
  <si>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</si>
  <si>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</si>
  <si>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</si>
  <si>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</si>
  <si>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</si>
  <si>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</si>
  <si>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</si>
  <si>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</si>
  <si>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</si>
  <si>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</si>
  <si>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</si>
  <si>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</si>
  <si>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</si>
  <si>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</si>
  <si>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</si>
  <si>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</si>
  <si>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</si>
  <si>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</si>
  <si>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</si>
  <si>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</si>
  <si>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</si>
  <si>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</si>
  <si>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</si>
  <si>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</si>
  <si>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</si>
  <si>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</si>
  <si>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</si>
  <si>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</si>
  <si>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</si>
  <si>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</si>
  <si>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</si>
  <si>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</si>
  <si>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</si>
  <si>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</si>
  <si>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</si>
  <si>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</si>
  <si>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</si>
  <si>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</si>
  <si>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</si>
  <si>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</si>
  <si>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</si>
  <si>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</si>
  <si>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</si>
  <si>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</si>
  <si>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</si>
  <si>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</si>
  <si>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</si>
  <si>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</si>
  <si>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</si>
  <si>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</si>
  <si>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</si>
  <si>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</si>
  <si>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</si>
  <si>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</si>
  <si>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</si>
  <si>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</si>
  <si>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</si>
  <si>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</si>
  <si>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</si>
  <si>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</si>
  <si>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</si>
  <si>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</si>
  <si>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</si>
  <si>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</si>
  <si>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</si>
  <si>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</si>
  <si>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</si>
  <si>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</si>
  <si>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</si>
  <si>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</si>
  <si>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</si>
  <si>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</si>
  <si>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</si>
  <si>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</si>
  <si>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</si>
  <si>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</si>
  <si>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</si>
  <si>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</si>
  <si>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</si>
  <si>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</si>
  <si>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</si>
  <si>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</si>
  <si>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</si>
  <si>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</si>
  <si>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</si>
  <si>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</si>
  <si>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</si>
  <si>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</si>
  <si>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</si>
  <si>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</si>
  <si>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</si>
  <si>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</si>
  <si>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</si>
  <si>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</si>
  <si>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</si>
  <si>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</si>
  <si>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</si>
  <si>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</si>
  <si>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</si>
  <si>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</si>
  <si>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</si>
  <si>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</si>
  <si>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</si>
  <si>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</si>
  <si>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</si>
  <si>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</si>
  <si>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</si>
  <si>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</si>
  <si>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</si>
  <si>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</si>
  <si>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</si>
  <si>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</si>
  <si>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</si>
  <si>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</si>
  <si>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</si>
  <si>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</si>
  <si>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</si>
  <si>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</si>
  <si>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</si>
  <si>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</si>
  <si>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</si>
  <si>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</si>
  <si>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</si>
  <si>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</si>
  <si>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</si>
  <si>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</si>
  <si>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</si>
  <si>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</si>
  <si>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</si>
  <si>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</si>
  <si>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</si>
  <si>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</si>
  <si>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</si>
  <si>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</si>
  <si>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</si>
  <si>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</si>
  <si>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</si>
  <si>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</si>
  <si>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</si>
  <si>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</si>
  <si>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</si>
  <si>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</si>
  <si>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</si>
  <si>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</si>
  <si>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</si>
  <si>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</si>
  <si>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</si>
  <si>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</si>
  <si>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</si>
  <si>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</si>
  <si>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</si>
  <si>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</si>
  <si>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</si>
  <si>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</si>
  <si>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</si>
  <si>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</si>
  <si>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</si>
  <si>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</si>
  <si>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</si>
  <si>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</si>
  <si>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</si>
  <si>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</si>
  <si>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</si>
  <si>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</si>
  <si>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</si>
  <si>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</si>
  <si>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</si>
  <si>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</si>
  <si>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</si>
  <si>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</si>
  <si>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</si>
  <si>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</si>
  <si>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</si>
  <si>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</si>
  <si>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</si>
  <si>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</si>
  <si>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</si>
  <si>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</si>
  <si>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</si>
  <si>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</si>
  <si>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</si>
  <si>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</si>
  <si>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</si>
  <si>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</si>
  <si>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</si>
  <si>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</si>
  <si>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</si>
  <si>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</si>
  <si>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</si>
  <si>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</si>
  <si>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</si>
  <si>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</si>
  <si>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</si>
  <si>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</si>
  <si>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</si>
  <si>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</si>
  <si>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</si>
  <si>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</si>
  <si>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</si>
  <si>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</si>
  <si>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</si>
  <si>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</si>
  <si>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</si>
  <si>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</si>
  <si>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</si>
  <si>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</si>
  <si>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</si>
  <si>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</si>
  <si>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</si>
  <si>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</si>
  <si>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</si>
  <si>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</si>
  <si>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</si>
  <si>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</si>
  <si>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</si>
  <si>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</si>
  <si>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</si>
  <si>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</si>
  <si>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</si>
  <si>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</si>
  <si>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</si>
  <si>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</si>
  <si>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</si>
  <si>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</si>
  <si>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</si>
  <si>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</si>
  <si>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</si>
  <si>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</si>
  <si>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</si>
  <si>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</si>
  <si>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</si>
  <si>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</si>
  <si>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</si>
  <si>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</si>
  <si>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</si>
  <si>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</si>
  <si>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</si>
  <si>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</si>
  <si>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</si>
  <si>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</si>
  <si>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</si>
  <si>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</si>
  <si>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</si>
  <si>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</si>
  <si>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</si>
  <si>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</si>
  <si>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</si>
  <si>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</si>
  <si>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</si>
  <si>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</si>
  <si>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</si>
  <si>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</si>
  <si>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</si>
  <si>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</si>
  <si>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</si>
  <si>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</si>
  <si>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</si>
  <si>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</si>
  <si>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</si>
  <si>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</si>
  <si>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</si>
  <si>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</si>
  <si>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</si>
  <si>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</si>
  <si>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</si>
  <si>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</si>
  <si>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</si>
  <si>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</si>
  <si>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</si>
  <si>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</si>
  <si>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</si>
  <si>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</si>
  <si>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</si>
  <si>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</si>
  <si>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</si>
  <si>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</si>
  <si>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</si>
  <si>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</si>
  <si>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</si>
  <si>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</si>
  <si>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</si>
  <si>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</si>
  <si>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</si>
  <si>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</si>
  <si>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</si>
  <si>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</si>
  <si>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</si>
  <si>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</si>
  <si>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</si>
  <si>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</si>
  <si>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</si>
  <si>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</si>
  <si>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</si>
  <si>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</si>
  <si>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</si>
  <si>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</si>
  <si>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</si>
  <si>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</si>
  <si>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</si>
  <si>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</si>
  <si>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</si>
  <si>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</si>
  <si>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</si>
  <si>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</si>
  <si>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</si>
  <si>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</si>
  <si>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</si>
  <si>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</si>
  <si>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</si>
  <si>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</si>
  <si>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</si>
  <si>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</si>
  <si>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</si>
  <si>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</si>
  <si>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</si>
  <si>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</si>
  <si>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</si>
  <si>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</si>
  <si>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</si>
  <si>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</si>
  <si>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</si>
  <si>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</si>
  <si>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</si>
  <si>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</si>
  <si>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</si>
  <si>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</si>
  <si>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</si>
  <si>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</si>
  <si>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</si>
  <si>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</si>
  <si>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</si>
  <si>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</si>
  <si>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</si>
  <si>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</si>
  <si>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</si>
  <si>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</si>
  <si>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</si>
  <si>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</si>
  <si>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</si>
  <si>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</si>
  <si>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</si>
  <si>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</si>
  <si>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</si>
  <si>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</si>
  <si>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</si>
  <si>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</si>
  <si>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</si>
  <si>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</si>
  <si>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</si>
  <si>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</si>
  <si>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</si>
  <si>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</si>
  <si>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</si>
  <si>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</si>
  <si>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</si>
  <si>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</si>
  <si>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</si>
  <si>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</si>
  <si>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</si>
  <si>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</si>
  <si>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</si>
  <si>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</si>
  <si>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</si>
  <si>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</si>
  <si>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</si>
  <si>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</si>
  <si>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</si>
  <si>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</si>
  <si>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</si>
  <si>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</si>
  <si>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</si>
  <si>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</si>
  <si>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</si>
  <si>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</si>
  <si>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</si>
  <si>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</si>
  <si>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</si>
  <si>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</si>
  <si>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</si>
  <si>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</si>
  <si>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</si>
  <si>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</si>
  <si>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</si>
  <si>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</si>
  <si>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</si>
  <si>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</si>
  <si>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</si>
  <si>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</si>
  <si>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</si>
  <si>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</si>
  <si>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</si>
  <si>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</si>
  <si>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</si>
  <si>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</si>
  <si>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</si>
  <si>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</si>
  <si>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</si>
  <si>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</si>
  <si>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</si>
  <si>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</si>
  <si>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</si>
  <si>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</si>
  <si>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</si>
  <si>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</si>
  <si>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</si>
  <si>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</si>
  <si>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</si>
  <si>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</si>
  <si>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</si>
  <si>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</si>
  <si>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</si>
  <si>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</si>
  <si>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</si>
  <si>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</si>
  <si>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</si>
  <si>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</si>
  <si>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</si>
  <si>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</si>
  <si>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</si>
  <si>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</si>
  <si>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</si>
  <si>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</si>
  <si>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</si>
  <si>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</si>
  <si>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</si>
  <si>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</si>
  <si>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</si>
  <si>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</si>
  <si>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</si>
  <si>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</si>
  <si>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</si>
  <si>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</si>
  <si>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</si>
  <si>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</si>
  <si>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</si>
  <si>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</si>
  <si>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</si>
  <si>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</si>
  <si>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</si>
  <si>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</si>
  <si>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</si>
  <si>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</si>
  <si>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</si>
  <si>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</si>
  <si>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</si>
  <si>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</si>
  <si>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</si>
  <si>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</si>
  <si>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</si>
  <si>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</si>
  <si>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</si>
  <si>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</si>
  <si>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</si>
  <si>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</si>
  <si>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</si>
  <si>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</si>
  <si>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</si>
  <si>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</si>
  <si>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</si>
  <si>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</si>
  <si>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</si>
  <si>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</si>
  <si>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</si>
  <si>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</si>
  <si>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</si>
  <si>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</si>
  <si>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</si>
  <si>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</si>
  <si>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</si>
  <si>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</si>
  <si>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</si>
  <si>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</si>
  <si>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</si>
  <si>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</si>
  <si>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</si>
  <si>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</si>
  <si>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</si>
  <si>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</si>
  <si>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</si>
  <si>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</si>
  <si>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</si>
  <si>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</si>
  <si>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</si>
  <si>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</si>
  <si>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</si>
  <si>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</si>
  <si>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</si>
  <si>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</si>
  <si>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</si>
  <si>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</si>
  <si>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</si>
  <si>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</si>
  <si>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</si>
  <si>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</si>
  <si>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</si>
  <si>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</si>
  <si>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</si>
  <si>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</si>
  <si>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</si>
  <si>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</si>
  <si>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</si>
  <si>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</si>
  <si>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</si>
  <si>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</si>
  <si>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</si>
  <si>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</si>
  <si>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</si>
  <si>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</si>
  <si>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</si>
  <si>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</si>
  <si>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</si>
  <si>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</si>
  <si>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</si>
  <si>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</si>
  <si>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</si>
  <si>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</si>
  <si>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</si>
  <si>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</si>
  <si>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</si>
  <si>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</si>
  <si>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</si>
  <si>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</si>
  <si>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</si>
  <si>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</si>
  <si>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</si>
  <si>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</si>
  <si>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</si>
  <si>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</si>
  <si>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</si>
  <si>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</si>
  <si>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</si>
  <si>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</si>
  <si>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</si>
  <si>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</si>
  <si>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</si>
  <si>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</si>
  <si>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</si>
  <si>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</si>
  <si>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</si>
  <si>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</si>
  <si>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</si>
  <si>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</si>
  <si>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</si>
  <si>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</si>
  <si>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</si>
  <si>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</si>
  <si>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</si>
  <si>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</si>
  <si>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</si>
  <si>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</si>
  <si>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</si>
  <si>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</si>
  <si>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</si>
  <si>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</si>
  <si>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</si>
  <si>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</si>
  <si>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</si>
  <si>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</si>
  <si>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</si>
  <si>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</si>
  <si>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</si>
  <si>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</si>
  <si>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</si>
  <si>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</si>
  <si>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</si>
  <si>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</si>
  <si>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</si>
  <si>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</si>
  <si>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</si>
  <si>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</si>
  <si>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</si>
  <si>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</si>
  <si>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</si>
  <si>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</si>
  <si>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</si>
  <si>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</si>
  <si>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</si>
  <si>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</si>
  <si>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</si>
  <si>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</si>
  <si>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</si>
  <si>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</si>
  <si>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</si>
  <si>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</si>
  <si>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</si>
  <si>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</si>
  <si>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</si>
  <si>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</si>
  <si>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</si>
  <si>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</si>
  <si>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</si>
  <si>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</si>
  <si>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</si>
  <si>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</si>
  <si>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</si>
  <si>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</si>
  <si>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</si>
  <si>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</si>
  <si>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</si>
  <si>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</si>
  <si>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</si>
  <si>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</si>
  <si>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</si>
  <si>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</si>
  <si>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</si>
  <si>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</si>
  <si>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</si>
  <si>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</si>
  <si>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</si>
  <si>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</si>
  <si>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</si>
  <si>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</si>
  <si>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</si>
  <si>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</si>
  <si>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</si>
  <si>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</si>
  <si>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</si>
  <si>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</si>
  <si>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</si>
  <si>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</si>
  <si>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</si>
  <si>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</si>
  <si>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</si>
  <si>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</si>
  <si>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</si>
  <si>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</si>
  <si>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</si>
  <si>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</si>
  <si>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</si>
  <si>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</si>
  <si>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</si>
  <si>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</si>
  <si>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</si>
  <si>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</si>
  <si>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</si>
  <si>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</si>
  <si>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</si>
  <si>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</si>
  <si>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</si>
  <si>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</si>
  <si>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</si>
  <si>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</si>
  <si>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</si>
  <si>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</si>
  <si>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</si>
  <si>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</si>
  <si>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</si>
  <si>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</si>
  <si>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</si>
  <si>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</si>
  <si>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</si>
  <si>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</si>
  <si>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</si>
  <si>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</si>
  <si>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</si>
  <si>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</si>
  <si>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</si>
  <si>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</si>
  <si>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</si>
  <si>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</si>
  <si>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</si>
  <si>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</si>
  <si>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</si>
  <si>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</si>
  <si>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</si>
  <si>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</si>
  <si>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</si>
  <si>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</si>
  <si>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</si>
  <si>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</si>
  <si>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</si>
  <si>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</si>
  <si>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</si>
  <si>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</si>
  <si>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</si>
  <si>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</si>
  <si>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</si>
  <si>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</si>
  <si>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</si>
  <si>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</si>
  <si>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</si>
  <si>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</si>
  <si>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</si>
  <si>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</si>
  <si>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</si>
  <si>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</si>
  <si>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</si>
  <si>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</si>
  <si>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</si>
  <si>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</si>
  <si>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</si>
  <si>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</si>
  <si>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</si>
  <si>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</si>
  <si>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</si>
  <si>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</si>
  <si>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</si>
  <si>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</si>
  <si>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</si>
  <si>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</si>
  <si>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</si>
  <si>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</si>
  <si>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</si>
  <si>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</si>
  <si>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</si>
  <si>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</si>
  <si>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</si>
  <si>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</si>
  <si>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</si>
  <si>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</si>
  <si>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</si>
  <si>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</si>
  <si>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</si>
  <si>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</si>
  <si>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</si>
  <si>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</si>
  <si>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</si>
  <si>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</si>
  <si>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</si>
  <si>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</si>
  <si>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</si>
  <si>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</si>
  <si>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</si>
  <si>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</si>
  <si>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</si>
  <si>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</si>
  <si>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</si>
  <si>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</si>
  <si>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</si>
  <si>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</si>
  <si>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</si>
  <si>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</si>
  <si>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</si>
  <si>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</si>
  <si>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</si>
  <si>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</si>
  <si>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</si>
  <si>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</si>
  <si>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</si>
  <si>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</si>
  <si>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</si>
  <si>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</si>
  <si>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</si>
  <si>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</si>
  <si>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</si>
  <si>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</si>
  <si>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</si>
  <si>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</si>
  <si>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</si>
  <si>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</si>
  <si>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</si>
  <si>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</si>
  <si>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</si>
  <si>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</si>
  <si>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</si>
  <si>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</si>
  <si>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</si>
  <si>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</si>
  <si>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</si>
  <si>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</si>
  <si>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</si>
  <si>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</si>
  <si>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</si>
  <si>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</si>
  <si>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</si>
  <si>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</si>
  <si>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</si>
  <si>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</si>
  <si>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</si>
  <si>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</si>
  <si>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</si>
  <si>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</si>
  <si>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</si>
  <si>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</si>
  <si>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</si>
  <si>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</si>
  <si>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</si>
  <si>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</si>
  <si>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</si>
  <si>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</si>
  <si>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</si>
  <si>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</si>
  <si>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</si>
  <si>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</si>
  <si>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</si>
  <si>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</si>
  <si>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</si>
  <si>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</si>
  <si>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</si>
  <si>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</si>
  <si>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</si>
  <si>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</si>
  <si>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</si>
  <si>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</si>
  <si>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</si>
  <si>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</si>
  <si>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</si>
  <si>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</si>
  <si>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</si>
  <si>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</si>
  <si>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</si>
  <si>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</si>
  <si>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</si>
  <si>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</si>
  <si>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</si>
  <si>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</si>
  <si>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</si>
  <si>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</si>
  <si>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</si>
  <si>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</si>
  <si>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</si>
  <si>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</si>
  <si>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</si>
  <si>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</si>
  <si>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</si>
  <si>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</si>
  <si>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</si>
  <si>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</si>
  <si>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</si>
  <si>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</si>
  <si>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</si>
  <si>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</si>
  <si>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</si>
  <si>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</si>
  <si>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</si>
  <si>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</si>
  <si>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</si>
  <si>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</si>
  <si>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</si>
  <si>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</si>
  <si>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</si>
  <si>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</si>
  <si>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</si>
  <si>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</si>
  <si>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</si>
  <si>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</si>
  <si>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</si>
  <si>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</si>
  <si>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</si>
  <si>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</si>
  <si>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</si>
  <si>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</si>
  <si>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</si>
  <si>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</si>
  <si>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</si>
  <si>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</si>
  <si>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</si>
  <si>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</si>
  <si>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</si>
  <si>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</si>
  <si>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</si>
  <si>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</si>
  <si>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</si>
  <si>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</si>
  <si>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</si>
  <si>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</si>
  <si>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</si>
  <si>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</si>
  <si>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</si>
  <si>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</si>
  <si>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</si>
  <si>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</si>
  <si>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</si>
  <si>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</si>
  <si>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</si>
  <si>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</si>
  <si>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</si>
  <si>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</si>
  <si>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</si>
  <si>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</si>
  <si>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</si>
  <si>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</si>
  <si>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</si>
  <si>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</si>
  <si>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</si>
  <si>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</si>
  <si>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</si>
  <si>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</si>
  <si>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</si>
  <si>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</si>
  <si>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</si>
  <si>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</si>
  <si>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</si>
  <si>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</si>
  <si>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</si>
  <si>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</si>
  <si>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</si>
  <si>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</si>
  <si>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</si>
  <si>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</si>
  <si>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</si>
  <si>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</si>
  <si>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</si>
  <si>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</si>
  <si>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</si>
  <si>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</si>
  <si>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</si>
  <si>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</si>
  <si>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</si>
  <si>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</si>
  <si>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</si>
  <si>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</si>
  <si>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</si>
  <si>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</si>
  <si>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</si>
  <si>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</si>
  <si>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</si>
  <si>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</si>
  <si>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</si>
  <si>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</si>
  <si>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</si>
  <si>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</si>
  <si>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</si>
  <si>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</si>
  <si>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</si>
  <si>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</si>
  <si>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</si>
  <si>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</si>
  <si>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</si>
  <si>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</si>
  <si>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</si>
  <si>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</si>
  <si>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</si>
  <si>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</si>
  <si>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</si>
  <si>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</si>
  <si>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</si>
  <si>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</si>
  <si>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</si>
  <si>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</si>
  <si>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</si>
  <si>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</si>
  <si>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</si>
  <si>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</si>
  <si>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</si>
  <si>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</si>
  <si>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</si>
  <si>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</si>
  <si>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</si>
  <si>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</si>
  <si>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</si>
  <si>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</si>
  <si>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</si>
  <si>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</si>
  <si>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</si>
  <si>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</si>
  <si>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</si>
  <si>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</si>
  <si>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</si>
  <si>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</si>
  <si>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</si>
  <si>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</si>
  <si>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</si>
  <si>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</si>
  <si>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</si>
  <si>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</si>
  <si>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</si>
  <si>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</si>
  <si>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</si>
  <si>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</si>
  <si>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</si>
  <si>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</si>
  <si>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</si>
  <si>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</si>
  <si>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</si>
  <si>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</si>
  <si>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</si>
  <si>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</si>
  <si>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</si>
  <si>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</si>
  <si>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</si>
  <si>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</si>
  <si>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</si>
  <si>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</si>
  <si>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</si>
  <si>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</si>
  <si>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</si>
  <si>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</si>
  <si>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</si>
  <si>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</si>
  <si>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</si>
  <si>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</si>
  <si>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</si>
  <si>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</si>
  <si>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</si>
  <si>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</si>
  <si>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</si>
  <si>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</si>
  <si>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</si>
  <si>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</si>
  <si>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</si>
  <si>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</si>
  <si>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</si>
  <si>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</si>
  <si>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</si>
  <si>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</si>
  <si>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</si>
  <si>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</si>
  <si>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</si>
  <si>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</si>
  <si>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</si>
  <si>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</si>
  <si>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</si>
  <si>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</si>
  <si>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</si>
  <si>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</si>
  <si>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</si>
  <si>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</si>
  <si>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</si>
  <si>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</si>
  <si>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</si>
  <si>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</si>
  <si>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</si>
  <si>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</si>
  <si>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</si>
  <si>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</si>
  <si>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</si>
  <si>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</si>
  <si>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</si>
  <si>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</si>
  <si>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</si>
  <si>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</si>
  <si>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</si>
  <si>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</si>
  <si>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</si>
  <si>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</si>
  <si>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</si>
  <si>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</si>
  <si>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</si>
  <si>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</si>
  <si>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</si>
  <si>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</si>
  <si>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</si>
  <si>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</si>
  <si>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</si>
  <si>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</si>
  <si>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</si>
  <si>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</si>
  <si>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</si>
  <si>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</si>
  <si>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</si>
  <si>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</si>
  <si>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</si>
  <si>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</si>
  <si>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</si>
  <si>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</si>
  <si>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</si>
  <si>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</si>
  <si>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</si>
  <si>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</si>
  <si>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</si>
  <si>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</si>
  <si>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</si>
  <si>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</si>
  <si>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</si>
  <si>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</si>
  <si>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</si>
  <si>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</si>
  <si>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</si>
  <si>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</si>
  <si>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</si>
  <si>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</si>
  <si>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</si>
  <si>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</si>
  <si>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</si>
  <si>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</si>
  <si>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</si>
  <si>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</si>
  <si>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</si>
  <si>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</si>
  <si>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</si>
  <si>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</si>
  <si>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</si>
  <si>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</si>
  <si>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</si>
  <si>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</si>
  <si>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</si>
  <si>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</si>
  <si>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</si>
  <si>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</si>
  <si>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</si>
  <si>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</si>
  <si>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</si>
  <si>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</si>
  <si>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</si>
  <si>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</si>
  <si>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</si>
  <si>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</si>
  <si>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</si>
  <si>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</si>
  <si>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</si>
  <si>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</si>
  <si>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</si>
  <si>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</si>
  <si>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</si>
  <si>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</si>
  <si>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</si>
  <si>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</si>
  <si>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</si>
  <si>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</si>
  <si>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</si>
  <si>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</si>
  <si>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</si>
  <si>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</si>
  <si>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</si>
  <si>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</si>
  <si>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</si>
  <si>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</si>
  <si>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</si>
  <si>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</si>
  <si>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</si>
  <si>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</si>
  <si>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</si>
  <si>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</si>
  <si>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</si>
  <si>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</si>
  <si>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</si>
  <si>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</si>
  <si>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</si>
  <si>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</si>
  <si>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</si>
  <si>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</si>
  <si>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</si>
  <si>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</si>
  <si>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</si>
  <si>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</si>
  <si>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</si>
  <si>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</si>
  <si>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</si>
  <si>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</si>
  <si>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</si>
  <si>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</si>
  <si>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</si>
  <si>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</si>
  <si>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</si>
  <si>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</si>
  <si>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</si>
  <si>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</si>
  <si>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</si>
  <si>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</si>
  <si>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</si>
  <si>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</si>
  <si>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</si>
  <si>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</si>
  <si>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</si>
  <si>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</si>
  <si>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</si>
  <si>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</si>
  <si>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</si>
  <si>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</si>
  <si>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</si>
  <si>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</si>
  <si>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</si>
  <si>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</si>
  <si>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</si>
  <si>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</si>
  <si>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</si>
  <si>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</si>
  <si>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</si>
  <si>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</si>
  <si>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</si>
  <si>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</si>
  <si>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</si>
  <si>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</si>
  <si>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</si>
  <si>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</si>
  <si>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</si>
  <si>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</si>
  <si>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</si>
  <si>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</si>
  <si>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</si>
  <si>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</si>
  <si>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</si>
  <si>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</si>
  <si>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</si>
  <si>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</si>
  <si>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</si>
  <si>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</si>
  <si>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</si>
  <si>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</si>
  <si>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</si>
  <si>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</si>
  <si>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</si>
  <si>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</si>
  <si>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</si>
  <si>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</si>
  <si>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</si>
  <si>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</si>
  <si>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</si>
  <si>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</si>
  <si>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</si>
  <si>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</si>
  <si>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</si>
  <si>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</si>
  <si>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</si>
  <si>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</si>
  <si>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</si>
  <si>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</si>
  <si>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</si>
  <si>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</si>
  <si>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</si>
  <si>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</si>
  <si>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</si>
  <si>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</si>
  <si>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</si>
  <si>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</si>
  <si>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</si>
  <si>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</si>
  <si>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</si>
  <si>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</si>
  <si>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</si>
  <si>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</si>
  <si>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</si>
  <si>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</si>
  <si>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</si>
  <si>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</si>
  <si>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</si>
  <si>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</si>
  <si>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</si>
  <si>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</si>
  <si>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</si>
  <si>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</si>
  <si>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</si>
  <si>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</si>
  <si>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</si>
  <si>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</si>
  <si>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</si>
  <si>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</si>
  <si>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</si>
  <si>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</si>
  <si>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</si>
  <si>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</si>
  <si>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</si>
  <si>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</si>
  <si>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</si>
  <si>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</si>
  <si>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</si>
  <si>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</si>
  <si>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</si>
  <si>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</si>
  <si>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</si>
  <si>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</si>
  <si>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</si>
  <si>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</si>
  <si>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</si>
  <si>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</si>
  <si>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</si>
  <si>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</si>
  <si>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</si>
  <si>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</si>
  <si>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</si>
  <si>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</si>
  <si>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</si>
  <si>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</si>
  <si>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</si>
  <si>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</si>
  <si>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</si>
  <si>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</si>
  <si>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</si>
  <si>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</si>
  <si>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</si>
  <si>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</si>
  <si>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</si>
  <si>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</si>
  <si>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</si>
  <si>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</si>
  <si>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</si>
  <si>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</si>
  <si>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</si>
  <si>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</si>
  <si>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</si>
  <si>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</si>
  <si>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</si>
  <si>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</si>
  <si>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</si>
  <si>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</si>
  <si>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</si>
  <si>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</si>
  <si>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</si>
  <si>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</si>
  <si>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</si>
  <si>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</si>
  <si>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</si>
  <si>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</si>
  <si>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</si>
  <si>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</si>
  <si>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</si>
  <si>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</si>
  <si>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</si>
  <si>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</si>
  <si>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</si>
  <si>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</si>
  <si>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</si>
  <si>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</si>
  <si>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</si>
  <si>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</si>
  <si>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</si>
  <si>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</si>
  <si>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</si>
  <si>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</si>
  <si>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</si>
  <si>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</si>
  <si>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</si>
  <si>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</si>
  <si>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</si>
  <si>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</si>
  <si>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</si>
  <si>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</si>
  <si>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</si>
  <si>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</si>
  <si>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</si>
  <si>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</si>
  <si>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</si>
  <si>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</si>
  <si>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</si>
  <si>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</si>
  <si>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</si>
  <si>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</si>
  <si>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</si>
  <si>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</si>
  <si>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</si>
  <si>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</si>
  <si>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</si>
  <si>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</si>
  <si>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</si>
  <si>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</si>
  <si>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</si>
  <si>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</si>
  <si>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</si>
  <si>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</si>
  <si>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</si>
  <si>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</si>
  <si>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</si>
  <si>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</si>
  <si>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</si>
  <si>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</si>
  <si>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</si>
  <si>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</si>
  <si>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</si>
  <si>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</si>
  <si>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</si>
  <si>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</si>
  <si>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</si>
  <si>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</si>
  <si>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</si>
  <si>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</si>
  <si>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</si>
  <si>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</si>
  <si>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</si>
  <si>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</si>
  <si>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</si>
  <si>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</si>
  <si>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</si>
  <si>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</si>
  <si>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</si>
  <si>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</si>
  <si>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</si>
  <si>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</si>
  <si>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</si>
  <si>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</si>
  <si>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</si>
  <si>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</si>
  <si>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</si>
  <si>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</si>
  <si>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</si>
  <si>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</si>
  <si>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</si>
  <si>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</si>
  <si>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</si>
  <si>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</si>
  <si>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</si>
  <si>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</si>
  <si>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</si>
  <si>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</si>
  <si>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</si>
  <si>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</si>
  <si>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</si>
  <si>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</si>
  <si>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</si>
  <si>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</si>
  <si>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</si>
  <si>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</si>
  <si>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</si>
  <si>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</si>
  <si>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</si>
  <si>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</si>
  <si>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</si>
  <si>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</si>
  <si>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</si>
  <si>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</si>
  <si>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</si>
  <si>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</si>
  <si>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</si>
  <si>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</si>
  <si>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</si>
  <si>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</si>
  <si>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</si>
  <si>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</si>
  <si>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</si>
  <si>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</si>
  <si>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</si>
  <si>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</si>
  <si>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</si>
  <si>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</si>
  <si>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</si>
  <si>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</si>
  <si>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</si>
  <si>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</si>
  <si>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</si>
  <si>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</si>
  <si>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</si>
  <si>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</si>
  <si>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</si>
  <si>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</si>
  <si>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</si>
  <si>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</si>
  <si>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</si>
  <si>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</si>
  <si>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</si>
  <si>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</si>
  <si>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</si>
  <si>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</si>
  <si>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</si>
  <si>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</si>
  <si>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</si>
  <si>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</si>
  <si>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</si>
  <si>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</si>
  <si>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</si>
  <si>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</si>
  <si>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</si>
  <si>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</si>
  <si>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</si>
  <si>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</si>
  <si>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</si>
  <si>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</si>
  <si>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</si>
  <si>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</si>
  <si>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</si>
  <si>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</si>
  <si>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</si>
  <si>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</si>
  <si>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</si>
  <si>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</si>
  <si>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</si>
  <si>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</si>
  <si>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</si>
  <si>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</si>
  <si>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</si>
  <si>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</si>
  <si>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</si>
  <si>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</si>
  <si>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</si>
  <si>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</si>
  <si>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</si>
  <si>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</si>
  <si>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</si>
  <si>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</si>
  <si>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</si>
  <si>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</si>
  <si>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</si>
  <si>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</si>
  <si>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</si>
  <si>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</si>
  <si>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</si>
  <si>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</si>
  <si>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</si>
  <si>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</si>
  <si>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</si>
  <si>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</si>
  <si>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</si>
  <si>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</si>
  <si>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</si>
  <si>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</si>
  <si>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</si>
  <si>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</si>
  <si>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</si>
  <si>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</si>
  <si>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</si>
  <si>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</si>
  <si>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</si>
  <si>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</si>
  <si>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</si>
  <si>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</si>
  <si>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</si>
  <si>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</si>
  <si>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</si>
  <si>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</si>
  <si>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</si>
  <si>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</si>
  <si>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</si>
  <si>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</si>
  <si>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</si>
  <si>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</si>
  <si>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</si>
  <si>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</si>
  <si>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</si>
  <si>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</si>
  <si>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</si>
  <si>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</si>
  <si>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</si>
  <si>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</si>
  <si>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</si>
  <si>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</si>
  <si>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</si>
  <si>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</si>
  <si>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</si>
  <si>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</si>
  <si>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</si>
  <si>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</si>
  <si>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</si>
  <si>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</si>
  <si>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</si>
  <si>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</si>
  <si>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</si>
  <si>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</si>
  <si>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</si>
  <si>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</si>
  <si>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</si>
  <si>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</si>
  <si>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</si>
  <si>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</si>
  <si>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</si>
  <si>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</si>
  <si>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</si>
  <si>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</si>
  <si>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</si>
  <si>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</si>
  <si>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</si>
  <si>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</si>
  <si>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</si>
  <si>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</si>
  <si>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</si>
  <si>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</si>
  <si>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</si>
  <si>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</si>
  <si>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</si>
  <si>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</si>
  <si>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</si>
  <si>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</si>
  <si>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</si>
  <si>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</si>
  <si>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</si>
  <si>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</si>
  <si>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</si>
  <si>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</si>
  <si>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</si>
  <si>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</si>
  <si>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</si>
  <si>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</si>
  <si>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</si>
  <si>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</si>
  <si>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</si>
  <si>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</si>
  <si>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</si>
  <si>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</si>
  <si>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</si>
  <si>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</si>
  <si>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</si>
  <si>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</si>
  <si>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</si>
  <si>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</si>
  <si>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</si>
  <si>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</si>
  <si>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</si>
  <si>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</si>
  <si>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</si>
  <si>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</si>
  <si>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</si>
  <si>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</si>
  <si>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</si>
  <si>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</si>
  <si>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</si>
  <si>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</si>
  <si>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</si>
  <si>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</si>
  <si>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</si>
  <si>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</si>
  <si>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</si>
  <si>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</si>
  <si>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</si>
  <si>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</si>
  <si>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</si>
  <si>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</si>
  <si>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</si>
  <si>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</si>
  <si>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</si>
  <si>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</si>
  <si>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</si>
  <si>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</si>
  <si>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</si>
  <si>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</si>
  <si>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</si>
  <si>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</si>
  <si>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</si>
  <si>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</si>
  <si>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</si>
  <si>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</si>
  <si>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</si>
  <si>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</si>
  <si>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</si>
  <si>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</si>
  <si>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</si>
  <si>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</si>
  <si>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</si>
  <si>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</si>
  <si>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</si>
  <si>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</si>
  <si>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</si>
  <si>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</si>
  <si>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</si>
  <si>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</si>
  <si>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</si>
  <si>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</si>
  <si>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</si>
  <si>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</si>
  <si>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</si>
  <si>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</si>
  <si>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</si>
  <si>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</si>
  <si>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</si>
  <si>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</si>
  <si>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</si>
  <si>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</si>
  <si>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</si>
  <si>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</si>
  <si>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</si>
  <si>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</si>
  <si>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</si>
  <si>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</si>
  <si>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</si>
  <si>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</si>
  <si>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</si>
  <si>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</si>
  <si>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</si>
  <si>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</si>
  <si>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</si>
  <si>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</si>
  <si>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</si>
  <si>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</si>
  <si>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</si>
  <si>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</si>
  <si>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</si>
  <si>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</si>
  <si>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</si>
  <si>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</si>
  <si>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</si>
  <si>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</si>
  <si>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</si>
  <si>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</si>
  <si>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</si>
  <si>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</si>
  <si>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</si>
  <si>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</si>
  <si>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</si>
  <si>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</si>
  <si>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</si>
  <si>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</si>
  <si>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</si>
  <si>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</si>
  <si>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</si>
  <si>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</si>
  <si>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</si>
  <si>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</si>
  <si>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</si>
  <si>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</si>
  <si>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</si>
  <si>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</si>
  <si>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</si>
  <si>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</si>
  <si>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</si>
  <si>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</si>
  <si>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</si>
  <si>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</si>
  <si>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</si>
  <si>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</si>
  <si>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</si>
  <si>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</si>
  <si>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</si>
  <si>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</si>
  <si>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</si>
  <si>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</si>
  <si>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</si>
  <si>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</si>
  <si>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</si>
  <si>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</si>
  <si>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</si>
  <si>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</si>
  <si>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</si>
  <si>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</si>
  <si>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</si>
  <si>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</si>
  <si>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</si>
  <si>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</si>
  <si>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</si>
  <si>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</si>
  <si>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</si>
  <si>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</si>
  <si>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</si>
  <si>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</si>
  <si>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</si>
  <si>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</si>
  <si>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</si>
  <si>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</si>
  <si>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</si>
  <si>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</si>
  <si>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</si>
  <si>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</si>
  <si>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</si>
  <si>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</si>
  <si>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</si>
  <si>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</si>
  <si>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</si>
  <si>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</si>
  <si>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</si>
  <si>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</si>
  <si>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</si>
  <si>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</si>
  <si>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</si>
  <si>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</si>
  <si>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</si>
  <si>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</si>
  <si>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</si>
  <si>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</si>
  <si>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</si>
  <si>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</si>
  <si>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</si>
  <si>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</si>
  <si>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</si>
  <si>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</si>
  <si>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</si>
  <si>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</si>
  <si>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</si>
  <si>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</si>
  <si>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</si>
  <si>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</si>
  <si>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</si>
  <si>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</si>
  <si>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</si>
  <si>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</si>
  <si>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</si>
  <si>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</si>
  <si>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</si>
  <si>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</si>
  <si>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</si>
  <si>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</si>
  <si>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</si>
  <si>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</si>
  <si>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</si>
  <si>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</si>
  <si>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</si>
  <si>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</si>
  <si>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</si>
  <si>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</si>
  <si>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</si>
  <si>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</si>
  <si>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</si>
  <si>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</si>
  <si>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</si>
  <si>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</si>
  <si>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</si>
  <si>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</si>
  <si>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</si>
  <si>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</si>
  <si>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</si>
  <si>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</si>
  <si>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</si>
  <si>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</si>
  <si>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</si>
  <si>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</si>
  <si>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</si>
  <si>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</si>
  <si>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</si>
  <si>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</si>
  <si>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</si>
  <si>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</si>
  <si>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</si>
  <si>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</si>
  <si>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</si>
  <si>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</si>
  <si>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</si>
  <si>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</si>
  <si>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</si>
  <si>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</si>
  <si>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</si>
  <si>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</si>
  <si>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</si>
  <si>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</si>
  <si>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</si>
  <si>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</si>
  <si>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</si>
  <si>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</si>
  <si>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</si>
  <si>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</si>
  <si>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</si>
  <si>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</si>
  <si>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</si>
  <si>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</si>
  <si>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</si>
  <si>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</si>
  <si>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</si>
  <si>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</si>
  <si>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</si>
  <si>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</si>
  <si>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</si>
  <si>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</si>
  <si>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</si>
  <si>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</si>
  <si>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</si>
  <si>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</si>
  <si>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</si>
  <si>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</si>
  <si>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</si>
  <si>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</si>
  <si>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</si>
  <si>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</si>
  <si>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</si>
  <si>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</si>
  <si>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</si>
  <si>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</si>
  <si>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</si>
  <si>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</si>
  <si>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</si>
  <si>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</si>
  <si>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</si>
  <si>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</si>
  <si>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</si>
  <si>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</si>
  <si>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</si>
  <si>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</si>
  <si>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</si>
  <si>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</si>
  <si>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</si>
  <si>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</si>
  <si>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</si>
  <si>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</si>
  <si>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</si>
  <si>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</si>
  <si>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</si>
  <si>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</si>
  <si>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</si>
  <si>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</si>
  <si>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</si>
  <si>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</si>
  <si>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</si>
  <si>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</si>
  <si>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</si>
  <si>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</si>
  <si>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</si>
  <si>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</si>
  <si>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</si>
  <si>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</si>
  <si>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</si>
  <si>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</si>
  <si>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</si>
  <si>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</si>
  <si>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</si>
  <si>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</si>
  <si>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</si>
  <si>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</si>
  <si>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</si>
  <si>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</si>
  <si>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</si>
  <si>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</si>
  <si>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</si>
  <si>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</si>
  <si>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</si>
  <si>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</si>
  <si>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</si>
  <si>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</si>
  <si>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</si>
  <si>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</si>
  <si>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</si>
  <si>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</si>
  <si>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</si>
  <si>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</si>
  <si>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</si>
  <si>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</si>
  <si>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</si>
  <si>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</si>
  <si>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</si>
  <si>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</si>
  <si>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</si>
  <si>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</si>
  <si>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</si>
  <si>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</si>
  <si>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</si>
  <si>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</si>
  <si>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</si>
  <si>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</si>
  <si>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</si>
  <si>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</si>
  <si>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</si>
  <si>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</si>
  <si>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</si>
  <si>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</si>
  <si>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</si>
  <si>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</si>
  <si>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</si>
  <si>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</si>
  <si>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</si>
  <si>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</si>
  <si>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</si>
  <si>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</si>
  <si>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</si>
  <si>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</si>
  <si>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</si>
  <si>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</si>
  <si>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</si>
  <si>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</si>
  <si>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</si>
  <si>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</si>
  <si>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</si>
  <si>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</si>
  <si>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</si>
  <si>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</si>
  <si>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</si>
  <si>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</si>
  <si>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</si>
  <si>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</si>
  <si>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</si>
  <si>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</si>
  <si>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</si>
  <si>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</si>
  <si>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</si>
  <si>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</si>
  <si>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</si>
  <si>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</si>
  <si>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</si>
  <si>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</si>
  <si>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</si>
  <si>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</si>
  <si>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</si>
  <si>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</si>
  <si>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</si>
  <si>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</si>
  <si>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</si>
  <si>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</si>
  <si>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</si>
  <si>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</si>
  <si>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</si>
  <si>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</si>
  <si>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</si>
  <si>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</si>
  <si>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</si>
  <si>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</si>
  <si>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</si>
  <si>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</si>
  <si>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</si>
  <si>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</si>
  <si>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</si>
  <si>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</si>
  <si>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</si>
  <si>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</si>
  <si>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</si>
  <si>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</si>
  <si>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</si>
  <si>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</si>
  <si>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</si>
  <si>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</si>
  <si>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</si>
  <si>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</si>
  <si>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</si>
  <si>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</si>
  <si>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</si>
  <si>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</si>
  <si>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</si>
  <si>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</si>
  <si>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</si>
  <si>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</si>
  <si>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</si>
  <si>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</si>
  <si>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</si>
  <si>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</si>
  <si>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</si>
  <si>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</si>
  <si>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</si>
  <si>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</si>
  <si>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</si>
  <si>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</si>
  <si>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</si>
  <si>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</si>
  <si>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</si>
  <si>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</si>
  <si>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</si>
  <si>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</si>
  <si>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</si>
  <si>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</si>
  <si>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</si>
  <si>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</si>
  <si>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</si>
  <si>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</si>
  <si>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</si>
  <si>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</si>
  <si>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</si>
  <si>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</si>
  <si>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</si>
  <si>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</si>
  <si>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</si>
  <si>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</si>
  <si>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</si>
  <si>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</si>
  <si>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</si>
  <si>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</si>
  <si>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</si>
  <si>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</si>
  <si>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</si>
  <si>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</si>
  <si>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</si>
  <si>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</si>
  <si>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</si>
  <si>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</si>
  <si>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</si>
  <si>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</si>
  <si>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</si>
  <si>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</si>
  <si>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</si>
  <si>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</si>
  <si>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</si>
  <si>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</si>
  <si>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</si>
  <si>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</si>
  <si>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</si>
  <si>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</si>
  <si>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</si>
  <si>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</si>
  <si>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</si>
  <si>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</si>
  <si>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</si>
  <si>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</si>
  <si>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</si>
  <si>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</si>
  <si>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</si>
  <si>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</si>
  <si>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</si>
  <si>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</si>
  <si>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</si>
  <si>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</si>
  <si>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</si>
  <si>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</si>
  <si>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</si>
  <si>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</si>
  <si>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</si>
  <si>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</si>
  <si>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</si>
  <si>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</si>
  <si>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</si>
  <si>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</si>
  <si>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</si>
  <si>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</si>
  <si>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</si>
  <si>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</si>
  <si>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</si>
  <si>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</si>
  <si>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</si>
  <si>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</si>
  <si>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</si>
  <si>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</si>
  <si>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</si>
  <si>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</si>
  <si>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</si>
  <si>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</si>
  <si>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</si>
  <si>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</si>
  <si>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</si>
  <si>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</si>
  <si>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</si>
  <si>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</si>
  <si>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</si>
  <si>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</si>
  <si>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</si>
  <si>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</si>
  <si>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</si>
  <si>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</si>
  <si>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</si>
  <si>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</si>
  <si>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</si>
  <si>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</si>
  <si>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</si>
  <si>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</si>
  <si>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</si>
  <si>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</si>
  <si>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</si>
  <si>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</si>
  <si>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</si>
  <si>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</si>
  <si>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</si>
  <si>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</si>
  <si>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</si>
  <si>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</si>
  <si>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</si>
  <si>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</si>
  <si>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</si>
  <si>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</si>
  <si>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</si>
  <si>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</si>
  <si>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</si>
  <si>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</si>
  <si>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</si>
  <si>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</si>
  <si>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</si>
  <si>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</si>
  <si>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</si>
  <si>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</si>
  <si>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</si>
  <si>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</si>
  <si>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</si>
  <si>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</si>
  <si>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</si>
  <si>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</si>
  <si>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</si>
  <si>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</si>
  <si>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</si>
  <si>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</si>
  <si>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</si>
  <si>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</si>
  <si>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</si>
  <si>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</si>
  <si>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</si>
  <si>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</si>
  <si>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</si>
  <si>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</si>
  <si>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</si>
  <si>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</si>
  <si>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</si>
  <si>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</si>
  <si>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</si>
  <si>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</si>
  <si>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</si>
  <si>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</si>
  <si>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</si>
  <si>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</si>
  <si>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</si>
  <si>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</si>
  <si>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</si>
  <si>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</si>
  <si>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</si>
  <si>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</si>
  <si>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</si>
  <si>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</si>
  <si>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</si>
  <si>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</si>
  <si>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</si>
  <si>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</si>
  <si>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</si>
  <si>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</si>
  <si>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</si>
  <si>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</si>
  <si>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</si>
  <si>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</si>
  <si>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</si>
  <si>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</si>
  <si>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</si>
  <si>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</si>
  <si>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</si>
  <si>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</si>
  <si>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</si>
  <si>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</si>
  <si>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</si>
  <si>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</si>
  <si>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</si>
  <si>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</si>
  <si>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</si>
  <si>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</si>
  <si>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</si>
  <si>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</si>
  <si>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</si>
  <si>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</si>
  <si>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</si>
  <si>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</si>
  <si>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</si>
  <si>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</si>
  <si>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</si>
  <si>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</si>
  <si>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</si>
  <si>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</si>
  <si>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</si>
  <si>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</si>
  <si>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</si>
  <si>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</si>
  <si>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</si>
  <si>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</si>
  <si>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</si>
  <si>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</si>
  <si>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</si>
  <si>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</si>
  <si>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</si>
  <si>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</si>
  <si>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</si>
  <si>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</si>
  <si>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</si>
  <si>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</si>
  <si>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</si>
  <si>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</si>
  <si>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</si>
  <si>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</si>
  <si>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</si>
  <si>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</si>
  <si>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</si>
  <si>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</si>
  <si>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</si>
  <si>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</si>
  <si>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</si>
  <si>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</si>
  <si>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</si>
  <si>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</si>
  <si>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</si>
  <si>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</si>
  <si>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</si>
  <si>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</si>
  <si>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</si>
  <si>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</si>
  <si>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</si>
  <si>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</si>
  <si>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</si>
  <si>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</si>
  <si>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</si>
  <si>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</si>
  <si>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</si>
  <si>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</si>
  <si>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</si>
  <si>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</si>
  <si>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</si>
  <si>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</si>
  <si>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</si>
  <si>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</si>
  <si>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</si>
  <si>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</si>
  <si>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</si>
  <si>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</si>
  <si>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</si>
  <si>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</si>
  <si>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</si>
  <si>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</si>
  <si>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</si>
  <si>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</si>
  <si>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</si>
  <si>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</si>
  <si>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</si>
  <si>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</si>
  <si>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</si>
  <si>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</si>
  <si>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</si>
  <si>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</si>
  <si>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</si>
  <si>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</si>
  <si>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</si>
  <si>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</si>
  <si>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</si>
  <si>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</si>
  <si>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</si>
  <si>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</si>
  <si>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</si>
  <si>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</si>
  <si>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</si>
  <si>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</si>
  <si>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</si>
  <si>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</si>
  <si>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</si>
  <si>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</si>
  <si>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</si>
  <si>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</si>
  <si>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</si>
  <si>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</si>
  <si>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</si>
  <si>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</si>
  <si>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</si>
  <si>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</si>
  <si>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</si>
  <si>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</si>
  <si>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</si>
  <si>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</si>
  <si>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</si>
  <si>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</si>
  <si>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</si>
  <si>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</si>
  <si>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</si>
  <si>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</si>
  <si>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</si>
  <si>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</si>
  <si>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</si>
  <si>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</si>
  <si>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</si>
  <si>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</si>
  <si>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</si>
  <si>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</si>
  <si>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</si>
  <si>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</si>
  <si>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</si>
  <si>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</si>
  <si>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</si>
  <si>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</si>
  <si>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</si>
  <si>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</si>
  <si>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</si>
  <si>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</si>
  <si>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</si>
  <si>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</si>
  <si>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</si>
  <si>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</si>
  <si>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</si>
  <si>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</si>
  <si>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</si>
  <si>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</si>
  <si>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</si>
  <si>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</si>
  <si>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</si>
  <si>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</si>
  <si>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</si>
  <si>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</si>
  <si>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</si>
  <si>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</si>
  <si>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</si>
  <si>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</si>
  <si>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</si>
  <si>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</si>
  <si>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</si>
  <si>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</si>
  <si>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</si>
  <si>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</si>
  <si>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</si>
  <si>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</si>
  <si>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</si>
  <si>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</si>
  <si>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</si>
  <si>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</si>
  <si>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</si>
  <si>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</si>
  <si>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</si>
  <si>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</si>
  <si>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</si>
  <si>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</si>
  <si>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</si>
  <si>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</si>
  <si>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</si>
  <si>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</si>
  <si>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</si>
  <si>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</si>
  <si>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</si>
  <si>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</si>
  <si>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</si>
  <si>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</si>
  <si>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</si>
  <si>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</si>
  <si>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</si>
  <si>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</si>
  <si>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</si>
  <si>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</si>
  <si>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</si>
  <si>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</si>
  <si>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</si>
  <si>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</si>
  <si>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</si>
  <si>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</si>
  <si>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</si>
  <si>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</si>
  <si>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</si>
  <si>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</si>
  <si>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</si>
  <si>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</si>
  <si>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</si>
  <si>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</si>
  <si>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</si>
  <si>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</si>
  <si>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</si>
  <si>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</si>
  <si>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</si>
  <si>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</si>
  <si>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</si>
  <si>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</si>
  <si>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</si>
  <si>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</si>
  <si>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</si>
  <si>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</si>
  <si>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</si>
  <si>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</si>
  <si>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</si>
  <si>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</si>
  <si>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</si>
  <si>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</si>
  <si>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</si>
  <si>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</si>
  <si>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</si>
  <si>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</si>
  <si>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</si>
  <si>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</si>
  <si>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</si>
  <si>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</si>
  <si>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</si>
  <si>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</si>
  <si>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</si>
  <si>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</si>
  <si>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</si>
  <si>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</si>
  <si>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</si>
  <si>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</si>
  <si>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</si>
  <si>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</si>
  <si>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</si>
  <si>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</si>
  <si>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</si>
  <si>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</si>
  <si>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</si>
  <si>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</si>
  <si>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</si>
  <si>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</si>
  <si>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</si>
  <si>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</si>
  <si>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</si>
  <si>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</si>
  <si>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</si>
  <si>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</si>
  <si>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</si>
  <si>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</si>
  <si>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</si>
  <si>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</si>
  <si>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</si>
  <si>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</si>
  <si>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</si>
  <si>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</si>
  <si>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</si>
  <si>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</si>
  <si>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</si>
  <si>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</si>
  <si>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</si>
  <si>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</si>
  <si>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</si>
  <si>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</si>
  <si>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</si>
  <si>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</si>
  <si>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</si>
  <si>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</si>
  <si>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</si>
  <si>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</si>
  <si>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</si>
  <si>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</si>
  <si>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</si>
  <si>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</si>
  <si>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</si>
  <si>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</si>
  <si>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</si>
  <si>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</si>
  <si>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</si>
  <si>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</si>
  <si>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</si>
  <si>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</si>
  <si>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</si>
  <si>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</si>
  <si>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</si>
  <si>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</si>
  <si>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</si>
  <si>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</si>
  <si>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</si>
  <si>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</si>
  <si>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</si>
  <si>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</si>
  <si>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</si>
  <si>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</si>
  <si>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</si>
  <si>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</si>
  <si>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</si>
  <si>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</si>
  <si>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</si>
  <si>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</si>
  <si>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</si>
  <si>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</si>
  <si>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</si>
  <si>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</si>
  <si>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</si>
  <si>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</si>
  <si>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</si>
  <si>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</si>
  <si>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</si>
  <si>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</si>
  <si>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</si>
  <si>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</si>
  <si>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</si>
  <si>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</si>
  <si>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</si>
  <si>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</si>
  <si>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</si>
  <si>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</si>
  <si>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</si>
  <si>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</si>
  <si>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</si>
  <si>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</si>
  <si>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</si>
  <si>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</si>
  <si>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</si>
  <si>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</si>
  <si>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</si>
  <si>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</si>
  <si>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</si>
  <si>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</si>
  <si>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</si>
  <si>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</si>
  <si>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</si>
  <si>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</si>
  <si>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</si>
  <si>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</si>
  <si>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</si>
  <si>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</si>
  <si>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</si>
  <si>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</si>
  <si>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</si>
  <si>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</si>
  <si>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</si>
  <si>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</si>
  <si>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</si>
  <si>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</si>
  <si>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</si>
  <si>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</si>
  <si>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</si>
  <si>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</si>
  <si>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</si>
  <si>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</si>
  <si>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</si>
  <si>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</si>
  <si>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</si>
  <si>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</si>
  <si>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</si>
  <si>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</si>
  <si>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</si>
  <si>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</si>
  <si>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</si>
  <si>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</si>
  <si>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</si>
  <si>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</si>
  <si>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</si>
  <si>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</si>
  <si>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</si>
  <si>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</si>
  <si>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</si>
  <si>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</si>
  <si>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</si>
  <si>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</si>
  <si>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</si>
  <si>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</si>
  <si>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</si>
  <si>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</si>
  <si>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</si>
  <si>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</si>
  <si>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</si>
  <si>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</si>
  <si>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</si>
  <si>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</si>
  <si>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</si>
  <si>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</si>
  <si>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</si>
  <si>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</si>
  <si>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</si>
  <si>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</si>
  <si>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</si>
  <si>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</si>
  <si>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</si>
  <si>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</si>
  <si>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</si>
  <si>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</si>
  <si>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</si>
  <si>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</si>
  <si>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</si>
  <si>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</si>
  <si>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</si>
  <si>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</si>
  <si>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</si>
  <si>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</si>
  <si>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</si>
  <si>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</si>
  <si>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</si>
  <si>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</si>
  <si>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</si>
  <si>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</si>
  <si>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</si>
  <si>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</si>
  <si>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</si>
  <si>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</si>
  <si>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</si>
  <si>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</si>
  <si>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</si>
  <si>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</si>
  <si>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</si>
  <si>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</si>
  <si>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</si>
  <si>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</si>
  <si>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</si>
  <si>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</si>
  <si>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</si>
  <si>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</si>
  <si>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</si>
  <si>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</si>
  <si>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</si>
  <si>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</si>
  <si>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</si>
  <si>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</si>
  <si>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</si>
  <si>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</si>
  <si>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</si>
  <si>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</si>
  <si>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</si>
  <si>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</si>
  <si>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</si>
  <si>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</si>
  <si>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</si>
  <si>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</si>
  <si>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</si>
  <si>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</si>
  <si>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</si>
  <si>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</si>
  <si>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</si>
  <si>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</si>
  <si>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</si>
  <si>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</si>
  <si>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</si>
  <si>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</si>
  <si>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</si>
  <si>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</si>
  <si>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</si>
  <si>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</si>
  <si>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</si>
  <si>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</si>
  <si>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</si>
  <si>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</si>
  <si>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</si>
  <si>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</si>
  <si>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</si>
  <si>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</si>
  <si>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</si>
  <si>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</si>
  <si>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</si>
  <si>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</si>
  <si>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</si>
  <si>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</si>
  <si>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</si>
  <si>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</si>
  <si>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</si>
  <si>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</si>
  <si>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</si>
  <si>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</si>
  <si>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</si>
  <si>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</si>
  <si>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</si>
  <si>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</si>
  <si>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</si>
  <si>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</si>
  <si>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</si>
  <si>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</si>
  <si>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</si>
  <si>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</si>
  <si>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</si>
  <si>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</si>
  <si>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</si>
  <si>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</si>
  <si>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</si>
  <si>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</si>
  <si>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</si>
  <si>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</si>
  <si>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</si>
  <si>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</si>
  <si>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</si>
  <si>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</si>
  <si>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</si>
  <si>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</si>
  <si>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</si>
  <si>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</si>
  <si>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</si>
  <si>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</si>
  <si>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</si>
  <si>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</si>
  <si>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</si>
  <si>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</si>
  <si>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</si>
  <si>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</si>
  <si>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</si>
  <si>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</si>
  <si>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</si>
  <si>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</si>
  <si>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</si>
  <si>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</si>
  <si>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</si>
  <si>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</si>
  <si>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</si>
  <si>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</si>
  <si>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</si>
  <si>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</si>
  <si>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</si>
  <si>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</si>
  <si>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</si>
  <si>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</si>
  <si>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</si>
  <si>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</si>
  <si>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</si>
  <si>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</si>
  <si>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</si>
  <si>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</si>
  <si>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</si>
  <si>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</si>
  <si>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</si>
  <si>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</si>
  <si>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</si>
  <si>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</si>
  <si>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</si>
  <si>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</si>
  <si>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</si>
  <si>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</si>
  <si>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</si>
  <si>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</si>
  <si>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</si>
  <si>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</si>
  <si>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</si>
  <si>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</si>
  <si>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</si>
  <si>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</si>
  <si>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</si>
  <si>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</si>
  <si>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</si>
  <si>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</si>
  <si>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</si>
  <si>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</si>
  <si>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</si>
  <si>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</si>
  <si>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</si>
  <si>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</si>
  <si>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</si>
  <si>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</si>
  <si>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</si>
  <si>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</si>
  <si>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</si>
  <si>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</si>
  <si>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</si>
  <si>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</si>
  <si>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</si>
  <si>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</si>
  <si>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</si>
  <si>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</si>
  <si>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</si>
  <si>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</si>
  <si>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</si>
  <si>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</si>
  <si>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</si>
  <si>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</si>
  <si>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</si>
  <si>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</si>
  <si>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</si>
  <si>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</si>
  <si>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</si>
  <si>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</si>
  <si>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</si>
  <si>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</si>
  <si>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</si>
  <si>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</si>
  <si>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</si>
  <si>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</si>
  <si>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</si>
  <si>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</si>
  <si>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</si>
  <si>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</si>
  <si>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</si>
  <si>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</si>
  <si>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</si>
  <si>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</si>
  <si>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</si>
  <si>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</si>
  <si>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</si>
  <si>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</si>
  <si>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</si>
  <si>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</si>
  <si>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</si>
  <si>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</si>
  <si>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</si>
  <si>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</si>
  <si>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</si>
  <si>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</si>
  <si>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</si>
  <si>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</si>
  <si>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</si>
  <si>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</si>
  <si>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</si>
  <si>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</si>
  <si>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</si>
  <si>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</si>
  <si>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</si>
  <si>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</si>
  <si>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</si>
  <si>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</si>
  <si>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</si>
  <si>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</si>
  <si>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</si>
  <si>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</si>
  <si>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</si>
  <si>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</si>
  <si>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</si>
  <si>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</si>
  <si>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</si>
  <si>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</si>
  <si>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</si>
  <si>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</si>
  <si>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</si>
  <si>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</si>
  <si>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</si>
  <si>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</si>
  <si>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</si>
  <si>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</si>
  <si>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</si>
  <si>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</si>
  <si>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</si>
  <si>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</si>
  <si>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</si>
  <si>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</si>
  <si>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</si>
  <si>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</si>
  <si>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</si>
  <si>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</si>
  <si>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</si>
  <si>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</si>
  <si>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</si>
  <si>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</si>
  <si>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</si>
  <si>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</si>
  <si>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</si>
  <si>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</si>
  <si>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</si>
  <si>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</si>
  <si>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</si>
  <si>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</si>
  <si>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</si>
  <si>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</si>
  <si>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</si>
  <si>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</si>
  <si>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</si>
  <si>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</si>
  <si>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</si>
  <si>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</si>
  <si>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</si>
  <si>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</si>
  <si>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</si>
  <si>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</si>
  <si>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</si>
  <si>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</si>
  <si>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</si>
  <si>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</si>
  <si>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</si>
  <si>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</si>
  <si>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</si>
  <si>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</si>
  <si>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</si>
  <si>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</si>
  <si>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</si>
  <si>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</si>
  <si>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</si>
  <si>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</si>
  <si>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</si>
  <si>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</si>
  <si>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</si>
  <si>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</si>
  <si>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</si>
  <si>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</si>
  <si>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</si>
  <si>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</si>
  <si>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</si>
  <si>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</si>
  <si>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</si>
  <si>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</si>
  <si>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</si>
  <si>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</si>
  <si>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</si>
  <si>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</si>
  <si>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</si>
  <si>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</si>
  <si>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</si>
  <si>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</si>
  <si>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</si>
  <si>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</si>
  <si>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</si>
  <si>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</si>
  <si>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</si>
  <si>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</si>
  <si>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</si>
  <si>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</si>
  <si>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</si>
  <si>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</si>
  <si>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</si>
  <si>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</si>
  <si>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</si>
  <si>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</si>
  <si>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</si>
  <si>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</si>
  <si>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</si>
  <si>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</si>
  <si>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</si>
  <si>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</si>
  <si>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</si>
  <si>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</si>
  <si>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</si>
  <si>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</si>
  <si>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</si>
  <si>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</si>
  <si>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</si>
  <si>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</si>
  <si>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</si>
  <si>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</si>
  <si>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</si>
  <si>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</si>
  <si>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</si>
  <si>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</si>
  <si>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</si>
  <si>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</si>
  <si>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</si>
  <si>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</si>
  <si>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</si>
  <si>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</si>
  <si>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</si>
  <si>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</si>
  <si>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</si>
  <si>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</si>
  <si>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</si>
  <si>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</si>
  <si>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</si>
  <si>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</si>
  <si>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</si>
  <si>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</si>
  <si>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</si>
  <si>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</si>
  <si>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</si>
  <si>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</si>
  <si>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</si>
  <si>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</si>
  <si>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</si>
  <si>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</si>
  <si>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</si>
  <si>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</si>
  <si>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</si>
  <si>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</si>
  <si>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</si>
  <si>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</si>
  <si>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</si>
  <si>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</si>
  <si>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</si>
  <si>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</si>
  <si>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</si>
  <si>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</si>
  <si>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</si>
  <si>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</si>
  <si>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</si>
  <si>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</si>
  <si>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</si>
  <si>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</si>
  <si>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</si>
  <si>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</si>
  <si>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</si>
  <si>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</si>
  <si>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</si>
  <si>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</si>
  <si>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</si>
  <si>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</si>
  <si>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</si>
  <si>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</si>
  <si>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</si>
  <si>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</si>
  <si>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</si>
  <si>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</si>
  <si>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</si>
  <si>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</si>
  <si>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</si>
  <si>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</si>
  <si>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</si>
  <si>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</si>
  <si>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</si>
  <si>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</si>
  <si>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</si>
  <si>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</si>
  <si>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</si>
  <si>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</si>
  <si>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</si>
  <si>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</si>
  <si>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</si>
  <si>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</si>
  <si>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</si>
  <si>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</si>
  <si>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</si>
  <si>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</si>
  <si>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</si>
  <si>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</si>
  <si>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</si>
  <si>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</si>
  <si>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</si>
  <si>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</si>
  <si>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</si>
  <si>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</si>
  <si>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</si>
  <si>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</si>
  <si>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</si>
  <si>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</si>
  <si>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</si>
  <si>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</si>
  <si>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</si>
  <si>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</si>
  <si>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</si>
  <si>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</si>
  <si>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</si>
  <si>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</si>
  <si>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</si>
  <si>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</si>
  <si>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</si>
  <si>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</si>
  <si>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</si>
  <si>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</si>
  <si>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</si>
  <si>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</si>
  <si>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</si>
  <si>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</si>
  <si>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</si>
  <si>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</si>
  <si>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</si>
  <si>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</si>
  <si>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</si>
  <si>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</si>
  <si>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</si>
  <si>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</si>
  <si>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</si>
  <si>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</si>
  <si>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</si>
  <si>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</si>
  <si>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</si>
  <si>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</si>
  <si>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</si>
  <si>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</si>
  <si>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</si>
  <si>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</si>
  <si>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</si>
  <si>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</si>
  <si>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</si>
  <si>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</si>
  <si>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</si>
  <si>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</si>
  <si>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</si>
  <si>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</si>
  <si>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</si>
  <si>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</si>
  <si>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</si>
  <si>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</si>
  <si>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</si>
  <si>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</si>
  <si>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</si>
  <si>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</si>
  <si>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</si>
  <si>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</si>
  <si>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</si>
  <si>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</si>
  <si>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</si>
  <si>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</si>
  <si>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</si>
  <si>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</si>
  <si>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</si>
  <si>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</si>
  <si>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</si>
  <si>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</si>
  <si>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</si>
  <si>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</si>
  <si>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</si>
  <si>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</si>
  <si>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</si>
  <si>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</si>
  <si>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</si>
  <si>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</si>
  <si>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</si>
  <si>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</si>
  <si>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</si>
  <si>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</si>
  <si>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</si>
  <si>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</si>
  <si>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</si>
  <si>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</si>
  <si>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</si>
  <si>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</si>
  <si>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</si>
  <si>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</si>
  <si>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</si>
  <si>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</si>
  <si>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</si>
  <si>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</si>
  <si>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</si>
  <si>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</si>
  <si>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</si>
  <si>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</si>
  <si>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</si>
  <si>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</si>
  <si>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</si>
  <si>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</si>
  <si>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</si>
  <si>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</si>
  <si>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</si>
  <si>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</si>
  <si>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</si>
  <si>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</si>
  <si>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</si>
  <si>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</si>
  <si>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</si>
  <si>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</si>
  <si>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</si>
  <si>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</si>
  <si>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</si>
  <si>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</si>
  <si>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</si>
  <si>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</si>
  <si>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</si>
  <si>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</si>
  <si>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</si>
  <si>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</si>
  <si>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</si>
  <si>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</si>
  <si>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</si>
  <si>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</si>
  <si>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</si>
  <si>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</si>
  <si>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</si>
  <si>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</si>
  <si>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</si>
  <si>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</si>
  <si>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</si>
  <si>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</si>
  <si>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</si>
  <si>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</si>
  <si>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</si>
  <si>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</si>
  <si>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</si>
  <si>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</si>
  <si>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</si>
  <si>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</si>
  <si>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</si>
  <si>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</si>
  <si>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</si>
  <si>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</si>
  <si>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</si>
  <si>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</si>
  <si>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</si>
  <si>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</si>
  <si>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</si>
  <si>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</si>
  <si>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</si>
  <si>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</si>
  <si>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</si>
  <si>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</si>
  <si>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</si>
  <si>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</si>
  <si>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</si>
  <si>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</si>
  <si>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</si>
  <si>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</si>
  <si>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</si>
  <si>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</si>
  <si>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</si>
  <si>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</si>
  <si>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</si>
  <si>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</si>
  <si>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</si>
  <si>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</si>
  <si>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</si>
  <si>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</si>
  <si>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</si>
  <si>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</si>
  <si>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</si>
  <si>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</si>
  <si>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</si>
  <si>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</si>
  <si>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</si>
  <si>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</si>
  <si>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</si>
  <si>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</si>
  <si>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</si>
  <si>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</si>
  <si>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</si>
  <si>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</si>
  <si>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</si>
  <si>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</si>
  <si>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</si>
  <si>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</si>
  <si>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</si>
  <si>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</si>
  <si>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</si>
  <si>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</si>
  <si>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</si>
  <si>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</si>
  <si>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</si>
  <si>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</si>
  <si>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</si>
  <si>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</si>
  <si>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</si>
  <si>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</si>
  <si>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</si>
  <si>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</si>
  <si>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</si>
  <si>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</si>
  <si>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</si>
  <si>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</si>
  <si>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</si>
  <si>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</si>
  <si>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</si>
  <si>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</si>
  <si>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</si>
  <si>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</si>
  <si>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</si>
  <si>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</si>
  <si>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</si>
  <si>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</si>
  <si>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</si>
  <si>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</si>
  <si>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</si>
  <si>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</si>
  <si>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</si>
  <si>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</si>
  <si>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</si>
  <si>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</si>
  <si>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</si>
  <si>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</si>
  <si>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</si>
  <si>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</si>
  <si>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</si>
  <si>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</si>
  <si>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</si>
  <si>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</si>
  <si>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</si>
  <si>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</si>
  <si>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</si>
  <si>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</si>
  <si>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</si>
  <si>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</si>
  <si>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</si>
  <si>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</si>
  <si>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</si>
  <si>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</si>
  <si>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</si>
  <si>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</si>
  <si>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</si>
  <si>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</si>
  <si>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</si>
  <si>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</si>
  <si>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</si>
  <si>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</si>
  <si>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</si>
  <si>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</si>
  <si>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</si>
  <si>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</si>
  <si>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</si>
  <si>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</si>
  <si>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</si>
  <si>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</si>
  <si>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</si>
  <si>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</si>
  <si>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</si>
  <si>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</si>
  <si>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</si>
  <si>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</si>
  <si>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</si>
  <si>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</si>
  <si>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</si>
  <si>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</si>
  <si>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</si>
  <si>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</si>
  <si>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</si>
  <si>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</si>
  <si>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</si>
  <si>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</si>
  <si>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</si>
  <si>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</si>
  <si>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</si>
  <si>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</si>
  <si>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</si>
  <si>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</si>
  <si>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</si>
  <si>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</si>
  <si>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</si>
  <si>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</si>
  <si>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</si>
  <si>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</si>
  <si>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</si>
  <si>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</si>
  <si>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</si>
  <si>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</si>
  <si>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</si>
  <si>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</si>
  <si>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</si>
  <si>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</si>
  <si>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</si>
  <si>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</si>
  <si>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</si>
  <si>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</si>
  <si>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</si>
  <si>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</si>
  <si>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</si>
  <si>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</si>
  <si>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</si>
  <si>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</si>
  <si>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</si>
  <si>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</si>
  <si>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</si>
  <si>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</si>
  <si>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</si>
  <si>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</si>
  <si>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</si>
  <si>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</si>
  <si>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</si>
  <si>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</si>
  <si>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</si>
  <si>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</si>
  <si>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</si>
  <si>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</si>
  <si>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</si>
  <si>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</si>
  <si>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</si>
  <si>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</si>
  <si>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</si>
  <si>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</si>
  <si>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</si>
  <si>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</si>
  <si>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</si>
  <si>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</si>
  <si>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</si>
  <si>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</si>
  <si>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</si>
  <si>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</si>
  <si>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</si>
  <si>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</si>
  <si>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</si>
  <si>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</si>
  <si>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</si>
  <si>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</si>
  <si>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</si>
  <si>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</si>
  <si>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</si>
  <si>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</si>
  <si>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</si>
  <si>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</si>
  <si>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</si>
  <si>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</si>
  <si>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</si>
  <si>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</si>
  <si>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</si>
  <si>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</si>
  <si>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</si>
  <si>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</si>
  <si>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</si>
  <si>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</si>
  <si>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</si>
  <si>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</si>
  <si>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</si>
  <si>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</si>
  <si>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</si>
  <si>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</si>
  <si>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</si>
  <si>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</si>
  <si>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</si>
  <si>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</si>
  <si>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</si>
  <si>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</si>
  <si>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</si>
  <si>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</si>
  <si>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</si>
  <si>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</si>
  <si>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</si>
  <si>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</si>
  <si>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</si>
  <si>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</si>
  <si>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</si>
  <si>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</si>
  <si>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</si>
  <si>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</si>
  <si>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</si>
  <si>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</si>
  <si>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</si>
  <si>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</si>
  <si>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</si>
  <si>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</si>
  <si>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</si>
  <si>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</si>
  <si>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</si>
  <si>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</si>
  <si>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</si>
  <si>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</si>
  <si>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</si>
  <si>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</si>
  <si>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</si>
  <si>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</si>
  <si>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</si>
  <si>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</si>
  <si>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</si>
  <si>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</si>
  <si>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</si>
  <si>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</si>
  <si>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</si>
  <si>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</si>
  <si>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</si>
  <si>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</si>
  <si>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</si>
  <si>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</si>
  <si>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</si>
  <si>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</si>
  <si>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</si>
  <si>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</si>
  <si>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</si>
  <si>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</si>
  <si>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</si>
  <si>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</si>
  <si>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</si>
  <si>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</si>
  <si>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</si>
  <si>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</si>
  <si>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</si>
  <si>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</si>
  <si>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</si>
  <si>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</si>
  <si>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</si>
  <si>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</si>
  <si>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</si>
  <si>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</si>
  <si>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</si>
  <si>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</si>
  <si>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</si>
  <si>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</si>
  <si>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</si>
  <si>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</si>
  <si>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</si>
  <si>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</si>
  <si>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</si>
  <si>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</si>
  <si>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</si>
  <si>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</si>
  <si>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</si>
  <si>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</si>
  <si>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</si>
  <si>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</si>
  <si>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</si>
  <si>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</si>
  <si>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</si>
  <si>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</si>
  <si>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</si>
  <si>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</si>
  <si>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</si>
  <si>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</si>
  <si>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</si>
  <si>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</si>
  <si>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</si>
  <si>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</si>
  <si>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</si>
  <si>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</si>
  <si>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</si>
  <si>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</si>
  <si>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</si>
  <si>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</si>
  <si>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</si>
  <si>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</si>
  <si>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</si>
  <si>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</si>
  <si>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</si>
  <si>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</si>
  <si>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</si>
  <si>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</si>
  <si>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</si>
  <si>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</si>
  <si>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</si>
  <si>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</si>
  <si>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</si>
  <si>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</si>
  <si>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</si>
  <si>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</si>
  <si>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</si>
  <si>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</si>
  <si>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</si>
  <si>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</si>
  <si>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</si>
  <si>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</si>
  <si>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</si>
  <si>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</si>
  <si>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</si>
  <si>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</si>
  <si>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</si>
  <si>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</si>
  <si>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</si>
  <si>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</si>
  <si>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</si>
  <si>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</si>
  <si>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</si>
  <si>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</si>
  <si>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</si>
  <si>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</si>
  <si>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</si>
  <si>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</si>
  <si>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</si>
  <si>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</si>
  <si>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</si>
  <si>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</si>
  <si>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</si>
  <si>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</si>
  <si>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</si>
  <si>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</si>
  <si>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</si>
  <si>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</si>
  <si>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</si>
  <si>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</si>
  <si>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</si>
  <si>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</si>
  <si>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</si>
  <si>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</si>
  <si>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</si>
  <si>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</si>
  <si>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</si>
  <si>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</si>
  <si>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</si>
  <si>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</si>
  <si>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</si>
  <si>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</si>
  <si>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</si>
  <si>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</si>
  <si>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</si>
  <si>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</si>
  <si>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</si>
  <si>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</si>
  <si>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</si>
  <si>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</si>
  <si>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</si>
  <si>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</si>
  <si>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</si>
  <si>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</si>
  <si>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</si>
  <si>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</si>
  <si>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</si>
  <si>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</si>
  <si>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</si>
  <si>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</si>
  <si>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</si>
  <si>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</si>
  <si>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</si>
  <si>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</si>
  <si>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</si>
  <si>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</si>
  <si>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</si>
  <si>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</si>
  <si>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</si>
  <si>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</si>
  <si>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</si>
  <si>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</si>
  <si>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</si>
  <si>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</si>
  <si>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</si>
  <si>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</si>
  <si>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</si>
  <si>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</si>
  <si>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</si>
  <si>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</si>
  <si>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</si>
  <si>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</si>
  <si>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</si>
  <si>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</si>
  <si>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</si>
  <si>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</si>
  <si>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</si>
  <si>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</si>
  <si>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</si>
  <si>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</si>
  <si>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</si>
  <si>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</si>
  <si>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</si>
  <si>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</si>
  <si>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</si>
  <si>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</si>
  <si>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</si>
  <si>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</si>
  <si>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</si>
  <si>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</si>
  <si>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</si>
  <si>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</si>
  <si>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</si>
  <si>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</si>
  <si>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</si>
  <si>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</si>
  <si>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</si>
  <si>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</si>
  <si>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</si>
  <si>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</si>
  <si>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</si>
  <si>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</si>
  <si>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</si>
  <si>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</si>
  <si>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</si>
  <si>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</si>
  <si>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</si>
  <si>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</si>
  <si>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</si>
  <si>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</si>
  <si>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</si>
  <si>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</si>
  <si>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</si>
  <si>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</si>
  <si>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</si>
  <si>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</si>
  <si>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</si>
  <si>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</si>
  <si>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</si>
  <si>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</si>
  <si>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</si>
  <si>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</si>
  <si>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</si>
  <si>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</si>
  <si>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</si>
  <si>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</si>
  <si>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</si>
  <si>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</si>
  <si>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</si>
  <si>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</si>
  <si>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</si>
  <si>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</si>
  <si>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</si>
  <si>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</si>
  <si>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</si>
  <si>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</si>
  <si>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</si>
  <si>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</si>
  <si>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</si>
  <si>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</si>
  <si>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</si>
  <si>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</si>
  <si>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</si>
  <si>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</si>
  <si>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</si>
  <si>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</si>
  <si>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</si>
  <si>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</si>
  <si>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</si>
  <si>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</si>
  <si>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</si>
  <si>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</si>
  <si>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</si>
  <si>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</si>
  <si>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</si>
  <si>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</si>
  <si>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</si>
  <si>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</si>
  <si>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</si>
  <si>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</si>
  <si>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</si>
  <si>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</si>
  <si>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</si>
  <si>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</si>
  <si>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</si>
  <si>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</si>
  <si>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</si>
  <si>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</si>
  <si>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</si>
  <si>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</si>
  <si>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</si>
  <si>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</si>
  <si>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</si>
  <si>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</si>
  <si>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</si>
  <si>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</si>
  <si>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</si>
  <si>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</si>
  <si>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</si>
  <si>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</si>
  <si>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</si>
  <si>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</si>
  <si>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</si>
  <si>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</si>
  <si>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</si>
  <si>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</si>
  <si>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</si>
  <si>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</si>
  <si>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</si>
  <si>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</si>
  <si>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</si>
  <si>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</si>
  <si>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</si>
  <si>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</si>
  <si>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</si>
  <si>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</si>
  <si>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</si>
  <si>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</si>
  <si>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</si>
  <si>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</si>
  <si>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</si>
  <si>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</si>
  <si>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</si>
  <si>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</si>
  <si>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</si>
  <si>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</si>
  <si>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</si>
  <si>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</si>
  <si>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</si>
  <si>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</si>
  <si>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</si>
  <si>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</si>
  <si>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</si>
  <si>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</si>
  <si>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</si>
  <si>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</si>
  <si>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</si>
  <si>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</si>
  <si>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</si>
  <si>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</si>
  <si>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</si>
  <si>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</si>
  <si>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</si>
  <si>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</si>
  <si>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</si>
  <si>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</si>
  <si>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</si>
  <si>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</si>
  <si>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</si>
  <si>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</si>
  <si>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</si>
  <si>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</si>
  <si>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</si>
  <si>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</si>
  <si>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</si>
  <si>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</si>
  <si>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</si>
  <si>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</si>
  <si>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</si>
  <si>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</si>
  <si>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</si>
  <si>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</si>
  <si>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</si>
  <si>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</si>
  <si>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</si>
  <si>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</si>
  <si>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</si>
  <si>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</si>
  <si>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</si>
  <si>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</si>
  <si>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</si>
  <si>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</si>
  <si>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</si>
  <si>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</si>
  <si>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</si>
  <si>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</si>
  <si>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</si>
  <si>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</si>
  <si>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</si>
  <si>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</si>
  <si>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</si>
  <si>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</si>
  <si>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</si>
  <si>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</si>
  <si>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</si>
  <si>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</si>
  <si>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</si>
  <si>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</si>
  <si>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</si>
  <si>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</si>
  <si>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</si>
  <si>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</si>
  <si>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</si>
  <si>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</si>
  <si>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</si>
  <si>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</si>
  <si>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</si>
  <si>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</si>
  <si>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</si>
  <si>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</si>
  <si>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</si>
  <si>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</si>
  <si>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</si>
  <si>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</si>
  <si>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</si>
  <si>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</si>
  <si>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</si>
  <si>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</si>
  <si>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</si>
  <si>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</si>
  <si>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</si>
  <si>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</si>
  <si>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</si>
  <si>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</si>
  <si>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</si>
  <si>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</si>
  <si>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</si>
  <si>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</si>
  <si>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</si>
  <si>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</si>
  <si>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</si>
  <si>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</si>
  <si>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</si>
  <si>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</si>
  <si>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</si>
  <si>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</si>
  <si>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</si>
  <si>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</si>
  <si>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</si>
  <si>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</si>
  <si>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</si>
  <si>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</si>
  <si>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</si>
  <si>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</si>
  <si>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</si>
  <si>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</si>
  <si>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</si>
  <si>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</si>
  <si>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</si>
  <si>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</si>
  <si>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</si>
  <si>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</si>
  <si>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</si>
  <si>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</si>
  <si>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</si>
  <si>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</si>
  <si>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</si>
  <si>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</si>
  <si>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</si>
  <si>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</si>
  <si>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</si>
  <si>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</si>
  <si>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</si>
  <si>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</si>
  <si>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</si>
  <si>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</si>
  <si>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</si>
  <si>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</si>
  <si>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</si>
  <si>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</si>
  <si>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</si>
  <si>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</si>
  <si>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</si>
  <si>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</si>
  <si>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</si>
  <si>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</si>
  <si>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</si>
  <si>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</si>
  <si>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</si>
  <si>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</si>
  <si>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</si>
  <si>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</si>
  <si>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</si>
  <si>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</si>
  <si>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</si>
  <si>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</si>
  <si>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</si>
  <si>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</si>
  <si>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</si>
  <si>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</si>
  <si>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</si>
  <si>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</si>
  <si>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</si>
  <si>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</si>
  <si>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</si>
  <si>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</si>
  <si>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</si>
  <si>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</si>
  <si>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</si>
  <si>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</si>
  <si>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</si>
  <si>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</si>
  <si>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</si>
  <si>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</si>
  <si>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</si>
  <si>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</si>
  <si>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</si>
  <si>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</si>
  <si>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</si>
  <si>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</si>
  <si>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</si>
  <si>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</si>
  <si>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</si>
  <si>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</si>
  <si>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</si>
  <si>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</si>
  <si>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</si>
  <si>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</si>
  <si>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</si>
  <si>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</si>
  <si>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</si>
  <si>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</si>
  <si>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</si>
  <si>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</si>
  <si>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</si>
  <si>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</si>
  <si>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</si>
  <si>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</si>
  <si>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</si>
  <si>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</si>
  <si>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</si>
  <si>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</si>
  <si>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</si>
  <si>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</si>
  <si>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</si>
  <si>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</si>
  <si>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</si>
  <si>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</si>
  <si>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</si>
  <si>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</si>
  <si>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</si>
  <si>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</si>
  <si>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</si>
  <si>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</si>
  <si>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</si>
  <si>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</si>
  <si>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</si>
  <si>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</si>
  <si>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</si>
  <si>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</si>
  <si>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</si>
  <si>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</si>
  <si>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</si>
  <si>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</si>
  <si>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</si>
  <si>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</si>
  <si>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</si>
  <si>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</si>
  <si>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</si>
  <si>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</si>
  <si>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</si>
  <si>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</si>
  <si>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</si>
  <si>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</si>
  <si>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</si>
  <si>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</si>
  <si>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</si>
  <si>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</si>
  <si>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</si>
  <si>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</si>
  <si>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</si>
  <si>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</si>
  <si>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</si>
  <si>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</si>
  <si>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</si>
  <si>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</si>
  <si>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</si>
  <si>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</si>
  <si>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</si>
  <si>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</si>
  <si>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</si>
  <si>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</si>
  <si>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</si>
  <si>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</si>
  <si>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</si>
  <si>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</si>
  <si>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</si>
  <si>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</si>
  <si>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</si>
  <si>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</si>
  <si>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</si>
  <si>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</si>
  <si>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</si>
  <si>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</si>
  <si>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</si>
  <si>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</si>
  <si>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</si>
  <si>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</si>
  <si>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</si>
  <si>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</si>
  <si>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</si>
  <si>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</si>
  <si>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</si>
  <si>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</si>
  <si>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</si>
  <si>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</si>
  <si>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</si>
  <si>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</si>
  <si>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</si>
  <si>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</si>
  <si>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</si>
  <si>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</si>
  <si>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</si>
  <si>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</si>
  <si>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</si>
  <si>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</si>
  <si>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</si>
  <si>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</si>
  <si>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</si>
  <si>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</si>
  <si>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</si>
  <si>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</si>
  <si>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</si>
  <si>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</si>
  <si>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</si>
  <si>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</si>
  <si>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</si>
  <si>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</si>
  <si>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</si>
  <si>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</si>
  <si>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</si>
  <si>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</si>
  <si>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</si>
  <si>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</si>
  <si>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</si>
  <si>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</si>
  <si>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</si>
  <si>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</si>
  <si>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</si>
  <si>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</si>
  <si>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</si>
  <si>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</si>
  <si>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</si>
  <si>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</si>
  <si>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</si>
  <si>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</si>
  <si>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</si>
  <si>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</si>
  <si>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</si>
  <si>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</si>
  <si>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</si>
  <si>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</si>
  <si>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</si>
  <si>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</si>
  <si>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</si>
  <si>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</si>
  <si>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</si>
  <si>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</si>
  <si>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</si>
  <si>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</si>
  <si>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</si>
  <si>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</si>
  <si>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</si>
  <si>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</si>
  <si>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</si>
  <si>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</si>
  <si>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</si>
  <si>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</si>
  <si>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</si>
  <si>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</si>
  <si>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</si>
  <si>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</si>
  <si>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</si>
  <si>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</si>
  <si>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</si>
  <si>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</si>
  <si>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</si>
  <si>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</si>
  <si>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</si>
  <si>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</si>
  <si>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</si>
  <si>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</si>
  <si>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</si>
  <si>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</si>
  <si>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</si>
  <si>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</si>
  <si>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</si>
  <si>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</si>
  <si>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</si>
  <si>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</si>
  <si>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</si>
  <si>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</si>
  <si>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</si>
  <si>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</si>
  <si>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</si>
  <si>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</si>
  <si>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</si>
  <si>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</si>
  <si>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</si>
  <si>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</si>
  <si>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</si>
  <si>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</si>
  <si>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</si>
  <si>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</si>
  <si>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</si>
  <si>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</si>
  <si>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</si>
  <si>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</si>
  <si>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</si>
  <si>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</si>
  <si>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</si>
  <si>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</si>
  <si>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</si>
  <si>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</si>
  <si>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</si>
  <si>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</si>
  <si>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</si>
  <si>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</si>
  <si>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</si>
  <si>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</si>
  <si>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</si>
  <si>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</si>
  <si>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</si>
  <si>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</si>
  <si>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</si>
  <si>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</si>
  <si>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</si>
  <si>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</si>
  <si>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</si>
  <si>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</si>
  <si>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</si>
  <si>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</si>
  <si>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</si>
  <si>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</si>
  <si>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</si>
  <si>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</si>
  <si>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</si>
  <si>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</si>
  <si>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</si>
  <si>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</si>
  <si>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</si>
  <si>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</si>
  <si>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</si>
  <si>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</si>
  <si>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</si>
  <si>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</si>
  <si>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</si>
  <si>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</si>
  <si>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</si>
  <si>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</si>
  <si>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</si>
  <si>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</si>
  <si>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</si>
  <si>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</si>
  <si>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</si>
  <si>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</si>
  <si>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</si>
  <si>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</si>
  <si>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</si>
  <si>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</si>
  <si>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</si>
  <si>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</si>
  <si>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</si>
  <si>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</si>
  <si>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</si>
  <si>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</si>
  <si>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</si>
  <si>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</si>
  <si>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</si>
  <si>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</si>
  <si>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</si>
  <si>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</si>
  <si>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</si>
  <si>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</si>
  <si>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</si>
  <si>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</si>
  <si>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</si>
  <si>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</si>
  <si>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</si>
  <si>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</si>
  <si>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</si>
  <si>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</si>
  <si>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</si>
  <si>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</si>
  <si>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</si>
  <si>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</si>
  <si>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</si>
  <si>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</si>
  <si>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</si>
  <si>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</si>
  <si>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</si>
  <si>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</si>
  <si>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</si>
  <si>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</si>
  <si>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</si>
  <si>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</si>
  <si>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</si>
  <si>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</si>
  <si>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</si>
  <si>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</si>
  <si>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</si>
  <si>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</si>
  <si>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</si>
  <si>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</si>
  <si>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</si>
  <si>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</si>
  <si>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</si>
  <si>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</si>
  <si>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</si>
  <si>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</si>
  <si>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</si>
  <si>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</si>
  <si>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</si>
  <si>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</si>
  <si>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</si>
  <si>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</si>
  <si>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</si>
  <si>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</si>
  <si>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</si>
  <si>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</si>
  <si>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</si>
  <si>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</si>
  <si>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</si>
  <si>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</si>
  <si>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</si>
  <si>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</si>
  <si>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</si>
  <si>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</si>
  <si>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</si>
  <si>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</si>
  <si>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</si>
  <si>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</si>
  <si>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</si>
  <si>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</si>
  <si>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</si>
  <si>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</si>
  <si>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</si>
  <si>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</si>
  <si>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</si>
  <si>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</si>
  <si>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</si>
  <si>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</si>
  <si>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</si>
  <si>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</si>
  <si>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</si>
  <si>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</si>
  <si>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</si>
  <si>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</si>
  <si>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</si>
  <si>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</si>
  <si>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</si>
  <si>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</si>
  <si>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</si>
  <si>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</si>
  <si>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</si>
  <si>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</si>
  <si>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</si>
  <si>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</si>
  <si>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</si>
  <si>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</si>
  <si>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</si>
  <si>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</si>
  <si>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</si>
  <si>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</si>
  <si>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</si>
  <si>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</si>
  <si>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</si>
  <si>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</si>
  <si>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</si>
  <si>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</si>
  <si>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</si>
  <si>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</si>
  <si>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</si>
  <si>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</si>
  <si>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</si>
  <si>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</si>
  <si>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</si>
  <si>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</si>
  <si>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</si>
  <si>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</si>
  <si>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</si>
  <si>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</si>
  <si>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</si>
  <si>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</si>
  <si>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</si>
  <si>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</si>
  <si>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</si>
  <si>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</si>
  <si>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</si>
  <si>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</si>
  <si>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</si>
  <si>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</si>
  <si>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</si>
  <si>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</si>
  <si>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</si>
  <si>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</si>
  <si>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</si>
  <si>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</si>
  <si>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</si>
  <si>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</si>
  <si>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</si>
  <si>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</si>
  <si>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</si>
  <si>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</si>
  <si>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</si>
  <si>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</si>
  <si>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</si>
  <si>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</si>
  <si>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</si>
  <si>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</si>
  <si>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</si>
  <si>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</si>
  <si>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</si>
  <si>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</si>
  <si>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</si>
  <si>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</si>
  <si>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</si>
  <si>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</si>
  <si>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</si>
  <si>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</si>
  <si>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</si>
  <si>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</si>
  <si>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</si>
  <si>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</si>
  <si>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</si>
  <si>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</si>
  <si>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</si>
  <si>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</si>
  <si>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</si>
  <si>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</si>
  <si>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</si>
  <si>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</si>
  <si>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</si>
  <si>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</si>
  <si>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</si>
  <si>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</si>
  <si>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</si>
  <si>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</si>
  <si>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</si>
  <si>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</si>
  <si>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</si>
  <si>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</si>
  <si>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</si>
  <si>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</si>
  <si>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</si>
  <si>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</si>
  <si>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</si>
  <si>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</si>
  <si>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</si>
  <si>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</si>
  <si>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</si>
  <si>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</si>
  <si>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</si>
  <si>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</si>
  <si>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</si>
  <si>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</si>
  <si>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</si>
  <si>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</si>
  <si>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</si>
  <si>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</si>
  <si>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</si>
  <si>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</si>
  <si>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</si>
  <si>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</si>
  <si>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</si>
  <si>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</si>
  <si>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</si>
  <si>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</si>
  <si>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</si>
  <si>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</si>
  <si>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</si>
  <si>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</si>
  <si>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</si>
  <si>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</si>
  <si>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</si>
  <si>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</si>
  <si>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</si>
  <si>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</si>
  <si>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</si>
  <si>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</si>
  <si>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</si>
  <si>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</si>
  <si>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</si>
  <si>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</si>
  <si>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</si>
  <si>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</si>
  <si>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</si>
  <si>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</si>
  <si>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</si>
  <si>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</si>
  <si>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</si>
  <si>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</si>
  <si>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</si>
  <si>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</si>
  <si>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</si>
  <si>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</si>
  <si>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</si>
  <si>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</si>
  <si>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</si>
  <si>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</si>
  <si>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</si>
  <si>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</si>
  <si>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</si>
  <si>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</si>
  <si>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</si>
  <si>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</si>
  <si>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</si>
  <si>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</si>
  <si>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</si>
  <si>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</si>
  <si>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</si>
  <si>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</si>
  <si>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</si>
  <si>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</si>
  <si>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</si>
  <si>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</si>
  <si>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</si>
  <si>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</si>
  <si>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</si>
  <si>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</si>
  <si>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</si>
  <si>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</si>
  <si>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</si>
  <si>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</si>
  <si>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</si>
  <si>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</si>
  <si>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</si>
  <si>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</si>
  <si>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</si>
  <si>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</si>
  <si>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</si>
  <si>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</si>
  <si>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</si>
  <si>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</si>
  <si>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</si>
  <si>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</si>
  <si>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</si>
  <si>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</si>
  <si>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</si>
  <si>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</si>
  <si>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</si>
  <si>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</si>
  <si>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</si>
  <si>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</si>
  <si>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</si>
  <si>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</si>
  <si>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</si>
  <si>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</si>
  <si>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</si>
  <si>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</si>
  <si>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</si>
  <si>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</si>
  <si>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</si>
  <si>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</si>
  <si>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</si>
  <si>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</si>
  <si>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</si>
  <si>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</si>
  <si>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</si>
  <si>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</si>
  <si>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</si>
  <si>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</si>
  <si>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</si>
  <si>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</si>
  <si>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</si>
  <si>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</si>
  <si>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</si>
  <si>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</si>
  <si>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</si>
  <si>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</si>
  <si>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</si>
  <si>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</si>
  <si>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</si>
  <si>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</si>
  <si>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</si>
  <si>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</si>
  <si>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</si>
  <si>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</si>
  <si>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</si>
  <si>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</si>
  <si>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</si>
  <si>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</si>
  <si>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</si>
  <si>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</si>
  <si>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</si>
  <si>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</si>
  <si>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</si>
  <si>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</si>
  <si>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</si>
  <si>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</si>
  <si>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</si>
  <si>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</si>
  <si>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</si>
  <si>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</si>
  <si>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</si>
  <si>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</si>
  <si>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</si>
  <si>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</si>
  <si>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</si>
  <si>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</si>
  <si>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</si>
  <si>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</si>
  <si>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</si>
  <si>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</si>
  <si>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</si>
  <si>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</si>
  <si>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</si>
  <si>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</si>
  <si>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</si>
  <si>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</si>
  <si>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</si>
  <si>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</si>
  <si>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</si>
  <si>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</si>
  <si>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</si>
  <si>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</si>
  <si>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</si>
  <si>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</si>
  <si>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</si>
  <si>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</si>
  <si>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</si>
  <si>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</si>
  <si>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</si>
  <si>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</si>
  <si>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</si>
  <si>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</si>
  <si>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</si>
  <si>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</si>
  <si>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</si>
  <si>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</si>
  <si>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</si>
  <si>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</si>
  <si>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</si>
  <si>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</si>
  <si>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</si>
  <si>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</si>
  <si>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</si>
  <si>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</si>
  <si>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</si>
  <si>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</si>
  <si>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</si>
  <si>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</si>
  <si>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</si>
  <si>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</si>
  <si>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</si>
  <si>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</si>
  <si>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</si>
  <si>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</si>
  <si>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</si>
  <si>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</si>
  <si>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</si>
  <si>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</si>
  <si>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</si>
  <si>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</si>
  <si>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</si>
  <si>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</si>
  <si>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</si>
  <si>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</si>
  <si>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</si>
  <si>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</si>
  <si>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</si>
  <si>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</si>
  <si>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</si>
  <si>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</si>
  <si>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</si>
  <si>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</si>
  <si>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</si>
  <si>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</si>
  <si>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</si>
  <si>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</si>
  <si>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</si>
  <si>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</si>
  <si>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</si>
  <si>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</si>
  <si>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</si>
  <si>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</si>
  <si>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</si>
  <si>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</si>
  <si>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</si>
  <si>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</si>
  <si>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</si>
  <si>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</si>
  <si>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</si>
  <si>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</si>
  <si>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</si>
  <si>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</si>
  <si>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</si>
  <si>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</si>
  <si>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</si>
  <si>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</si>
  <si>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</si>
  <si>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</si>
  <si>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</si>
  <si>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</si>
  <si>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</si>
  <si>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</si>
  <si>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</si>
  <si>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</si>
  <si>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</si>
  <si>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</si>
  <si>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</si>
  <si>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</si>
  <si>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</si>
  <si>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</si>
  <si>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</si>
  <si>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</si>
  <si>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</si>
  <si>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</si>
  <si>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</si>
  <si>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</si>
  <si>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</si>
  <si>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</si>
  <si>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</si>
  <si>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</si>
  <si>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</si>
  <si>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</si>
  <si>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</si>
  <si>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</si>
  <si>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</si>
  <si>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</si>
  <si>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</si>
  <si>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</si>
  <si>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</si>
  <si>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</si>
  <si>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</si>
  <si>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</si>
  <si>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</si>
  <si>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</si>
  <si>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</si>
  <si>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</si>
  <si>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</si>
  <si>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</si>
  <si>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</si>
  <si>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</si>
  <si>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</si>
  <si>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</si>
  <si>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</si>
  <si>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</si>
  <si>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</si>
  <si>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</si>
  <si>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</si>
  <si>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</si>
  <si>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</si>
  <si>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</si>
  <si>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</si>
  <si>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</si>
  <si>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</si>
  <si>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</si>
  <si>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</si>
  <si>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</si>
  <si>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</si>
  <si>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</si>
  <si>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</si>
  <si>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</si>
  <si>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</si>
  <si>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</si>
  <si>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</si>
  <si>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</si>
  <si>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</si>
  <si>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</si>
  <si>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</si>
  <si>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</si>
  <si>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</si>
  <si>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</si>
  <si>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</si>
  <si>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</si>
  <si>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</si>
  <si>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</si>
  <si>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</si>
  <si>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</si>
  <si>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</si>
  <si>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</si>
  <si>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</si>
  <si>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</si>
  <si>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</si>
  <si>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</si>
  <si>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</si>
  <si>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</si>
  <si>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</si>
  <si>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</si>
  <si>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</si>
  <si>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</si>
  <si>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</si>
  <si>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</si>
  <si>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</si>
  <si>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</si>
  <si>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</si>
  <si>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</si>
  <si>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</si>
  <si>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</si>
  <si>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</si>
  <si>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</si>
  <si>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</si>
  <si>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</si>
  <si>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</si>
  <si>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</si>
  <si>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</si>
  <si>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</si>
  <si>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</si>
  <si>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</si>
  <si>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</si>
  <si>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</si>
  <si>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</si>
  <si>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</si>
  <si>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</si>
  <si>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</si>
  <si>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</si>
  <si>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</si>
  <si>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</si>
  <si>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</si>
  <si>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</si>
  <si>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</si>
  <si>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</si>
  <si>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</si>
  <si>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</si>
  <si>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</si>
  <si>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</si>
  <si>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</si>
  <si>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</si>
  <si>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</si>
  <si>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</si>
  <si>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</si>
  <si>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</si>
  <si>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</si>
  <si>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</si>
  <si>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</si>
  <si>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</si>
  <si>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</si>
  <si>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</si>
  <si>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</si>
  <si>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</si>
  <si>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</si>
  <si>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</si>
  <si>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</si>
  <si>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</si>
  <si>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</si>
  <si>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</si>
  <si>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</si>
  <si>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</si>
  <si>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</si>
  <si>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</si>
  <si>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</si>
  <si>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</si>
  <si>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</si>
  <si>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</si>
  <si>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</si>
  <si>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</si>
  <si>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</si>
  <si>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</si>
  <si>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</si>
  <si>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</si>
  <si>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</si>
  <si>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</si>
  <si>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</si>
  <si>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</si>
  <si>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</si>
  <si>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</si>
  <si>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</si>
  <si>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</si>
  <si>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</si>
  <si>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</si>
  <si>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</si>
  <si>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</si>
  <si>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</si>
  <si>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</si>
  <si>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</si>
  <si>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</si>
  <si>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</si>
  <si>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</si>
  <si>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</si>
  <si>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</si>
  <si>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</si>
  <si>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</si>
  <si>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</si>
  <si>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</si>
  <si>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</si>
  <si>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</si>
  <si>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</si>
  <si>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</si>
  <si>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</si>
  <si>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</si>
  <si>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</si>
  <si>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</si>
  <si>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</si>
  <si>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</si>
  <si>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</si>
  <si>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</si>
  <si>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</si>
  <si>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</si>
  <si>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</si>
  <si>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</si>
  <si>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</si>
  <si>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</si>
  <si>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</si>
  <si>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</si>
  <si>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</si>
  <si>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</si>
  <si>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</si>
  <si>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</si>
  <si>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</si>
  <si>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</si>
  <si>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</si>
  <si>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</si>
  <si>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</si>
  <si>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</si>
  <si>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</si>
  <si>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</si>
  <si>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</si>
  <si>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</si>
  <si>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</si>
  <si>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</si>
  <si>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</si>
  <si>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</si>
  <si>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</si>
  <si>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</si>
  <si>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</si>
  <si>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</si>
  <si>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</si>
  <si>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</si>
  <si>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</si>
  <si>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</si>
  <si>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</si>
  <si>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</si>
  <si>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</si>
  <si>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</si>
  <si>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</si>
  <si>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</si>
  <si>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</si>
  <si>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</si>
  <si>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</si>
  <si>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</si>
  <si>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</si>
  <si>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</si>
  <si>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</si>
  <si>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</si>
  <si>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</si>
  <si>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</si>
  <si>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</si>
  <si>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</si>
  <si>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</si>
  <si>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</si>
  <si>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</si>
  <si>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</si>
  <si>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</si>
  <si>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</si>
  <si>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</si>
  <si>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</si>
  <si>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</si>
  <si>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</si>
  <si>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</si>
  <si>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</si>
  <si>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</si>
  <si>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</si>
  <si>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</si>
  <si>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</si>
  <si>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</si>
  <si>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</si>
  <si>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</si>
  <si>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</si>
  <si>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</si>
  <si>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</si>
  <si>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</si>
  <si>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</si>
  <si>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</si>
  <si>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</si>
  <si>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</si>
  <si>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</si>
  <si>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</si>
  <si>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</si>
  <si>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</si>
  <si>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</si>
  <si>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</si>
  <si>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</si>
  <si>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</si>
  <si>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</si>
  <si>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</si>
  <si>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</si>
  <si>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</si>
  <si>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</si>
  <si>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</si>
  <si>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</si>
  <si>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</si>
  <si>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</si>
  <si>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</si>
  <si>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</si>
  <si>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</si>
  <si>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</si>
  <si>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</si>
  <si>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</si>
  <si>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</si>
  <si>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</si>
  <si>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</si>
  <si>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</si>
  <si>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</si>
  <si>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</si>
  <si>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</si>
  <si>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</si>
  <si>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</si>
  <si>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</si>
  <si>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</si>
  <si>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</si>
  <si>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</si>
  <si>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</si>
  <si>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</si>
  <si>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</si>
  <si>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</si>
  <si>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</si>
  <si>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</si>
  <si>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</si>
  <si>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</si>
  <si>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</si>
  <si>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</si>
  <si>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</si>
  <si>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</si>
  <si>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</si>
  <si>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</si>
  <si>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</si>
  <si>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</si>
  <si>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</si>
  <si>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</si>
  <si>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</si>
  <si>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</si>
  <si>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</si>
  <si>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</si>
  <si>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</si>
  <si>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</si>
  <si>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</si>
  <si>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</si>
  <si>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</si>
  <si>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</si>
  <si>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</si>
  <si>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</si>
  <si>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</si>
  <si>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</si>
  <si>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</si>
  <si>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</si>
  <si>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</si>
  <si>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</si>
  <si>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</si>
  <si>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</si>
  <si>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</si>
  <si>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</si>
  <si>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</si>
  <si>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</si>
  <si>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</si>
  <si>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</si>
  <si>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</si>
  <si>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</si>
  <si>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</si>
  <si>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</si>
  <si>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</si>
  <si>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</si>
  <si>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</si>
  <si>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</si>
  <si>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</si>
  <si>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</si>
  <si>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</si>
  <si>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</si>
  <si>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</si>
  <si>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</si>
  <si>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</si>
  <si>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</si>
  <si>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</si>
  <si>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</si>
  <si>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</si>
  <si>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</si>
  <si>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</si>
  <si>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</si>
  <si>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</si>
  <si>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</si>
  <si>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</si>
  <si>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</si>
  <si>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</si>
  <si>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</si>
  <si>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</si>
  <si>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</si>
  <si>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</si>
  <si>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</si>
  <si>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</si>
  <si>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</si>
  <si>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</si>
  <si>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</si>
  <si>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</si>
  <si>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</si>
  <si>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</si>
  <si>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</si>
  <si>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</si>
  <si>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</si>
  <si>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</si>
  <si>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</si>
  <si>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</si>
  <si>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</si>
  <si>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</si>
  <si>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</si>
  <si>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</si>
  <si>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</si>
  <si>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</si>
  <si>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</si>
  <si>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</si>
  <si>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</si>
  <si>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</si>
  <si>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</si>
  <si>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</si>
  <si>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</si>
  <si>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</si>
  <si>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</si>
  <si>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</si>
  <si>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</si>
  <si>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</si>
  <si>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</si>
  <si>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</si>
  <si>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</si>
  <si>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</si>
  <si>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</si>
  <si>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</si>
  <si>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</si>
  <si>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</si>
  <si>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</si>
  <si>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</si>
  <si>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</si>
  <si>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</si>
  <si>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</si>
  <si>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</si>
  <si>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</si>
  <si>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</si>
  <si>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</si>
  <si>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</si>
  <si>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</si>
  <si>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</si>
  <si>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</si>
  <si>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</si>
  <si>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</si>
  <si>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</si>
  <si>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</si>
  <si>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</si>
  <si>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</si>
  <si>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</si>
  <si>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</si>
  <si>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</si>
  <si>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</si>
  <si>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</si>
  <si>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</si>
  <si>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</si>
  <si>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</si>
  <si>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</si>
  <si>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</si>
  <si>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</si>
  <si>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</si>
  <si>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</si>
  <si>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</si>
  <si>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</si>
  <si>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</si>
  <si>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</si>
  <si>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</si>
  <si>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</si>
  <si>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</si>
  <si>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</si>
  <si>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</si>
  <si>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</si>
  <si>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</si>
  <si>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</si>
  <si>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</si>
  <si>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</si>
  <si>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</si>
  <si>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</si>
  <si>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</si>
  <si>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</si>
  <si>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</si>
  <si>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</si>
  <si>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</si>
  <si>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</si>
  <si>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</si>
  <si>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</si>
  <si>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</si>
  <si>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</si>
  <si>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</si>
  <si>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</si>
  <si>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</si>
  <si>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</si>
  <si>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</si>
  <si>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</si>
  <si>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</si>
  <si>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</si>
  <si>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</si>
  <si>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</si>
  <si>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</si>
  <si>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</si>
  <si>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</si>
  <si>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</si>
  <si>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</si>
  <si>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</si>
  <si>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</si>
  <si>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</si>
  <si>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</si>
  <si>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</si>
  <si>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</si>
  <si>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</si>
  <si>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</si>
  <si>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</si>
  <si>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</si>
  <si>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</si>
  <si>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</si>
  <si>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</si>
  <si>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</si>
  <si>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</si>
  <si>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</si>
  <si>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</si>
  <si>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</si>
  <si>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</si>
  <si>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</si>
  <si>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</si>
  <si>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</si>
  <si>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</si>
  <si>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</si>
  <si>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</si>
  <si>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</si>
  <si>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</si>
  <si>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</si>
  <si>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</si>
  <si>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</si>
  <si>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</si>
  <si>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</si>
  <si>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</si>
  <si>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</si>
  <si>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</si>
  <si>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</si>
  <si>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</si>
  <si>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</si>
  <si>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</si>
  <si>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</si>
  <si>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</si>
  <si>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</si>
  <si>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</si>
  <si>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</si>
  <si>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</si>
  <si>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</si>
  <si>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</si>
  <si>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</si>
  <si>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</si>
  <si>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</si>
  <si>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</si>
  <si>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</si>
  <si>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</si>
  <si>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</si>
  <si>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</si>
  <si>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</si>
  <si>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</si>
  <si>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</si>
  <si>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</si>
  <si>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</si>
  <si>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</si>
  <si>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</si>
  <si>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</si>
  <si>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</si>
  <si>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</si>
  <si>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</si>
  <si>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</si>
  <si>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</si>
  <si>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</si>
  <si>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</si>
  <si>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</si>
  <si>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</si>
  <si>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</si>
  <si>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</si>
  <si>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</si>
  <si>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</si>
  <si>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</si>
  <si>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</si>
  <si>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</si>
  <si>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</si>
  <si>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</si>
  <si>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</si>
  <si>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</si>
  <si>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</si>
  <si>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</si>
  <si>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</si>
  <si>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</si>
  <si>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</si>
  <si>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</si>
  <si>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</si>
  <si>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</si>
  <si>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</si>
  <si>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</si>
  <si>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</si>
  <si>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</si>
  <si>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</si>
  <si>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</si>
  <si>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</si>
  <si>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</si>
  <si>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</si>
  <si>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</si>
  <si>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</si>
  <si>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</si>
  <si>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</si>
  <si>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</si>
  <si>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</si>
  <si>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</si>
  <si>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</si>
  <si>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</si>
  <si>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</si>
  <si>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</si>
  <si>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</si>
  <si>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</si>
  <si>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</si>
  <si>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</si>
  <si>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</si>
  <si>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</si>
  <si>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</si>
  <si>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</si>
  <si>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</si>
  <si>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</si>
  <si>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</si>
  <si>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</si>
  <si>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</si>
  <si>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</si>
  <si>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</si>
  <si>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</si>
  <si>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</si>
  <si>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</si>
  <si>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</si>
  <si>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</si>
  <si>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</si>
  <si>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</si>
  <si>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</si>
  <si>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</si>
  <si>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</si>
  <si>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</si>
  <si>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</si>
  <si>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</si>
  <si>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</si>
  <si>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</si>
  <si>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</si>
  <si>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</si>
  <si>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</si>
  <si>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</si>
  <si>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</si>
  <si>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</si>
  <si>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</si>
  <si>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</si>
  <si>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</si>
  <si>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</si>
  <si>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</si>
  <si>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</si>
  <si>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</si>
  <si>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</si>
  <si>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</si>
  <si>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</si>
  <si>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</si>
  <si>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</si>
  <si>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</si>
  <si>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</si>
  <si>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</si>
  <si>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</si>
  <si>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</si>
  <si>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</si>
  <si>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</si>
  <si>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</si>
  <si>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</si>
  <si>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</si>
  <si>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</si>
  <si>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</si>
  <si>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</si>
  <si>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</si>
  <si>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</si>
  <si>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</si>
  <si>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</si>
  <si>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</si>
  <si>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</si>
  <si>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</si>
  <si>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</si>
  <si>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</si>
  <si>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</si>
  <si>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</si>
  <si>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</si>
  <si>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</si>
  <si>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</si>
  <si>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</si>
  <si>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</si>
  <si>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</si>
  <si>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</si>
  <si>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</si>
  <si>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</si>
  <si>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</si>
  <si>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</si>
  <si>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</si>
  <si>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</si>
  <si>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</si>
  <si>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</si>
  <si>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</si>
  <si>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</si>
  <si>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</si>
  <si>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</si>
  <si>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</si>
  <si>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</si>
  <si>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</si>
  <si>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</si>
  <si>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</si>
  <si>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</si>
  <si>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</si>
  <si>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</si>
  <si>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</si>
  <si>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</si>
  <si>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</si>
  <si>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</si>
  <si>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</si>
  <si>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</si>
  <si>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</si>
  <si>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</si>
  <si>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</si>
  <si>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</si>
  <si>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</si>
  <si>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</si>
  <si>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</si>
  <si>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</si>
  <si>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</si>
  <si>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</si>
  <si>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</si>
  <si>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</si>
  <si>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</si>
  <si>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</si>
  <si>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</si>
  <si>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</si>
  <si>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</si>
  <si>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</si>
  <si>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</si>
  <si>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</si>
  <si>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</si>
  <si>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</si>
  <si>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</si>
  <si>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</si>
  <si>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</si>
  <si>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</si>
  <si>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</si>
  <si>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</si>
  <si>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</si>
  <si>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</si>
  <si>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</si>
  <si>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</si>
  <si>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</si>
  <si>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</si>
  <si>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</si>
  <si>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</si>
  <si>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</si>
  <si>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</si>
  <si>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</si>
  <si>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</si>
  <si>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</si>
  <si>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</si>
  <si>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</si>
  <si>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</si>
  <si>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</si>
  <si>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</si>
  <si>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</si>
  <si>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</si>
  <si>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</si>
  <si>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</si>
  <si>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</si>
  <si>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</si>
  <si>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</si>
  <si>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</si>
  <si>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</si>
  <si>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</si>
  <si>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</si>
  <si>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</si>
  <si>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</si>
  <si>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</si>
  <si>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</si>
  <si>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</si>
  <si>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</si>
  <si>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</si>
  <si>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</si>
  <si>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</si>
  <si>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</si>
  <si>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</si>
  <si>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</si>
  <si>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</si>
  <si>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</si>
  <si>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</si>
  <si>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</si>
  <si>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</si>
  <si>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</si>
  <si>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</si>
  <si>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</si>
  <si>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</si>
  <si>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</si>
  <si>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</si>
  <si>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</si>
  <si>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</si>
  <si>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</si>
  <si>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</si>
  <si>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</si>
  <si>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</si>
  <si>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</si>
  <si>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</si>
  <si>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</si>
  <si>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</si>
  <si>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</si>
  <si>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</si>
  <si>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</si>
  <si>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</si>
  <si>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</si>
  <si>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</si>
  <si>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</si>
  <si>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</si>
  <si>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</si>
  <si>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</si>
  <si>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</si>
  <si>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</si>
  <si>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</si>
  <si>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</si>
  <si>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</si>
  <si>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</si>
  <si>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</si>
  <si>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</si>
  <si>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</si>
  <si>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</si>
  <si>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</si>
  <si>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</si>
  <si>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</si>
  <si>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</si>
  <si>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</si>
  <si>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</si>
  <si>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</si>
  <si>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</si>
  <si>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</si>
  <si>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</si>
  <si>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</si>
  <si>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</si>
  <si>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</si>
  <si>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</si>
  <si>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</si>
  <si>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</si>
  <si>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</si>
  <si>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</si>
  <si>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</si>
  <si>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</si>
  <si>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</si>
  <si>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</si>
  <si>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</si>
  <si>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</si>
  <si>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</si>
  <si>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</si>
  <si>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</si>
  <si>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</si>
  <si>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</si>
  <si>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</si>
  <si>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</si>
  <si>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</si>
  <si>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</si>
  <si>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</si>
  <si>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</si>
  <si>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</si>
  <si>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</si>
  <si>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</si>
  <si>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</si>
  <si>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</si>
  <si>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</si>
  <si>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</si>
  <si>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</si>
  <si>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</si>
  <si>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</si>
  <si>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</si>
  <si>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</si>
  <si>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</si>
  <si>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</si>
  <si>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</si>
  <si>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</si>
  <si>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</si>
  <si>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</si>
  <si>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</si>
  <si>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</si>
  <si>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</si>
  <si>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</si>
  <si>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</si>
  <si>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</si>
  <si>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</si>
  <si>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</si>
  <si>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</si>
  <si>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</si>
  <si>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</si>
  <si>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</si>
  <si>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</si>
  <si>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</si>
  <si>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</si>
  <si>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</si>
  <si>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</si>
  <si>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</si>
  <si>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</si>
  <si>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</si>
  <si>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</si>
  <si>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</si>
  <si>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</si>
  <si>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</si>
  <si>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</si>
  <si>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</si>
  <si>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</si>
  <si>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</si>
  <si>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</si>
  <si>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</si>
  <si>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</si>
  <si>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</si>
  <si>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</si>
  <si>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</si>
  <si>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</si>
  <si>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</si>
  <si>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</si>
  <si>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</si>
  <si>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</si>
  <si>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</si>
  <si>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</si>
  <si>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</si>
  <si>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</si>
  <si>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</si>
  <si>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</si>
  <si>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</si>
  <si>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</si>
  <si>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</si>
  <si>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</si>
  <si>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</si>
  <si>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</si>
  <si>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</si>
  <si>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</si>
  <si>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</si>
  <si>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</si>
  <si>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</si>
  <si>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</si>
  <si>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</si>
  <si>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</si>
  <si>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</si>
  <si>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</si>
  <si>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</si>
  <si>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</si>
  <si>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</si>
  <si>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</si>
  <si>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</si>
  <si>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</si>
  <si>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</si>
  <si>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</si>
  <si>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</si>
  <si>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</si>
  <si>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</si>
  <si>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</si>
  <si>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</si>
  <si>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</si>
  <si>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</si>
  <si>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</si>
  <si>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</si>
  <si>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</si>
  <si>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</si>
  <si>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</si>
  <si>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</si>
  <si>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</si>
  <si>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</si>
  <si>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</si>
  <si>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</si>
  <si>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</si>
  <si>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</si>
  <si>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</si>
  <si>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</si>
  <si>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</si>
  <si>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</si>
  <si>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</si>
  <si>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</si>
  <si>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</si>
  <si>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</si>
  <si>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</si>
  <si>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</si>
  <si>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</si>
  <si>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</si>
  <si>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</si>
  <si>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</si>
  <si>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</si>
  <si>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</si>
  <si>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</si>
  <si>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</si>
  <si>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</si>
  <si>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</si>
  <si>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</si>
  <si>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</si>
  <si>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</si>
  <si>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</si>
  <si>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</si>
  <si>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</si>
  <si>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</si>
  <si>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</si>
  <si>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</si>
  <si>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</si>
  <si>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</si>
  <si>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</si>
  <si>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</si>
  <si>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</si>
  <si>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</si>
  <si>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</si>
  <si>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</si>
  <si>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</si>
  <si>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</si>
  <si>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</si>
  <si>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</si>
  <si>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</si>
  <si>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</si>
  <si>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</si>
  <si>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</si>
  <si>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</si>
  <si>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</si>
  <si>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</si>
  <si>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</si>
  <si>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</si>
  <si>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</si>
  <si>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</si>
  <si>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</si>
  <si>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</si>
  <si>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</si>
  <si>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</si>
  <si>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</si>
  <si>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</si>
  <si>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</si>
  <si>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</si>
  <si>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</si>
  <si>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</si>
  <si>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</si>
  <si>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</si>
  <si>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</si>
  <si>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</si>
  <si>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</si>
  <si>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</si>
  <si>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</si>
  <si>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</si>
  <si>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</si>
  <si>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</si>
  <si>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</si>
  <si>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</si>
  <si>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</si>
  <si>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</si>
  <si>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</si>
  <si>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</si>
  <si>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</si>
  <si>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</si>
  <si>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</si>
  <si>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</si>
  <si>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</si>
  <si>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</si>
  <si>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</si>
  <si>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</si>
  <si>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</si>
  <si>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</si>
  <si>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</si>
  <si>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</si>
  <si>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</si>
  <si>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</si>
  <si>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</si>
  <si>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</si>
  <si>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</si>
  <si>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</si>
  <si>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</si>
  <si>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</si>
  <si>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</si>
  <si>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</si>
  <si>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</si>
  <si>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</si>
  <si>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</si>
  <si>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</si>
  <si>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</si>
  <si>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</si>
  <si>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</si>
  <si>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</si>
  <si>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</si>
  <si>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</si>
  <si>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</si>
  <si>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</si>
  <si>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</si>
  <si>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</si>
  <si>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</si>
  <si>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</si>
  <si>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</si>
  <si>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</si>
  <si>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</si>
  <si>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</si>
  <si>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</si>
  <si>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</si>
  <si>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</si>
  <si>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</si>
  <si>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</si>
  <si>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</si>
  <si>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</si>
  <si>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</si>
  <si>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</si>
  <si>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</si>
  <si>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</si>
  <si>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</si>
  <si>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</si>
  <si>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</si>
  <si>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</si>
  <si>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</si>
  <si>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</si>
  <si>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</si>
  <si>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</si>
  <si>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</si>
  <si>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</si>
  <si>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</si>
  <si>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</si>
  <si>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</si>
  <si>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</si>
  <si>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</si>
  <si>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</si>
  <si>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</si>
  <si>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</si>
  <si>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</si>
  <si>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</si>
  <si>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</si>
  <si>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</si>
  <si>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</si>
  <si>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</si>
  <si>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</si>
  <si>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</si>
  <si>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</si>
  <si>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</si>
  <si>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</si>
  <si>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</si>
  <si>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</si>
  <si>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</si>
  <si>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</si>
  <si>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</si>
  <si>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</si>
  <si>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</si>
  <si>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</si>
  <si>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</si>
  <si>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</si>
  <si>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</si>
  <si>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</si>
  <si>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</si>
  <si>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</si>
  <si>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</si>
  <si>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</si>
  <si>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</si>
  <si>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</si>
  <si>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</si>
  <si>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</si>
  <si>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</si>
  <si>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</si>
  <si>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</si>
  <si>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</si>
  <si>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</si>
  <si>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</si>
  <si>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</si>
  <si>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</si>
  <si>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</si>
  <si>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</si>
  <si>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</si>
  <si>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</si>
  <si>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</si>
  <si>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</si>
  <si>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</si>
  <si>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</si>
  <si>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</si>
  <si>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</si>
  <si>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</si>
  <si>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</si>
  <si>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</si>
  <si>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</si>
  <si>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</si>
  <si>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</si>
  <si>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</si>
  <si>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</si>
  <si>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</si>
  <si>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</si>
  <si>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</si>
  <si>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</si>
  <si>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</si>
  <si>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</si>
  <si>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</si>
  <si>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</si>
  <si>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</si>
  <si>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</si>
  <si>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</si>
  <si>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</si>
  <si>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</si>
  <si>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</si>
  <si>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</si>
  <si>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</si>
  <si>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</si>
  <si>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</si>
  <si>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</si>
  <si>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</si>
  <si>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</si>
  <si>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</si>
  <si>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</si>
  <si>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</si>
  <si>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</si>
  <si>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</si>
  <si>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</si>
  <si>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</si>
  <si>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</si>
  <si>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</si>
  <si>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</si>
  <si>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</si>
  <si>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</si>
  <si>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</si>
  <si>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</si>
  <si>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</si>
  <si>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</si>
  <si>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</si>
  <si>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</si>
  <si>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</si>
  <si>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</si>
  <si>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</si>
  <si>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</si>
  <si>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</si>
  <si>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</si>
  <si>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</si>
  <si>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</si>
  <si>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</si>
  <si>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</si>
  <si>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</si>
  <si>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</si>
  <si>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</si>
  <si>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</si>
  <si>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</si>
  <si>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</si>
  <si>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</si>
  <si>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</si>
  <si>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</si>
  <si>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</si>
  <si>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</si>
  <si>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</si>
  <si>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</si>
  <si>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</si>
  <si>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</si>
  <si>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</si>
  <si>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</si>
  <si>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</si>
  <si>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</si>
  <si>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</si>
  <si>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</si>
  <si>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</si>
  <si>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</si>
  <si>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</si>
  <si>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</si>
  <si>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</si>
  <si>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</si>
  <si>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</si>
  <si>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</si>
  <si>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</si>
  <si>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</si>
  <si>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</si>
  <si>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</si>
  <si>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</si>
  <si>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</si>
  <si>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</si>
  <si>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</si>
  <si>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</si>
  <si>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</si>
  <si>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</si>
  <si>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</si>
  <si>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</si>
  <si>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</si>
  <si>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</si>
  <si>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</si>
  <si>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</si>
  <si>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</si>
  <si>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</si>
  <si>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</si>
  <si>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</si>
  <si>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</si>
  <si>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</si>
  <si>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</si>
  <si>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</si>
  <si>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</si>
  <si>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</si>
  <si>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</si>
  <si>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</si>
  <si>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</si>
  <si>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</si>
  <si>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</si>
  <si>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</si>
  <si>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</si>
  <si>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</si>
  <si>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</si>
  <si>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</si>
  <si>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</si>
  <si>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</si>
  <si>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</si>
  <si>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</si>
  <si>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</si>
  <si>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</si>
  <si>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</si>
  <si>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</si>
  <si>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</si>
  <si>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</si>
  <si>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</si>
  <si>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</si>
  <si>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</si>
  <si>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</si>
  <si>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</si>
  <si>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</si>
  <si>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</si>
  <si>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</si>
  <si>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</si>
  <si>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</si>
  <si>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</si>
  <si>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</si>
  <si>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</si>
  <si>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</si>
  <si>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</si>
  <si>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</si>
  <si>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</si>
  <si>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</si>
  <si>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</si>
  <si>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</si>
  <si>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</si>
  <si>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</si>
  <si>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</si>
  <si>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</si>
  <si>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</si>
  <si>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</si>
  <si>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</si>
  <si>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</si>
  <si>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</si>
  <si>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</si>
  <si>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</si>
  <si>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</si>
  <si>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</si>
  <si>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</si>
  <si>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</si>
  <si>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</si>
  <si>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</si>
  <si>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</si>
  <si>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</si>
  <si>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</si>
  <si>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</si>
  <si>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</si>
  <si>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</si>
  <si>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</si>
  <si>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</si>
  <si>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</si>
  <si>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</si>
  <si>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</si>
  <si>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</si>
  <si>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</si>
  <si>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</si>
  <si>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</si>
  <si>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</si>
  <si>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</si>
  <si>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</si>
  <si>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</si>
  <si>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</si>
  <si>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</si>
  <si>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</si>
  <si>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</si>
  <si>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</si>
  <si>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</si>
  <si>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</si>
  <si>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</si>
  <si>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</si>
  <si>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</si>
  <si>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</si>
  <si>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</si>
  <si>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</si>
  <si>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</si>
  <si>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</si>
  <si>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</si>
  <si>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</si>
  <si>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</si>
  <si>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</si>
  <si>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</si>
  <si>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</si>
  <si>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</si>
  <si>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</si>
  <si>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</si>
  <si>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</si>
  <si>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</si>
  <si>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</si>
  <si>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</si>
  <si>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</si>
  <si>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</si>
  <si>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</si>
  <si>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</si>
  <si>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</si>
  <si>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</si>
  <si>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</si>
  <si>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</si>
  <si>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</si>
  <si>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</si>
  <si>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</si>
  <si>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</si>
  <si>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</si>
  <si>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</si>
  <si>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</si>
  <si>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</si>
  <si>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</si>
  <si>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</si>
  <si>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</si>
  <si>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</si>
  <si>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</si>
  <si>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</si>
  <si>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</si>
  <si>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</si>
  <si>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</si>
  <si>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</si>
  <si>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</si>
  <si>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</si>
  <si>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</si>
  <si>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</si>
  <si>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</si>
  <si>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</si>
  <si>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</si>
  <si>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</si>
  <si>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</si>
  <si>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</si>
  <si>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</si>
  <si>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</si>
  <si>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</si>
  <si>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</si>
  <si>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</si>
  <si>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</si>
  <si>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</si>
  <si>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</si>
  <si>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</si>
  <si>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</si>
  <si>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</si>
  <si>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</si>
  <si>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</si>
  <si>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</si>
  <si>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</si>
  <si>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</si>
  <si>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</si>
  <si>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</si>
  <si>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</si>
  <si>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</si>
  <si>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</si>
  <si>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</si>
  <si>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</si>
  <si>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</si>
  <si>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</si>
  <si>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</si>
  <si>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</si>
  <si>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</si>
  <si>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</si>
  <si>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</si>
  <si>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</si>
  <si>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</si>
  <si>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</si>
  <si>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</si>
  <si>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</si>
  <si>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</si>
  <si>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</si>
  <si>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</si>
  <si>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</si>
  <si>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</si>
  <si>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</si>
  <si>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</si>
  <si>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</si>
  <si>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</si>
  <si>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</si>
  <si>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</si>
  <si>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</si>
  <si>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</si>
  <si>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</si>
  <si>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</si>
  <si>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</si>
  <si>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</si>
  <si>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</si>
  <si>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</si>
  <si>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</si>
  <si>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</si>
  <si>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</si>
  <si>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</si>
  <si>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</si>
  <si>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</si>
  <si>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</si>
  <si>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</si>
  <si>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</si>
  <si>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</si>
  <si>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</si>
  <si>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</si>
  <si>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</si>
  <si>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</si>
  <si>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</si>
  <si>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</si>
  <si>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</si>
  <si>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</si>
  <si>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</si>
  <si>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</si>
  <si>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</si>
  <si>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</si>
  <si>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</si>
  <si>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</si>
  <si>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</si>
  <si>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</si>
  <si>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</si>
  <si>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</si>
  <si>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</si>
  <si>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</si>
  <si>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</si>
  <si>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</si>
  <si>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</si>
  <si>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</si>
  <si>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</si>
  <si>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</si>
  <si>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</si>
  <si>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</si>
  <si>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</si>
  <si>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</si>
  <si>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</si>
  <si>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</si>
  <si>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</si>
  <si>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</si>
  <si>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</si>
  <si>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</si>
  <si>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</si>
  <si>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</si>
  <si>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</si>
  <si>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</si>
  <si>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</si>
  <si>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</si>
  <si>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</si>
  <si>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</si>
  <si>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</si>
  <si>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</si>
  <si>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</si>
  <si>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</si>
  <si>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</si>
  <si>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</si>
  <si>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</si>
  <si>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</si>
  <si>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</si>
  <si>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</si>
  <si>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</si>
  <si>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</si>
  <si>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</si>
  <si>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</si>
  <si>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</si>
  <si>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</si>
  <si>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</si>
  <si>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</si>
  <si>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</si>
  <si>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</si>
  <si>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</si>
  <si>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</si>
  <si>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</si>
  <si>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</si>
  <si>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</si>
  <si>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</si>
  <si>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</si>
  <si>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</si>
  <si>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</si>
  <si>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</si>
  <si>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</si>
  <si>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</si>
  <si>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</si>
  <si>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</si>
  <si>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</si>
  <si>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</si>
  <si>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</si>
  <si>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</si>
  <si>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</si>
  <si>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</si>
  <si>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</si>
  <si>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</si>
  <si>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</si>
  <si>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</si>
  <si>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</si>
  <si>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</si>
  <si>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</si>
  <si>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</si>
  <si>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</si>
  <si>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</si>
  <si>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</si>
  <si>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</si>
  <si>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</si>
  <si>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</si>
  <si>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</si>
  <si>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</si>
  <si>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</si>
  <si>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</si>
  <si>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</si>
  <si>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</si>
  <si>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</si>
  <si>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</si>
  <si>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</si>
  <si>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</si>
  <si>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</si>
  <si>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</si>
  <si>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</si>
  <si>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</si>
  <si>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</si>
  <si>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</si>
  <si>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</si>
  <si>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</si>
  <si>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</si>
  <si>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</si>
  <si>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</si>
  <si>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</si>
  <si>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</si>
  <si>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</si>
  <si>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</si>
  <si>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</si>
  <si>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</si>
  <si>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</si>
  <si>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</si>
  <si>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</si>
  <si>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</si>
  <si>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</si>
  <si>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</si>
  <si>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</si>
  <si>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</si>
  <si>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</si>
  <si>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</si>
  <si>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</si>
  <si>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</si>
  <si>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</si>
  <si>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</si>
  <si>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</si>
  <si>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</si>
  <si>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</si>
  <si>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</si>
  <si>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</si>
  <si>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</si>
  <si>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</si>
  <si>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</si>
  <si>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</si>
  <si>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</si>
  <si>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</si>
  <si>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</si>
  <si>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</si>
  <si>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</si>
  <si>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</si>
  <si>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</si>
  <si>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</si>
  <si>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</si>
  <si>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</si>
  <si>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</si>
  <si>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</si>
  <si>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</si>
  <si>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</si>
  <si>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</si>
  <si>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</si>
  <si>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</si>
  <si>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</si>
  <si>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</si>
  <si>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</si>
  <si>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</si>
  <si>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</si>
  <si>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</si>
  <si>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</si>
  <si>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</si>
  <si>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</si>
  <si>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</si>
  <si>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</si>
  <si>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</si>
  <si>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</si>
  <si>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</si>
  <si>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</si>
  <si>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</si>
  <si>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</si>
  <si>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</si>
  <si>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</si>
  <si>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</si>
  <si>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</si>
  <si>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</si>
  <si>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</si>
  <si>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</si>
  <si>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</si>
  <si>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</si>
  <si>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</si>
  <si>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</si>
  <si>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</si>
  <si>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</si>
  <si>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</si>
  <si>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</si>
  <si>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</si>
  <si>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</si>
  <si>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</si>
  <si>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</si>
  <si>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</si>
  <si>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</si>
  <si>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</si>
  <si>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</si>
  <si>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</si>
  <si>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</si>
  <si>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</si>
  <si>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</si>
  <si>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</si>
  <si>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</si>
  <si>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</si>
  <si>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</si>
  <si>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</si>
  <si>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</si>
  <si>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</si>
  <si>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</si>
  <si>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</si>
  <si>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</si>
  <si>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</si>
  <si>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</si>
  <si>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</si>
  <si>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</si>
  <si>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</si>
  <si>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</si>
  <si>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</si>
  <si>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</si>
  <si>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</si>
  <si>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</si>
  <si>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</si>
  <si>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</si>
  <si>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</si>
  <si>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</si>
  <si>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</si>
  <si>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</si>
  <si>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</si>
  <si>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</si>
  <si>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</si>
  <si>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</si>
  <si>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</si>
  <si>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</si>
  <si>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</si>
  <si>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</si>
  <si>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</si>
  <si>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</si>
  <si>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</si>
  <si>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</si>
  <si>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</si>
  <si>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</si>
  <si>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</si>
  <si>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</si>
  <si>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</si>
  <si>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</si>
  <si>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</si>
  <si>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</si>
  <si>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</si>
  <si>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</si>
  <si>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</si>
  <si>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</si>
  <si>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</si>
  <si>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</si>
  <si>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</si>
  <si>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</si>
  <si>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</si>
  <si>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</si>
  <si>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</si>
  <si>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</si>
  <si>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</si>
  <si>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</si>
  <si>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</si>
  <si>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</si>
  <si>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</si>
  <si>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</si>
  <si>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</si>
  <si>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</si>
  <si>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</si>
  <si>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</si>
  <si>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</si>
  <si>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</si>
  <si>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</si>
  <si>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</si>
  <si>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</si>
  <si>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</si>
  <si>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</si>
  <si>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</si>
  <si>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</si>
  <si>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</si>
  <si>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</si>
  <si>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</si>
  <si>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</si>
  <si>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</si>
  <si>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</si>
  <si>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</si>
  <si>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</si>
  <si>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</si>
  <si>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</si>
  <si>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</si>
  <si>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</si>
  <si>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</si>
  <si>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</si>
  <si>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</si>
  <si>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</si>
  <si>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</si>
  <si>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</si>
  <si>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</si>
  <si>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</si>
  <si>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</si>
  <si>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</si>
  <si>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</si>
  <si>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</si>
  <si>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</si>
  <si>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</si>
  <si>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</si>
  <si>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</si>
  <si>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</si>
  <si>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</si>
  <si>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</si>
  <si>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</si>
  <si>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</si>
  <si>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</si>
  <si>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</si>
  <si>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</si>
  <si>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</si>
  <si>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</si>
  <si>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</si>
  <si>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</si>
  <si>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</si>
  <si>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</si>
  <si>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</si>
  <si>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</si>
  <si>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</si>
  <si>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</si>
  <si>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</si>
  <si>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</si>
  <si>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</si>
  <si>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</si>
  <si>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</si>
  <si>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</si>
  <si>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</si>
  <si>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</si>
  <si>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</si>
  <si>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</si>
  <si>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</si>
  <si>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</si>
  <si>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</si>
  <si>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</si>
  <si>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</si>
  <si>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</si>
  <si>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</si>
  <si>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</si>
  <si>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</si>
  <si>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</si>
  <si>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</si>
  <si>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</si>
  <si>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</si>
  <si>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</si>
  <si>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</si>
  <si>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</si>
  <si>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</si>
  <si>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</si>
  <si>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</si>
  <si>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</si>
  <si>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</si>
  <si>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</si>
  <si>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</si>
  <si>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</si>
  <si>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</si>
  <si>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</si>
  <si>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</si>
  <si>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</si>
  <si>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</si>
  <si>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</si>
  <si>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</si>
  <si>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</si>
  <si>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</si>
  <si>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</si>
  <si>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</si>
  <si>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</si>
  <si>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</si>
  <si>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</si>
  <si>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</si>
  <si>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</si>
  <si>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</si>
  <si>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</si>
  <si>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</si>
  <si>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</si>
  <si>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</si>
  <si>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</si>
  <si>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</si>
  <si>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</si>
  <si>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</si>
  <si>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</si>
  <si>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</si>
  <si>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</si>
  <si>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</si>
  <si>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</si>
  <si>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</si>
  <si>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</si>
  <si>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</si>
  <si>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</si>
  <si>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</si>
  <si>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</si>
  <si>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</si>
  <si>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</si>
  <si>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</si>
  <si>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</si>
  <si>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</si>
  <si>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</si>
  <si>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</si>
  <si>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</si>
  <si>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</si>
  <si>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</si>
  <si>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</si>
  <si>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</si>
  <si>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</si>
  <si>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</si>
  <si>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</si>
  <si>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</si>
  <si>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</si>
  <si>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</si>
  <si>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</si>
  <si>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</si>
  <si>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</si>
  <si>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</si>
  <si>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</si>
  <si>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</si>
  <si>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</si>
  <si>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</si>
  <si>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</si>
  <si>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</si>
  <si>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</si>
  <si>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</si>
  <si>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</si>
  <si>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</si>
  <si>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</si>
  <si>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</si>
  <si>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</si>
  <si>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</si>
  <si>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</si>
  <si>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</si>
  <si>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</si>
  <si>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</si>
  <si>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</si>
  <si>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</si>
  <si>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</si>
  <si>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</si>
  <si>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</si>
  <si>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</si>
  <si>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</si>
  <si>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</si>
  <si>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</si>
  <si>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</si>
  <si>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</si>
  <si>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</si>
  <si>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</si>
  <si>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</si>
  <si>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</si>
  <si>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</si>
  <si>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</si>
  <si>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</si>
  <si>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</si>
  <si>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</si>
  <si>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</si>
  <si>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</si>
  <si>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</si>
  <si>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</si>
  <si>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</si>
  <si>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</si>
  <si>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</si>
  <si>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</si>
  <si>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</si>
  <si>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</si>
  <si>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</si>
  <si>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</si>
  <si>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</si>
  <si>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</si>
  <si>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</si>
  <si>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</si>
  <si>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</si>
  <si>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</si>
  <si>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</si>
  <si>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</si>
  <si>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</si>
  <si>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</si>
  <si>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</si>
  <si>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</si>
  <si>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</si>
  <si>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</si>
  <si>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</si>
  <si>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</si>
  <si>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</si>
  <si>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</si>
  <si>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</si>
  <si>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</si>
  <si>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</si>
  <si>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</si>
  <si>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</si>
  <si>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</si>
  <si>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</si>
  <si>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</si>
  <si>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</si>
  <si>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</si>
  <si>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</si>
  <si>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</si>
  <si>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</si>
  <si>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</si>
  <si>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</si>
  <si>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</si>
  <si>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</si>
  <si>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</si>
  <si>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</si>
  <si>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</si>
  <si>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</si>
  <si>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</si>
  <si>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</si>
  <si>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</si>
  <si>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</si>
  <si>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</si>
  <si>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</si>
  <si>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</si>
  <si>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</si>
  <si>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</si>
  <si>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</si>
  <si>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</si>
  <si>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</si>
  <si>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</si>
  <si>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</si>
  <si>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</si>
  <si>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</si>
  <si>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</si>
  <si>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</si>
  <si>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</si>
  <si>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</si>
  <si>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</si>
  <si>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</si>
  <si>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</si>
  <si>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</si>
  <si>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</si>
  <si>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</si>
  <si>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</si>
  <si>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</si>
  <si>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</si>
  <si>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</si>
  <si>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</si>
  <si>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</si>
  <si>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</si>
  <si>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</si>
  <si>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</si>
  <si>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</si>
  <si>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</si>
  <si>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</si>
  <si>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</si>
  <si>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</si>
  <si>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</si>
  <si>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</si>
  <si>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</si>
  <si>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</si>
  <si>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</si>
  <si>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</si>
  <si>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</si>
  <si>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</si>
  <si>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</si>
  <si>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</si>
  <si>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</si>
  <si>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</si>
  <si>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</si>
  <si>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</si>
  <si>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</si>
  <si>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</si>
  <si>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</si>
  <si>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</si>
  <si>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</si>
  <si>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</si>
  <si>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</si>
  <si>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</si>
  <si>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</si>
  <si>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</si>
  <si>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</si>
  <si>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</si>
  <si>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</si>
  <si>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</si>
  <si>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</si>
  <si>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</si>
  <si>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</si>
  <si>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</si>
  <si>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</si>
  <si>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</si>
  <si>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</si>
  <si>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</si>
  <si>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</si>
  <si>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</si>
  <si>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</si>
  <si>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</si>
  <si>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</si>
  <si>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</si>
  <si>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</si>
  <si>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</si>
  <si>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</si>
  <si>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</si>
  <si>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</si>
  <si>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</si>
  <si>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</si>
  <si>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</si>
  <si>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</si>
  <si>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</si>
  <si>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</si>
  <si>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</si>
  <si>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</si>
  <si>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</si>
  <si>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</si>
  <si>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</si>
  <si>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</si>
  <si>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</si>
  <si>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</si>
  <si>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</si>
  <si>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</si>
  <si>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</si>
  <si>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</si>
  <si>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</si>
  <si>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</si>
  <si>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</si>
  <si>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</si>
  <si>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</si>
  <si>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</si>
  <si>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</si>
  <si>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</si>
  <si>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</si>
  <si>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</si>
  <si>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</si>
  <si>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</si>
  <si>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</si>
  <si>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</si>
  <si>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</si>
  <si>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</si>
  <si>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</si>
  <si>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</si>
  <si>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</si>
  <si>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</si>
  <si>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</si>
  <si>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</si>
  <si>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</si>
  <si>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</si>
  <si>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</si>
  <si>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</si>
  <si>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</si>
  <si>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</si>
  <si>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</si>
  <si>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</si>
  <si>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</si>
  <si>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</si>
  <si>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</si>
  <si>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</si>
  <si>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</si>
  <si>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</si>
  <si>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</si>
  <si>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</si>
  <si>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</si>
  <si>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</si>
  <si>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</si>
  <si>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</si>
  <si>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</si>
  <si>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</si>
  <si>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</si>
  <si>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</si>
  <si>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</si>
  <si>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</si>
  <si>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</si>
  <si>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</si>
  <si>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</si>
  <si>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</si>
  <si>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</si>
  <si>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</si>
  <si>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</si>
  <si>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</si>
  <si>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</si>
  <si>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</si>
  <si>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</si>
  <si>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</si>
  <si>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</si>
  <si>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</si>
  <si>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</si>
  <si>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</si>
  <si>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</si>
  <si>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</si>
  <si>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</si>
  <si>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</si>
  <si>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</si>
  <si>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</si>
  <si>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</si>
  <si>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</si>
  <si>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</si>
  <si>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</si>
  <si>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</si>
  <si>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</si>
  <si>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</si>
  <si>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</si>
  <si>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</si>
  <si>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</si>
  <si>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</si>
  <si>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</si>
  <si>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</si>
  <si>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</si>
  <si>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</si>
  <si>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</si>
  <si>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</si>
  <si>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</si>
  <si>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</si>
  <si>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</si>
  <si>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</si>
  <si>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</si>
  <si>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</si>
  <si>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</si>
  <si>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</si>
  <si>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</si>
  <si>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</si>
  <si>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</si>
  <si>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</si>
  <si>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</si>
  <si>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</si>
  <si>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</si>
  <si>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</si>
  <si>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</si>
  <si>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</si>
  <si>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</si>
  <si>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</si>
  <si>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</si>
  <si>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</si>
  <si>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</si>
  <si>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</si>
  <si>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</si>
  <si>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</si>
  <si>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</si>
  <si>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</si>
  <si>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</si>
  <si>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</si>
  <si>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</si>
  <si>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</si>
  <si>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</si>
  <si>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</si>
  <si>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</si>
  <si>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</si>
  <si>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</si>
  <si>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</si>
  <si>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</si>
  <si>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</si>
  <si>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</si>
  <si>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</si>
  <si>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</si>
  <si>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</si>
  <si>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</si>
  <si>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</si>
  <si>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</si>
  <si>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</si>
  <si>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</si>
  <si>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</si>
  <si>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</si>
  <si>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</si>
  <si>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</si>
  <si>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</si>
  <si>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</si>
  <si>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</si>
  <si>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</si>
  <si>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</si>
  <si>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</si>
  <si>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</si>
  <si>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</si>
  <si>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</si>
  <si>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</si>
  <si>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</si>
  <si>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</si>
  <si>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</si>
  <si>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</si>
  <si>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</si>
  <si>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</si>
  <si>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</si>
  <si>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</si>
  <si>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</si>
  <si>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</si>
  <si>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</si>
  <si>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</si>
  <si>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</si>
  <si>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</si>
  <si>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</si>
  <si>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</si>
  <si>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</si>
  <si>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</si>
  <si>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</si>
  <si>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</si>
  <si>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</si>
  <si>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</si>
  <si>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</si>
  <si>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</si>
  <si>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</si>
  <si>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</si>
  <si>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</si>
  <si>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</si>
  <si>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</si>
  <si>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</si>
  <si>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</si>
  <si>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</si>
  <si>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</si>
  <si>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</si>
  <si>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</si>
  <si>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</si>
  <si>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</si>
  <si>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</si>
  <si>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</si>
  <si>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</si>
  <si>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</si>
  <si>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</si>
  <si>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</si>
  <si>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</si>
  <si>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</si>
  <si>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</si>
  <si>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</si>
  <si>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</si>
  <si>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</si>
  <si>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</si>
  <si>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</si>
  <si>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</si>
  <si>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</si>
  <si>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</si>
  <si>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</si>
  <si>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</si>
  <si>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</si>
  <si>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</si>
  <si>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</si>
  <si>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</si>
  <si>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</si>
  <si>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</si>
  <si>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</si>
  <si>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</si>
  <si>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</si>
  <si>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</si>
  <si>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</si>
  <si>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</si>
  <si>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</si>
  <si>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</si>
  <si>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</si>
  <si>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</si>
  <si>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</si>
  <si>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</si>
  <si>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</si>
  <si>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</si>
  <si>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</si>
  <si>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</si>
  <si>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</si>
  <si>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</si>
  <si>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</si>
  <si>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</si>
  <si>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</si>
  <si>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</si>
  <si>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</si>
  <si>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</si>
  <si>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</si>
  <si>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</si>
  <si>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</si>
  <si>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</si>
  <si>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</si>
  <si>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</si>
  <si>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</si>
  <si>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</si>
  <si>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</si>
  <si>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</si>
  <si>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</si>
  <si>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</si>
  <si>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</si>
  <si>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</si>
  <si>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</si>
  <si>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</si>
  <si>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</si>
  <si>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</si>
  <si>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</si>
  <si>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</si>
  <si>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</si>
  <si>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</si>
  <si>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</si>
  <si>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</si>
  <si>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</si>
  <si>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</si>
  <si>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</si>
  <si>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</si>
  <si>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</si>
  <si>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</si>
  <si>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</si>
  <si>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</si>
  <si>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</si>
  <si>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</si>
  <si>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</si>
  <si>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</si>
  <si>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</si>
  <si>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</si>
  <si>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</si>
  <si>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</si>
  <si>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</si>
  <si>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</si>
  <si>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</si>
  <si>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</si>
  <si>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</si>
  <si>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</si>
  <si>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</si>
  <si>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</si>
  <si>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</si>
  <si>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</si>
  <si>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</si>
  <si>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</si>
  <si>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</si>
  <si>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</si>
  <si>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</si>
  <si>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</si>
  <si>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</si>
  <si>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</si>
  <si>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</si>
  <si>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</si>
  <si>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</si>
  <si>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</si>
  <si>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</si>
  <si>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</si>
  <si>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</si>
  <si>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</si>
  <si>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</si>
  <si>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</si>
  <si>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</si>
  <si>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</si>
  <si>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</si>
  <si>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</si>
  <si>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</si>
  <si>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</si>
  <si>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</si>
  <si>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</si>
  <si>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</si>
  <si>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</si>
  <si>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</si>
  <si>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</si>
  <si>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</si>
  <si>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</si>
  <si>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</si>
  <si>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</si>
  <si>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</si>
  <si>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</si>
  <si>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</si>
  <si>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</si>
  <si>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</si>
  <si>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</si>
  <si>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</si>
  <si>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</si>
  <si>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</si>
  <si>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</si>
  <si>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</si>
  <si>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</si>
  <si>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</si>
  <si>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</si>
  <si>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</si>
  <si>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</si>
  <si>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</si>
  <si>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</si>
  <si>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</si>
  <si>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</si>
  <si>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</si>
  <si>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</si>
  <si>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</si>
  <si>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</si>
  <si>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</si>
  <si>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</si>
  <si>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</si>
  <si>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</si>
  <si>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</si>
  <si>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</si>
  <si>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</si>
  <si>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</si>
  <si>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</si>
  <si>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</si>
  <si>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</si>
  <si>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</si>
  <si>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</si>
  <si>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</si>
  <si>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</si>
  <si>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</si>
  <si>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</si>
  <si>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</si>
  <si>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</si>
  <si>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</si>
  <si>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</si>
  <si>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</si>
  <si>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</si>
  <si>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</si>
  <si>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</si>
  <si>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</si>
  <si>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</si>
  <si>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</si>
  <si>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</si>
  <si>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</si>
  <si>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</si>
  <si>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</si>
  <si>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</si>
  <si>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</si>
  <si>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</si>
  <si>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</si>
  <si>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</si>
  <si>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</si>
  <si>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</si>
  <si>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</si>
  <si>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</si>
  <si>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</si>
  <si>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</si>
  <si>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</si>
  <si>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</si>
  <si>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</si>
  <si>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</si>
  <si>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</si>
  <si>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</si>
  <si>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</si>
  <si>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</si>
  <si>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</si>
  <si>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</si>
  <si>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</si>
  <si>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</si>
  <si>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</si>
  <si>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</si>
  <si>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</si>
  <si>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</si>
  <si>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</si>
  <si>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</si>
  <si>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</si>
  <si>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</si>
  <si>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</si>
  <si>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</si>
  <si>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</si>
  <si>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</si>
  <si>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</si>
  <si>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</si>
  <si>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</si>
  <si>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</si>
  <si>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</si>
  <si>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</si>
  <si>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</si>
  <si>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</si>
  <si>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</si>
  <si>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</si>
  <si>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</si>
  <si>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</si>
  <si>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</si>
  <si>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</si>
  <si>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</si>
  <si>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</si>
  <si>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</si>
  <si>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</si>
  <si>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</si>
  <si>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</si>
  <si>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</si>
  <si>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</si>
  <si>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</si>
  <si>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</si>
  <si>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</si>
  <si>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</si>
  <si>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</si>
  <si>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</si>
  <si>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</si>
  <si>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</si>
  <si>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</si>
  <si>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</si>
  <si>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</si>
  <si>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</si>
  <si>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</si>
  <si>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</si>
  <si>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</si>
  <si>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</si>
  <si>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</si>
  <si>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</si>
  <si>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</si>
  <si>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</si>
  <si>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</si>
  <si>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</si>
  <si>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</si>
  <si>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</si>
  <si>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</si>
  <si>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</si>
  <si>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</si>
  <si>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</si>
  <si>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</si>
  <si>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</si>
  <si>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</si>
  <si>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</si>
  <si>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</si>
  <si>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</si>
  <si>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</si>
  <si>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</si>
  <si>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</si>
  <si>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</si>
  <si>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</si>
  <si>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</si>
  <si>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</si>
  <si>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</si>
  <si>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</si>
  <si>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</si>
  <si>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</si>
  <si>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</si>
  <si>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</si>
  <si>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</si>
  <si>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</si>
  <si>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</si>
  <si>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</si>
  <si>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</si>
  <si>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</si>
  <si>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</si>
  <si>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</si>
  <si>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</si>
  <si>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</si>
  <si>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</si>
  <si>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</si>
  <si>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</si>
  <si>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</si>
  <si>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</si>
  <si>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</si>
  <si>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</si>
  <si>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</si>
  <si>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</si>
  <si>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</si>
  <si>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</si>
  <si>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</si>
  <si>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</si>
  <si>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</si>
  <si>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</si>
  <si>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</si>
  <si>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</si>
  <si>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</si>
  <si>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</si>
  <si>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</si>
  <si>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</si>
  <si>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</si>
  <si>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</si>
  <si>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</si>
  <si>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</si>
  <si>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</si>
  <si>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</si>
  <si>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</si>
  <si>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</si>
  <si>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</si>
  <si>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</si>
  <si>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</si>
  <si>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</si>
  <si>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</si>
  <si>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</si>
  <si>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</si>
  <si>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</si>
  <si>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</si>
  <si>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</si>
  <si>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</si>
  <si>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</si>
  <si>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</si>
  <si>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</si>
  <si>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</si>
  <si>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</si>
  <si>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</si>
  <si>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</si>
  <si>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</si>
  <si>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</si>
  <si>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</si>
  <si>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</si>
  <si>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</si>
  <si>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</si>
  <si>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</si>
  <si>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</si>
  <si>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</si>
  <si>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</si>
  <si>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</si>
  <si>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</si>
  <si>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</si>
  <si>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</si>
  <si>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</si>
  <si>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</si>
  <si>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</si>
  <si>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</si>
  <si>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</si>
  <si>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</si>
  <si>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</si>
  <si>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</si>
  <si>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</si>
  <si>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</si>
  <si>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</si>
  <si>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</si>
  <si>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</si>
  <si>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</si>
  <si>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</si>
  <si>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</si>
  <si>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</si>
  <si>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</si>
  <si>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</si>
  <si>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</si>
  <si>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</si>
  <si>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</si>
  <si>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</si>
  <si>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</si>
  <si>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</si>
  <si>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</si>
  <si>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</si>
  <si>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</si>
  <si>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</si>
  <si>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</si>
  <si>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</si>
  <si>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</si>
  <si>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</si>
  <si>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</si>
  <si>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</si>
  <si>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</si>
  <si>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</si>
  <si>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</si>
  <si>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</si>
  <si>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</si>
  <si>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</si>
  <si>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</si>
  <si>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</si>
  <si>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</si>
  <si>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</si>
  <si>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</si>
  <si>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</si>
  <si>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</si>
  <si>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</si>
  <si>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</si>
  <si>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</si>
  <si>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</si>
  <si>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</si>
  <si>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</si>
  <si>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</si>
  <si>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</si>
  <si>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</si>
  <si>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</si>
  <si>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</si>
  <si>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</si>
  <si>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</si>
  <si>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</si>
  <si>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</si>
  <si>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</si>
  <si>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</si>
  <si>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</si>
  <si>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</si>
  <si>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</si>
  <si>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</si>
  <si>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</si>
  <si>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</si>
  <si>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</si>
  <si>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</si>
  <si>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</si>
  <si>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</si>
  <si>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</si>
  <si>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</si>
  <si>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</si>
  <si>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</si>
  <si>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</si>
  <si>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</si>
  <si>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</si>
  <si>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</si>
  <si>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</si>
  <si>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</si>
  <si>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</si>
  <si>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</si>
  <si>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</si>
  <si>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</si>
  <si>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</si>
  <si>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</si>
  <si>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</si>
  <si>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</si>
  <si>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</si>
  <si>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</si>
  <si>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</si>
  <si>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</si>
  <si>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</si>
  <si>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</si>
  <si>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</si>
  <si>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</si>
  <si>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</si>
  <si>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</si>
  <si>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</si>
  <si>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</si>
  <si>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</si>
  <si>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</si>
  <si>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</si>
  <si>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</si>
  <si>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</si>
  <si>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</si>
  <si>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</si>
  <si>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</si>
  <si>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</si>
  <si>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</si>
  <si>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</si>
  <si>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</si>
  <si>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</si>
  <si>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</si>
  <si>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</si>
  <si>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</si>
  <si>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</si>
  <si>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</si>
  <si>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</si>
  <si>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</si>
  <si>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</si>
  <si>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</si>
  <si>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</si>
  <si>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</si>
  <si>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</si>
  <si>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</si>
  <si>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</si>
  <si>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</si>
  <si>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</si>
  <si>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</si>
  <si>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</si>
  <si>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</si>
  <si>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</si>
  <si>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</si>
  <si>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</si>
  <si>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</si>
  <si>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</si>
  <si>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</si>
  <si>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</si>
  <si>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</si>
  <si>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</si>
  <si>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</si>
  <si>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</si>
  <si>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</si>
  <si>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</si>
  <si>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</si>
  <si>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</si>
  <si>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</si>
  <si>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</si>
  <si>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</si>
  <si>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</si>
  <si>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</si>
  <si>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</si>
  <si>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</si>
  <si>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</si>
  <si>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</si>
  <si>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</si>
  <si>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</si>
  <si>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</si>
  <si>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</si>
  <si>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</si>
  <si>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</si>
  <si>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</si>
  <si>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</si>
  <si>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</si>
  <si>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</si>
  <si>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</si>
  <si>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</si>
  <si>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</si>
  <si>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</si>
  <si>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</si>
  <si>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</si>
  <si>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</si>
  <si>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</si>
  <si>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</si>
  <si>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</si>
  <si>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</si>
  <si>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</si>
  <si>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</si>
  <si>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</si>
  <si>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</si>
  <si>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</si>
  <si>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</si>
  <si>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</si>
  <si>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</si>
  <si>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</si>
  <si>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</si>
  <si>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</si>
  <si>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</si>
  <si>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</si>
  <si>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</si>
  <si>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</si>
  <si>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</si>
  <si>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</si>
  <si>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</si>
  <si>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</si>
  <si>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</si>
  <si>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</si>
  <si>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</si>
  <si>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</si>
  <si>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</si>
  <si>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</si>
  <si>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</si>
  <si>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</si>
  <si>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</si>
  <si>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</si>
  <si>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</si>
  <si>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</si>
  <si>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</si>
  <si>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</si>
  <si>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</si>
  <si>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</si>
  <si>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</si>
  <si>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</si>
  <si>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</si>
  <si>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</si>
  <si>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</si>
  <si>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</si>
  <si>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</si>
  <si>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</si>
  <si>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</si>
  <si>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</si>
  <si>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</si>
  <si>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</si>
  <si>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</si>
  <si>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</si>
  <si>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</si>
  <si>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</si>
  <si>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</si>
  <si>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</si>
  <si>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</si>
  <si>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</si>
  <si>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</si>
  <si>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</si>
  <si>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</si>
  <si>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</si>
  <si>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</si>
  <si>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</si>
  <si>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</si>
  <si>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</si>
  <si>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</si>
  <si>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</si>
  <si>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</si>
  <si>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</si>
  <si>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</si>
  <si>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</si>
  <si>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</si>
  <si>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</si>
  <si>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</si>
  <si>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</si>
  <si>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</si>
  <si>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</si>
  <si>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</si>
  <si>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</si>
  <si>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</si>
  <si>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</si>
  <si>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</si>
  <si>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</si>
  <si>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</si>
  <si>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</si>
  <si>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</si>
  <si>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</si>
  <si>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</si>
  <si>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</si>
  <si>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</si>
  <si>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</si>
  <si>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</si>
  <si>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</si>
  <si>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</si>
  <si>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</si>
  <si>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</si>
  <si>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</si>
  <si>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</si>
  <si>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</si>
  <si>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</si>
  <si>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</si>
  <si>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</si>
  <si>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</si>
  <si>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</si>
  <si>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</si>
  <si>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</si>
  <si>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</si>
  <si>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</si>
  <si>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</si>
  <si>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</si>
  <si>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</si>
  <si>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</si>
  <si>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</si>
  <si>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</si>
  <si>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</si>
  <si>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</si>
  <si>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</si>
  <si>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</si>
  <si>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</si>
  <si>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</si>
  <si>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</si>
  <si>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</si>
  <si>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A415</t>
  </si>
  <si>
    <t>Miankov</t>
  </si>
  <si>
    <t>Garage kee #55 for owner</t>
  </si>
  <si>
    <t>B221</t>
  </si>
  <si>
    <t>Gits Carda</t>
  </si>
  <si>
    <t>3 replacement pool passes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</si>
</sst>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41424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25</v>
      </c>
      <c r="H3" s="32" t="s">
        <v>9899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45016</v>
      </c>
      <c r="L3" s="52"/>
      <c r="M3" s="52"/>
      <c r="N3" s="84">
        <f ca="1">TODAY()</f>
        <v>41424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41424</v>
      </c>
      <c r="B4" s="44" t="str">
        <f t="shared" ref="B4:B31" si="5">IF(C4="","",B3)</f>
        <v>0554</v>
      </c>
      <c r="C4" s="23" t="s">
        <v>45017</v>
      </c>
      <c r="D4" s="60" t="str">
        <f t="shared" si="0"/>
        <v>01</v>
      </c>
      <c r="E4" s="45" t="s">
        <v>45018</v>
      </c>
      <c r="F4" s="31" t="s">
        <v>37888</v>
      </c>
      <c r="G4" s="56">
        <v>15</v>
      </c>
      <c r="H4" s="21" t="s">
        <v>20963</v>
      </c>
      <c r="I4" s="24" t="str">
        <f t="shared" si="1"/>
        <v>4111</v>
      </c>
      <c r="J4" s="46" t="str">
        <f t="shared" si="2"/>
        <v>Swimming Pool</v>
      </c>
      <c r="K4" s="25" t="s">
        <v>45019</v>
      </c>
      <c r="L4" s="52"/>
      <c r="M4" s="52"/>
      <c r="N4" s="84">
        <f ca="1">N3+60</f>
        <v>41484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A415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41424</v>
      </c>
      <c r="F2" s="12" t="str">
        <f>'Billing Adjustment'!K3</f>
        <v>Garage kee #55 for owner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B221</v>
      </c>
      <c r="C3" s="3" t="str">
        <f>'Billing Adjustment'!D4</f>
        <v>01</v>
      </c>
      <c r="D3" t="str">
        <f>'Billing Adjustment'!H4</f>
        <v>SW</v>
      </c>
      <c r="E3" s="59">
        <f>'Billing Adjustment'!A4</f>
        <v>41424</v>
      </c>
      <c r="F3" s="12" t="str">
        <f>'Billing Adjustment'!K4</f>
        <v>3 replacement pool passes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15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2013-05-30T16:45:34Z</dcterms:modified>
</cp:coreProperties>
</file>