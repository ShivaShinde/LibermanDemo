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60" windowWidth="15480" windowHeight="979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Sheet1!$A$1:$L$33</definedName>
  </definedNames>
  <calcPr calcId="114210"/>
</workbook>
</file>

<file path=xl/calcChain.xml><?xml version="1.0" encoding="utf-8"?>
<calcChain xmlns="http://schemas.openxmlformats.org/spreadsheetml/2006/main">
  <c r="L27" i="1"/>
  <c r="L26"/>
  <c r="L25"/>
  <c r="L14"/>
  <c r="L29"/>
  <c r="L16"/>
  <c r="L15"/>
  <c r="L18"/>
  <c r="L5"/>
  <c r="L4"/>
  <c r="L3"/>
  <c r="L7"/>
</calcChain>
</file>

<file path=xl/sharedStrings.xml><?xml version="1.0" encoding="utf-8"?>
<sst xmlns="http://schemas.openxmlformats.org/spreadsheetml/2006/main" count="189" uniqueCount="63">
  <si>
    <t>VENDOR</t>
  </si>
  <si>
    <t>YEAR</t>
  </si>
  <si>
    <t>EDGING</t>
  </si>
  <si>
    <t>FERTILIZING</t>
  </si>
  <si>
    <t>PRUNING</t>
  </si>
  <si>
    <t>AERATION</t>
  </si>
  <si>
    <t>FLOWERS</t>
  </si>
  <si>
    <t>COST</t>
  </si>
  <si>
    <t>Acres Group</t>
  </si>
  <si>
    <t>-</t>
  </si>
  <si>
    <t>Incentives</t>
  </si>
  <si>
    <t>MOWING</t>
  </si>
  <si>
    <t>Weekly</t>
  </si>
  <si>
    <t>Monthly</t>
  </si>
  <si>
    <t>Yes-4 times</t>
  </si>
  <si>
    <t>TREE BEDS</t>
  </si>
  <si>
    <t>SHRUB</t>
  </si>
  <si>
    <t xml:space="preserve">SUMMER </t>
  </si>
  <si>
    <t>ANNUALS</t>
  </si>
  <si>
    <t>CREW SIZE</t>
  </si>
  <si>
    <t xml:space="preserve">CREW </t>
  </si>
  <si>
    <t>HOURS</t>
  </si>
  <si>
    <t>CLEANED</t>
  </si>
  <si>
    <t>8-10 weekly</t>
  </si>
  <si>
    <t>WEED TREAT/</t>
  </si>
  <si>
    <t>BLADE</t>
  </si>
  <si>
    <t>YES</t>
  </si>
  <si>
    <t>MUCLH</t>
  </si>
  <si>
    <t>$50 - $65 yard</t>
  </si>
  <si>
    <t>WATERING</t>
  </si>
  <si>
    <t xml:space="preserve">$80/truck </t>
  </si>
  <si>
    <t>$29/hose/man</t>
  </si>
  <si>
    <t>SEEDING</t>
  </si>
  <si>
    <t>Brickman</t>
  </si>
  <si>
    <t>TREE BED</t>
  </si>
  <si>
    <t>as need</t>
  </si>
  <si>
    <t>2 times</t>
  </si>
  <si>
    <t>3 times</t>
  </si>
  <si>
    <t>9 weekly</t>
  </si>
  <si>
    <t>A tree inventory has already been completed for tree care services</t>
  </si>
  <si>
    <t xml:space="preserve">$75/truck </t>
  </si>
  <si>
    <t>$50/hose/man</t>
  </si>
  <si>
    <t>$.50/sq.ft</t>
  </si>
  <si>
    <t>$1.20/sq.ft</t>
  </si>
  <si>
    <t>$55/yard</t>
  </si>
  <si>
    <t>Signing</t>
  </si>
  <si>
    <t>46 flats+soil</t>
  </si>
  <si>
    <t>400 sq.ft</t>
  </si>
  <si>
    <t>SHRUB/BED</t>
  </si>
  <si>
    <t>TREATMENT</t>
  </si>
  <si>
    <t xml:space="preserve">SHRUB/BED </t>
  </si>
  <si>
    <t>*monthly</t>
  </si>
  <si>
    <t>Countryside</t>
  </si>
  <si>
    <t>$350/acre</t>
  </si>
  <si>
    <t xml:space="preserve">$124.75/truck </t>
  </si>
  <si>
    <t>$47.50/hose/man</t>
  </si>
  <si>
    <t>$45/yard</t>
  </si>
  <si>
    <t>*Monthly</t>
  </si>
  <si>
    <t>* Monthly</t>
  </si>
  <si>
    <t>*</t>
  </si>
  <si>
    <t>NO</t>
  </si>
  <si>
    <t>Estimated</t>
  </si>
  <si>
    <t>* denotes item is done as needed and determined by landscaper</t>
  </si>
</sst>
</file>

<file path=xl/styles.xml><?xml version="1.0" encoding="utf-8"?>
<styleSheet xmlns="http://schemas.openxmlformats.org/spreadsheetml/2006/main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i/>
      <u val="singleAccounting"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43" fontId="0" fillId="0" borderId="1" xfId="1" applyFont="1" applyBorder="1"/>
    <xf numFmtId="43" fontId="0" fillId="0" borderId="1" xfId="1" applyFont="1" applyBorder="1" applyAlignment="1">
      <alignment horizontal="center"/>
    </xf>
    <xf numFmtId="44" fontId="3" fillId="0" borderId="0" xfId="2" applyFont="1" applyAlignment="1">
      <alignment horizontal="center"/>
    </xf>
    <xf numFmtId="44" fontId="3" fillId="0" borderId="1" xfId="2" applyFont="1" applyBorder="1" applyAlignment="1">
      <alignment horizontal="center"/>
    </xf>
    <xf numFmtId="164" fontId="4" fillId="0" borderId="0" xfId="2" applyNumberFormat="1" applyFont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0" fontId="0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3"/>
  <sheetViews>
    <sheetView tabSelected="1" zoomScaleNormal="100" workbookViewId="0">
      <selection sqref="A1:L33"/>
    </sheetView>
  </sheetViews>
  <sheetFormatPr defaultRowHeight="15"/>
  <cols>
    <col min="1" max="1" width="11.28515625" customWidth="1"/>
    <col min="2" max="2" width="9" style="1" customWidth="1"/>
    <col min="3" max="3" width="10.5703125" style="2" customWidth="1"/>
    <col min="4" max="4" width="11.7109375" customWidth="1"/>
    <col min="5" max="5" width="13.28515625" customWidth="1"/>
    <col min="6" max="6" width="12.28515625" customWidth="1"/>
    <col min="7" max="7" width="11.28515625" style="1" customWidth="1"/>
    <col min="8" max="8" width="10" customWidth="1"/>
    <col min="9" max="9" width="8.42578125" style="3" customWidth="1"/>
    <col min="10" max="10" width="12.7109375" style="1" customWidth="1"/>
    <col min="11" max="11" width="11.140625" style="3" customWidth="1"/>
    <col min="12" max="12" width="17.28515625" style="10" customWidth="1"/>
    <col min="13" max="13" width="11" customWidth="1"/>
    <col min="14" max="14" width="11.5703125" bestFit="1" customWidth="1"/>
  </cols>
  <sheetData>
    <row r="1" spans="1:23">
      <c r="A1" s="17"/>
      <c r="B1" s="14"/>
      <c r="C1" s="15"/>
      <c r="D1" s="16"/>
      <c r="E1" t="s">
        <v>24</v>
      </c>
      <c r="F1" s="1" t="s">
        <v>15</v>
      </c>
      <c r="G1" s="1" t="s">
        <v>16</v>
      </c>
      <c r="H1" s="1" t="s">
        <v>25</v>
      </c>
      <c r="I1" s="24" t="s">
        <v>34</v>
      </c>
      <c r="J1" s="1" t="s">
        <v>48</v>
      </c>
      <c r="K1" s="4" t="s">
        <v>45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>
      <c r="A2" s="14" t="s">
        <v>0</v>
      </c>
      <c r="B2" s="14" t="s">
        <v>1</v>
      </c>
      <c r="C2" s="15" t="s">
        <v>11</v>
      </c>
      <c r="D2" s="14" t="s">
        <v>2</v>
      </c>
      <c r="E2" s="14" t="s">
        <v>3</v>
      </c>
      <c r="F2" s="14" t="s">
        <v>22</v>
      </c>
      <c r="G2" s="14" t="s">
        <v>4</v>
      </c>
      <c r="H2" s="1" t="s">
        <v>2</v>
      </c>
      <c r="I2" s="24" t="s">
        <v>2</v>
      </c>
      <c r="J2" s="1" t="s">
        <v>49</v>
      </c>
      <c r="K2" s="4" t="s">
        <v>10</v>
      </c>
      <c r="L2" s="10" t="s">
        <v>7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>
      <c r="A3" t="s">
        <v>8</v>
      </c>
      <c r="B3" s="1">
        <v>2011</v>
      </c>
      <c r="C3" s="2" t="s">
        <v>12</v>
      </c>
      <c r="D3" s="1" t="s">
        <v>12</v>
      </c>
      <c r="E3" s="1" t="s">
        <v>14</v>
      </c>
      <c r="F3" s="1" t="s">
        <v>12</v>
      </c>
      <c r="G3" s="1" t="s">
        <v>57</v>
      </c>
      <c r="H3" s="1" t="s">
        <v>13</v>
      </c>
      <c r="I3" s="1" t="s">
        <v>59</v>
      </c>
      <c r="J3" s="1" t="s">
        <v>9</v>
      </c>
      <c r="K3" s="1" t="s">
        <v>26</v>
      </c>
      <c r="L3" s="10">
        <f>5777*8</f>
        <v>46216</v>
      </c>
      <c r="M3" s="1"/>
    </row>
    <row r="4" spans="1:23">
      <c r="B4" s="1">
        <v>2012</v>
      </c>
      <c r="C4" s="2" t="s">
        <v>12</v>
      </c>
      <c r="D4" s="1" t="s">
        <v>12</v>
      </c>
      <c r="E4" s="1" t="s">
        <v>14</v>
      </c>
      <c r="F4" s="1" t="s">
        <v>12</v>
      </c>
      <c r="G4" s="1" t="s">
        <v>57</v>
      </c>
      <c r="H4" s="1" t="s">
        <v>13</v>
      </c>
      <c r="I4" s="1" t="s">
        <v>59</v>
      </c>
      <c r="J4" s="1" t="s">
        <v>9</v>
      </c>
      <c r="K4" s="2"/>
      <c r="L4" s="10">
        <f>8*5777</f>
        <v>46216</v>
      </c>
      <c r="M4" s="1"/>
    </row>
    <row r="5" spans="1:23">
      <c r="B5" s="1">
        <v>2013</v>
      </c>
      <c r="C5" s="2" t="s">
        <v>12</v>
      </c>
      <c r="D5" s="1" t="s">
        <v>12</v>
      </c>
      <c r="E5" s="1" t="s">
        <v>14</v>
      </c>
      <c r="F5" s="1" t="s">
        <v>12</v>
      </c>
      <c r="G5" s="1" t="s">
        <v>57</v>
      </c>
      <c r="H5" s="1" t="s">
        <v>13</v>
      </c>
      <c r="I5" s="1" t="s">
        <v>59</v>
      </c>
      <c r="J5" s="1" t="s">
        <v>9</v>
      </c>
      <c r="K5" s="2"/>
      <c r="L5" s="10">
        <f>8*5949</f>
        <v>47592</v>
      </c>
      <c r="M5" s="1"/>
    </row>
    <row r="7" spans="1:23" ht="17.25">
      <c r="C7" s="1" t="s">
        <v>20</v>
      </c>
      <c r="F7" s="14"/>
      <c r="H7" s="14"/>
      <c r="I7" s="14"/>
      <c r="J7" s="15" t="s">
        <v>17</v>
      </c>
      <c r="K7" s="14"/>
      <c r="L7" s="12">
        <f>L3+L4+L5</f>
        <v>140024</v>
      </c>
    </row>
    <row r="8" spans="1:23">
      <c r="A8" s="5"/>
      <c r="B8" s="1" t="s">
        <v>19</v>
      </c>
      <c r="C8" s="1" t="s">
        <v>21</v>
      </c>
      <c r="D8" s="1" t="s">
        <v>29</v>
      </c>
      <c r="E8" s="1" t="s">
        <v>27</v>
      </c>
      <c r="F8" s="1" t="s">
        <v>32</v>
      </c>
      <c r="G8" s="1" t="s">
        <v>5</v>
      </c>
      <c r="H8" s="14"/>
      <c r="I8" s="14" t="s">
        <v>6</v>
      </c>
      <c r="J8" s="15" t="s">
        <v>18</v>
      </c>
      <c r="K8" s="14"/>
    </row>
    <row r="9" spans="1:23">
      <c r="B9" s="25">
        <v>4</v>
      </c>
      <c r="C9" s="26" t="s">
        <v>23</v>
      </c>
      <c r="D9" s="1" t="s">
        <v>30</v>
      </c>
      <c r="E9" s="1" t="s">
        <v>28</v>
      </c>
      <c r="F9" s="1" t="s">
        <v>42</v>
      </c>
      <c r="G9" s="1" t="s">
        <v>53</v>
      </c>
      <c r="H9" s="1"/>
      <c r="I9" s="1">
        <v>2011</v>
      </c>
      <c r="J9" s="1" t="s">
        <v>61</v>
      </c>
      <c r="K9" s="1" t="s">
        <v>46</v>
      </c>
      <c r="L9" s="10">
        <v>2162</v>
      </c>
    </row>
    <row r="10" spans="1:23">
      <c r="C10" s="1"/>
      <c r="D10" s="26" t="s">
        <v>31</v>
      </c>
      <c r="F10" s="1"/>
      <c r="H10" s="1"/>
      <c r="I10" s="1"/>
      <c r="K10" s="1"/>
    </row>
    <row r="11" spans="1:23" ht="15.75" thickBot="1">
      <c r="A11" s="6"/>
      <c r="B11" s="6" t="s">
        <v>39</v>
      </c>
      <c r="C11" s="9"/>
      <c r="D11" s="6"/>
      <c r="E11" s="6"/>
      <c r="F11" s="6"/>
      <c r="G11" s="7"/>
      <c r="H11" s="6"/>
      <c r="I11" s="8"/>
      <c r="J11" s="7" t="s">
        <v>62</v>
      </c>
      <c r="K11" s="8"/>
      <c r="L11" s="11"/>
    </row>
    <row r="12" spans="1:23" ht="15.75" thickTop="1">
      <c r="A12" s="17"/>
      <c r="B12" s="14"/>
      <c r="C12" s="15"/>
      <c r="D12" s="16"/>
      <c r="E12" t="s">
        <v>24</v>
      </c>
      <c r="F12" s="1" t="s">
        <v>15</v>
      </c>
      <c r="G12" s="1" t="s">
        <v>16</v>
      </c>
      <c r="H12" s="1" t="s">
        <v>25</v>
      </c>
      <c r="I12" s="24" t="s">
        <v>34</v>
      </c>
      <c r="J12" s="1" t="s">
        <v>50</v>
      </c>
      <c r="K12" s="4" t="s">
        <v>45</v>
      </c>
    </row>
    <row r="13" spans="1:23">
      <c r="A13" s="14" t="s">
        <v>0</v>
      </c>
      <c r="B13" s="14" t="s">
        <v>1</v>
      </c>
      <c r="C13" s="15" t="s">
        <v>11</v>
      </c>
      <c r="D13" s="14" t="s">
        <v>2</v>
      </c>
      <c r="E13" s="14" t="s">
        <v>3</v>
      </c>
      <c r="F13" s="14" t="s">
        <v>22</v>
      </c>
      <c r="G13" s="14" t="s">
        <v>4</v>
      </c>
      <c r="H13" s="1" t="s">
        <v>2</v>
      </c>
      <c r="I13" s="24" t="s">
        <v>2</v>
      </c>
      <c r="J13" s="1" t="s">
        <v>49</v>
      </c>
      <c r="K13" s="4" t="s">
        <v>10</v>
      </c>
      <c r="L13" s="10" t="s">
        <v>7</v>
      </c>
    </row>
    <row r="14" spans="1:23">
      <c r="A14" t="s">
        <v>33</v>
      </c>
      <c r="B14" s="1">
        <v>2011</v>
      </c>
      <c r="C14" s="2" t="s">
        <v>12</v>
      </c>
      <c r="D14" s="1" t="s">
        <v>12</v>
      </c>
      <c r="E14" s="1" t="s">
        <v>14</v>
      </c>
      <c r="F14" s="1" t="s">
        <v>12</v>
      </c>
      <c r="G14" s="1" t="s">
        <v>37</v>
      </c>
      <c r="H14" s="1" t="s">
        <v>13</v>
      </c>
      <c r="I14" s="1" t="s">
        <v>36</v>
      </c>
      <c r="J14" s="1" t="s">
        <v>51</v>
      </c>
      <c r="K14" s="1" t="s">
        <v>26</v>
      </c>
      <c r="L14" s="10">
        <f>6350*8</f>
        <v>50800</v>
      </c>
    </row>
    <row r="15" spans="1:23">
      <c r="B15" s="1">
        <v>2012</v>
      </c>
      <c r="C15" s="2" t="s">
        <v>12</v>
      </c>
      <c r="D15" s="1" t="s">
        <v>12</v>
      </c>
      <c r="E15" s="1" t="s">
        <v>14</v>
      </c>
      <c r="F15" s="1" t="s">
        <v>12</v>
      </c>
      <c r="G15" s="1" t="s">
        <v>37</v>
      </c>
      <c r="H15" s="1" t="s">
        <v>13</v>
      </c>
      <c r="I15" s="1" t="s">
        <v>36</v>
      </c>
      <c r="J15" s="1" t="s">
        <v>51</v>
      </c>
      <c r="K15" s="2"/>
      <c r="L15" s="10">
        <f>8*6350</f>
        <v>50800</v>
      </c>
    </row>
    <row r="16" spans="1:23">
      <c r="B16" s="1">
        <v>2013</v>
      </c>
      <c r="C16" s="2" t="s">
        <v>12</v>
      </c>
      <c r="D16" s="1" t="s">
        <v>12</v>
      </c>
      <c r="E16" s="1" t="s">
        <v>14</v>
      </c>
      <c r="F16" s="1" t="s">
        <v>12</v>
      </c>
      <c r="G16" s="1" t="s">
        <v>37</v>
      </c>
      <c r="H16" s="1" t="s">
        <v>13</v>
      </c>
      <c r="I16" s="1" t="s">
        <v>36</v>
      </c>
      <c r="J16" s="1" t="s">
        <v>51</v>
      </c>
      <c r="K16" s="2"/>
      <c r="L16" s="10">
        <f>8*6540.5</f>
        <v>52324</v>
      </c>
    </row>
    <row r="18" spans="1:18" ht="17.25">
      <c r="B18" s="2"/>
      <c r="C18" s="1" t="s">
        <v>20</v>
      </c>
      <c r="F18" s="14"/>
      <c r="H18" s="14"/>
      <c r="I18" s="14"/>
      <c r="J18" s="15" t="s">
        <v>17</v>
      </c>
      <c r="K18" s="14"/>
      <c r="L18" s="12">
        <f>L14+L15+L16</f>
        <v>153924</v>
      </c>
    </row>
    <row r="19" spans="1:18">
      <c r="A19" s="5"/>
      <c r="B19" s="1" t="s">
        <v>19</v>
      </c>
      <c r="C19" s="1" t="s">
        <v>21</v>
      </c>
      <c r="D19" s="1" t="s">
        <v>29</v>
      </c>
      <c r="E19" s="1" t="s">
        <v>27</v>
      </c>
      <c r="F19" s="1" t="s">
        <v>32</v>
      </c>
      <c r="G19" s="1" t="s">
        <v>5</v>
      </c>
      <c r="H19" s="14"/>
      <c r="I19" s="14" t="s">
        <v>6</v>
      </c>
      <c r="J19" s="15" t="s">
        <v>18</v>
      </c>
      <c r="K19" s="14"/>
    </row>
    <row r="20" spans="1:18">
      <c r="B20" s="25">
        <v>7</v>
      </c>
      <c r="C20" s="26" t="s">
        <v>38</v>
      </c>
      <c r="D20" s="1" t="s">
        <v>40</v>
      </c>
      <c r="E20" s="1" t="s">
        <v>44</v>
      </c>
      <c r="F20" s="1" t="s">
        <v>43</v>
      </c>
      <c r="G20" s="27">
        <v>290</v>
      </c>
      <c r="H20" s="1"/>
      <c r="I20" s="1">
        <v>2011</v>
      </c>
      <c r="J20" s="1" t="s">
        <v>61</v>
      </c>
      <c r="K20" s="1" t="s">
        <v>47</v>
      </c>
      <c r="L20" s="10">
        <v>2150</v>
      </c>
      <c r="M20" s="23"/>
      <c r="R20" s="13"/>
    </row>
    <row r="21" spans="1:18">
      <c r="C21" s="1"/>
      <c r="D21" s="26" t="s">
        <v>41</v>
      </c>
      <c r="F21" s="1"/>
      <c r="H21" s="1"/>
      <c r="I21" s="1"/>
      <c r="K21" s="1"/>
    </row>
    <row r="22" spans="1:18" ht="15.75" thickBot="1">
      <c r="A22" s="18"/>
      <c r="B22" s="19"/>
      <c r="C22" s="20"/>
      <c r="D22" s="7" t="s">
        <v>62</v>
      </c>
      <c r="E22" s="18"/>
      <c r="F22" s="18"/>
      <c r="G22" s="19"/>
      <c r="H22" s="18"/>
      <c r="I22" s="21"/>
      <c r="J22" s="19"/>
      <c r="K22" s="21"/>
      <c r="L22" s="11"/>
    </row>
    <row r="23" spans="1:18" ht="15.75" thickTop="1">
      <c r="A23" s="17"/>
      <c r="B23" s="14"/>
      <c r="C23" s="15"/>
      <c r="D23" s="16"/>
      <c r="E23" t="s">
        <v>24</v>
      </c>
      <c r="F23" s="1" t="s">
        <v>15</v>
      </c>
      <c r="G23" s="1" t="s">
        <v>16</v>
      </c>
      <c r="H23" s="1" t="s">
        <v>25</v>
      </c>
      <c r="I23" s="24" t="s">
        <v>34</v>
      </c>
      <c r="J23" s="1" t="s">
        <v>50</v>
      </c>
      <c r="K23" s="4" t="s">
        <v>45</v>
      </c>
    </row>
    <row r="24" spans="1:18">
      <c r="A24" s="14" t="s">
        <v>0</v>
      </c>
      <c r="B24" s="14" t="s">
        <v>1</v>
      </c>
      <c r="C24" s="15" t="s">
        <v>11</v>
      </c>
      <c r="D24" s="14" t="s">
        <v>2</v>
      </c>
      <c r="E24" s="14" t="s">
        <v>3</v>
      </c>
      <c r="F24" s="14" t="s">
        <v>22</v>
      </c>
      <c r="G24" s="14" t="s">
        <v>4</v>
      </c>
      <c r="H24" s="1" t="s">
        <v>2</v>
      </c>
      <c r="I24" s="24" t="s">
        <v>2</v>
      </c>
      <c r="J24" s="1" t="s">
        <v>49</v>
      </c>
      <c r="K24" s="4" t="s">
        <v>10</v>
      </c>
      <c r="L24" s="10" t="s">
        <v>7</v>
      </c>
    </row>
    <row r="25" spans="1:18">
      <c r="A25" t="s">
        <v>52</v>
      </c>
      <c r="B25" s="1">
        <v>2011</v>
      </c>
      <c r="C25" s="2" t="s">
        <v>12</v>
      </c>
      <c r="D25" s="1" t="s">
        <v>12</v>
      </c>
      <c r="E25" s="1" t="s">
        <v>14</v>
      </c>
      <c r="F25" s="1" t="s">
        <v>12</v>
      </c>
      <c r="G25" s="1" t="s">
        <v>58</v>
      </c>
      <c r="H25" s="1" t="s">
        <v>13</v>
      </c>
      <c r="I25" s="1" t="s">
        <v>59</v>
      </c>
      <c r="J25" s="1" t="s">
        <v>9</v>
      </c>
      <c r="K25" s="1" t="s">
        <v>60</v>
      </c>
      <c r="L25" s="10">
        <f>4091*8</f>
        <v>32728</v>
      </c>
    </row>
    <row r="26" spans="1:18">
      <c r="B26" s="1">
        <v>2012</v>
      </c>
      <c r="C26" s="2" t="s">
        <v>12</v>
      </c>
      <c r="D26" s="1" t="s">
        <v>12</v>
      </c>
      <c r="E26" s="1" t="s">
        <v>14</v>
      </c>
      <c r="F26" s="1" t="s">
        <v>12</v>
      </c>
      <c r="G26" s="1" t="s">
        <v>58</v>
      </c>
      <c r="H26" s="1" t="s">
        <v>13</v>
      </c>
      <c r="I26" s="1" t="s">
        <v>59</v>
      </c>
      <c r="J26" s="1" t="s">
        <v>9</v>
      </c>
      <c r="K26" s="2"/>
      <c r="L26" s="10">
        <f>8*4091</f>
        <v>32728</v>
      </c>
    </row>
    <row r="27" spans="1:18">
      <c r="B27" s="1">
        <v>2013</v>
      </c>
      <c r="C27" s="2" t="s">
        <v>12</v>
      </c>
      <c r="D27" s="1" t="s">
        <v>12</v>
      </c>
      <c r="E27" s="1" t="s">
        <v>14</v>
      </c>
      <c r="F27" s="1" t="s">
        <v>12</v>
      </c>
      <c r="G27" s="1" t="s">
        <v>58</v>
      </c>
      <c r="H27" s="1" t="s">
        <v>13</v>
      </c>
      <c r="I27" s="1" t="s">
        <v>59</v>
      </c>
      <c r="J27" s="1" t="s">
        <v>9</v>
      </c>
      <c r="K27" s="2"/>
      <c r="L27" s="10">
        <f>8*4217</f>
        <v>33736</v>
      </c>
    </row>
    <row r="29" spans="1:18" ht="17.25">
      <c r="B29" s="2"/>
      <c r="C29" s="1" t="s">
        <v>20</v>
      </c>
      <c r="F29" s="14"/>
      <c r="H29" s="14"/>
      <c r="I29" s="14"/>
      <c r="J29" s="15" t="s">
        <v>17</v>
      </c>
      <c r="K29" s="14"/>
      <c r="L29" s="12">
        <f>L25+L26+L27</f>
        <v>99192</v>
      </c>
    </row>
    <row r="30" spans="1:18">
      <c r="A30" s="5"/>
      <c r="B30" s="1" t="s">
        <v>19</v>
      </c>
      <c r="C30" s="1" t="s">
        <v>21</v>
      </c>
      <c r="D30" s="1" t="s">
        <v>29</v>
      </c>
      <c r="E30" s="1" t="s">
        <v>27</v>
      </c>
      <c r="F30" s="1" t="s">
        <v>32</v>
      </c>
      <c r="G30" s="1" t="s">
        <v>5</v>
      </c>
      <c r="H30" s="14"/>
      <c r="I30" s="14" t="s">
        <v>6</v>
      </c>
      <c r="J30" s="15" t="s">
        <v>18</v>
      </c>
      <c r="K30" s="14"/>
    </row>
    <row r="31" spans="1:18">
      <c r="B31" s="28">
        <v>4</v>
      </c>
      <c r="C31" s="26" t="s">
        <v>35</v>
      </c>
      <c r="D31" s="1" t="s">
        <v>54</v>
      </c>
      <c r="E31" s="1" t="s">
        <v>56</v>
      </c>
      <c r="F31" s="1"/>
      <c r="H31" s="1"/>
      <c r="I31" s="1">
        <v>2011</v>
      </c>
      <c r="J31" s="1" t="s">
        <v>61</v>
      </c>
      <c r="K31" s="1"/>
      <c r="L31" s="10">
        <v>2241</v>
      </c>
    </row>
    <row r="32" spans="1:18">
      <c r="C32" s="1"/>
      <c r="D32" s="26" t="s">
        <v>55</v>
      </c>
      <c r="F32" s="1"/>
      <c r="H32" s="1"/>
      <c r="I32" s="1"/>
      <c r="K32" s="1"/>
    </row>
    <row r="33" spans="1:13" ht="15.75" thickBot="1">
      <c r="A33" s="6"/>
      <c r="B33" s="7"/>
      <c r="C33" s="9"/>
      <c r="D33" s="7" t="s">
        <v>62</v>
      </c>
      <c r="E33" s="6"/>
      <c r="F33" s="6"/>
      <c r="G33" s="7"/>
      <c r="H33" s="6"/>
      <c r="I33" s="8"/>
      <c r="J33" s="7"/>
      <c r="K33" s="8"/>
      <c r="L33" s="11"/>
    </row>
    <row r="34" spans="1:13" ht="15.75" thickTop="1"/>
    <row r="37" spans="1:13">
      <c r="M37" s="1"/>
    </row>
    <row r="38" spans="1:13">
      <c r="M38" s="1"/>
    </row>
    <row r="48" spans="1:13">
      <c r="M48" s="1"/>
    </row>
    <row r="49" spans="13:14">
      <c r="M49" s="1"/>
    </row>
    <row r="53" spans="13:14">
      <c r="N53" s="22"/>
    </row>
  </sheetData>
  <phoneticPr fontId="0" type="noConversion"/>
  <pageMargins left="0.25" right="0.25" top="0.5" bottom="0.5" header="0.25" footer="0.25"/>
  <pageSetup scale="90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Kieren</dc:creator>
  <cp:lastModifiedBy>lisette</cp:lastModifiedBy>
  <cp:lastPrinted>2011-02-11T19:37:27Z</cp:lastPrinted>
  <dcterms:created xsi:type="dcterms:W3CDTF">2009-08-24T19:58:19Z</dcterms:created>
  <dcterms:modified xsi:type="dcterms:W3CDTF">2011-02-11T19:55:27Z</dcterms:modified>
</cp:coreProperties>
</file>