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fileSharing readOnlyRecommended="1"/>
  <workbookPr/>
  <bookViews>
    <workbookView xWindow="360" yWindow="300" windowWidth="9720" windowHeight="7320"/>
  </bookViews>
  <sheets>
    <sheet name="PTTYCSH" sheetId="1" r:id="rId1"/>
    <sheet name="Sheet1" sheetId="2" r:id="rId2"/>
  </sheets>
  <definedNames>
    <definedName name="_xlnm.Print_Area" localSheetId="0">PTTYCSH!$A$2:$E$28</definedName>
    <definedName name="_xlnm.Print_Titles" localSheetId="0">PTTYCSH!$2:$6</definedName>
  </definedNames>
  <calcPr calcId="145621"/>
</workbook>
</file>

<file path=xl/calcChain.xml><?xml version="1.0" encoding="utf-8"?>
<calcChain xmlns="http://schemas.openxmlformats.org/spreadsheetml/2006/main">
  <c r="C28" i="1" l="1"/>
  <c r="D12" i="1"/>
  <c r="D11" i="1"/>
  <c r="D10" i="1"/>
  <c r="D8" i="1"/>
  <c r="D9" i="1" s="1"/>
  <c r="D18" i="1" l="1"/>
  <c r="D19" i="1" s="1"/>
  <c r="D20" i="1" s="1"/>
  <c r="D21" i="1" s="1"/>
  <c r="D22" i="1" s="1"/>
  <c r="D23" i="1" s="1"/>
  <c r="D24" i="1" s="1"/>
  <c r="D25" i="1" s="1"/>
  <c r="D26" i="1" s="1"/>
  <c r="D27" i="1" s="1"/>
</calcChain>
</file>

<file path=xl/sharedStrings.xml><?xml version="1.0" encoding="utf-8"?>
<sst xmlns="http://schemas.openxmlformats.org/spreadsheetml/2006/main" count="25" uniqueCount="25">
  <si>
    <t>PETTY CASH</t>
  </si>
  <si>
    <t>DATE</t>
  </si>
  <si>
    <t>DESCRIPTION</t>
  </si>
  <si>
    <t>+/-</t>
  </si>
  <si>
    <t>BALANCE</t>
  </si>
  <si>
    <t>ACCOUNT #</t>
  </si>
  <si>
    <t>Date Prepared:</t>
  </si>
  <si>
    <t>Prepared By:</t>
  </si>
  <si>
    <t>Date Approved:</t>
  </si>
  <si>
    <t>Approved By:</t>
  </si>
  <si>
    <t>Reimbursement requested</t>
  </si>
  <si>
    <t>Approved Petty Cash Fund</t>
  </si>
  <si>
    <t>Property #</t>
  </si>
  <si>
    <t>Note:</t>
  </si>
  <si>
    <t>This Form should be accompanied by a Check Request.</t>
  </si>
  <si>
    <t>Check Request must be approved by your supervisor.</t>
  </si>
  <si>
    <t>Property Name</t>
  </si>
  <si>
    <t>The Dana Point</t>
  </si>
  <si>
    <t>Lisette Ray, Property Manager</t>
  </si>
  <si>
    <t>Previous agent - Postal carrier holiday gift</t>
  </si>
  <si>
    <t>Previous Agent - plates purchase</t>
  </si>
  <si>
    <t>Previous Agent - Misc. cash deducted/not accounted</t>
  </si>
  <si>
    <t>Plexi glass purchased by Sam for repair</t>
  </si>
  <si>
    <t>3/36/2013</t>
  </si>
  <si>
    <t>Certified Mail - Genie Uli 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</si>
</sst>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"/>
    <numFmt numFmtId="166" formatCode="m/d/yy;@"/>
    <numFmt numFmtId="167" formatCode="#,##0.00;[Red]#,##0.00"/>
  </numFmts>
  <fonts count="14" x14ac:knownFonts="1">
    <font>
      <sz val="12"/>
      <name val="Arial"/>
    </font>
    <font>
      <sz val="10"/>
      <name val="Rockwell"/>
      <family val="1"/>
    </font>
    <font>
      <b/>
      <sz val="12"/>
      <color theme="1"/>
      <name val="Rockwell"/>
      <family val="1"/>
    </font>
    <font>
      <sz val="12"/>
      <name val="Rockwell"/>
      <family val="1"/>
    </font>
    <font>
      <b/>
      <sz val="12"/>
      <name val="Rockwell"/>
      <family val="1"/>
    </font>
    <font>
      <b/>
      <sz val="12"/>
      <color rgb="FF0066CC"/>
      <name val="Rockwell"/>
      <family val="1"/>
    </font>
    <font>
      <sz val="12"/>
      <color rgb="FF0066CC"/>
      <name val="Rockwell"/>
      <family val="1"/>
    </font>
    <font>
      <sz val="12"/>
      <color rgb="FFFF0000"/>
      <name val="Rockwell"/>
      <family val="1"/>
    </font>
    <font>
      <sz val="12"/>
      <color indexed="48"/>
      <name val="Rockwell"/>
      <family val="1"/>
    </font>
    <font>
      <sz val="12"/>
      <color indexed="10"/>
      <name val="Rockwell"/>
      <family val="1"/>
    </font>
    <font>
      <b/>
      <sz val="12"/>
      <color indexed="48"/>
      <name val="Rockwell"/>
      <family val="1"/>
    </font>
    <font>
      <sz val="12"/>
      <color indexed="12"/>
      <name val="Rockwell"/>
      <family val="1"/>
    </font>
    <font>
      <sz val="12"/>
      <color theme="1"/>
      <name val="Rockwell"/>
      <family val="1"/>
    </font>
    <font>
      <b/>
      <i/>
      <sz val="12"/>
      <name val="Rockwell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 applyAlignment="1"/>
    <xf numFmtId="164" fontId="1" fillId="0" borderId="0" xfId="0" applyNumberFormat="1" applyFont="1"/>
    <xf numFmtId="0" fontId="3" fillId="0" borderId="0" xfId="0" applyFont="1" applyAlignme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Continuous"/>
    </xf>
    <xf numFmtId="40" fontId="3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"/>
    </xf>
    <xf numFmtId="0" fontId="6" fillId="0" borderId="8" xfId="0" applyNumberFormat="1" applyFont="1" applyBorder="1" applyAlignment="1">
      <alignment horizontal="left"/>
    </xf>
    <xf numFmtId="165" fontId="5" fillId="0" borderId="5" xfId="0" applyNumberFormat="1" applyFont="1" applyBorder="1"/>
    <xf numFmtId="0" fontId="5" fillId="0" borderId="1" xfId="0" applyNumberFormat="1" applyFont="1" applyBorder="1"/>
    <xf numFmtId="40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6" fillId="0" borderId="6" xfId="0" applyNumberFormat="1" applyFont="1" applyBorder="1"/>
    <xf numFmtId="0" fontId="3" fillId="0" borderId="0" xfId="0" applyFont="1" applyBorder="1"/>
    <xf numFmtId="167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/>
    <xf numFmtId="165" fontId="6" fillId="0" borderId="5" xfId="0" applyNumberFormat="1" applyFont="1" applyBorder="1"/>
    <xf numFmtId="0" fontId="6" fillId="0" borderId="1" xfId="0" applyNumberFormat="1" applyFont="1" applyBorder="1"/>
    <xf numFmtId="167" fontId="7" fillId="0" borderId="1" xfId="0" applyNumberFormat="1" applyFont="1" applyBorder="1"/>
    <xf numFmtId="167" fontId="6" fillId="0" borderId="1" xfId="0" applyNumberFormat="1" applyFont="1" applyBorder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NumberFormat="1" applyFont="1" applyBorder="1" applyAlignment="1">
      <alignment wrapText="1"/>
    </xf>
    <xf numFmtId="0" fontId="6" fillId="0" borderId="14" xfId="0" applyNumberFormat="1" applyFont="1" applyBorder="1"/>
    <xf numFmtId="165" fontId="6" fillId="0" borderId="12" xfId="0" applyNumberFormat="1" applyFont="1" applyBorder="1"/>
    <xf numFmtId="0" fontId="6" fillId="0" borderId="13" xfId="0" applyNumberFormat="1" applyFont="1" applyBorder="1"/>
    <xf numFmtId="165" fontId="8" fillId="0" borderId="4" xfId="0" applyNumberFormat="1" applyFont="1" applyBorder="1"/>
    <xf numFmtId="0" fontId="8" fillId="0" borderId="4" xfId="0" applyNumberFormat="1" applyFont="1" applyBorder="1"/>
    <xf numFmtId="165" fontId="8" fillId="0" borderId="1" xfId="0" applyNumberFormat="1" applyFont="1" applyBorder="1"/>
    <xf numFmtId="0" fontId="8" fillId="0" borderId="1" xfId="0" applyNumberFormat="1" applyFont="1" applyBorder="1"/>
    <xf numFmtId="0" fontId="8" fillId="0" borderId="0" xfId="0" applyFont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3" fillId="0" borderId="0" xfId="0" applyNumberFormat="1" applyFont="1" applyBorder="1"/>
    <xf numFmtId="40" fontId="8" fillId="0" borderId="1" xfId="0" applyNumberFormat="1" applyFont="1" applyBorder="1"/>
    <xf numFmtId="164" fontId="8" fillId="0" borderId="1" xfId="0" applyNumberFormat="1" applyFont="1" applyBorder="1"/>
    <xf numFmtId="0" fontId="3" fillId="0" borderId="0" xfId="0" applyFont="1"/>
    <xf numFmtId="0" fontId="8" fillId="0" borderId="1" xfId="0" applyFont="1" applyBorder="1"/>
    <xf numFmtId="40" fontId="3" fillId="0" borderId="0" xfId="0" applyNumberFormat="1" applyFont="1" applyBorder="1"/>
    <xf numFmtId="0" fontId="8" fillId="0" borderId="1" xfId="0" applyFont="1" applyFill="1" applyBorder="1"/>
    <xf numFmtId="0" fontId="8" fillId="0" borderId="1" xfId="0" applyNumberFormat="1" applyFont="1" applyFill="1" applyBorder="1"/>
    <xf numFmtId="165" fontId="10" fillId="0" borderId="1" xfId="0" applyNumberFormat="1" applyFont="1" applyBorder="1"/>
    <xf numFmtId="0" fontId="10" fillId="0" borderId="1" xfId="0" applyFont="1" applyFill="1" applyBorder="1"/>
    <xf numFmtId="40" fontId="10" fillId="0" borderId="1" xfId="0" applyNumberFormat="1" applyFont="1" applyBorder="1"/>
    <xf numFmtId="16" fontId="8" fillId="0" borderId="1" xfId="0" applyNumberFormat="1" applyFont="1" applyBorder="1"/>
    <xf numFmtId="0" fontId="10" fillId="0" borderId="1" xfId="0" applyNumberFormat="1" applyFont="1" applyBorder="1"/>
    <xf numFmtId="0" fontId="8" fillId="0" borderId="1" xfId="0" applyFont="1" applyFill="1" applyBorder="1" applyAlignment="1"/>
    <xf numFmtId="0" fontId="8" fillId="0" borderId="1" xfId="0" applyFont="1" applyBorder="1" applyAlignment="1"/>
    <xf numFmtId="40" fontId="3" fillId="0" borderId="0" xfId="0" applyNumberFormat="1" applyFont="1" applyAlignment="1"/>
    <xf numFmtId="40" fontId="3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Fill="1" applyBorder="1" applyAlignment="1"/>
    <xf numFmtId="17" fontId="3" fillId="0" borderId="1" xfId="0" applyNumberFormat="1" applyFont="1" applyBorder="1"/>
    <xf numFmtId="0" fontId="3" fillId="0" borderId="1" xfId="0" applyNumberFormat="1" applyFont="1" applyBorder="1"/>
    <xf numFmtId="165" fontId="11" fillId="0" borderId="1" xfId="0" applyNumberFormat="1" applyFont="1" applyBorder="1"/>
    <xf numFmtId="0" fontId="11" fillId="0" borderId="1" xfId="0" applyFont="1" applyFill="1" applyBorder="1" applyAlignment="1"/>
    <xf numFmtId="40" fontId="11" fillId="0" borderId="1" xfId="0" applyNumberFormat="1" applyFont="1" applyBorder="1"/>
    <xf numFmtId="164" fontId="11" fillId="0" borderId="1" xfId="0" applyNumberFormat="1" applyFont="1" applyBorder="1"/>
    <xf numFmtId="0" fontId="11" fillId="0" borderId="1" xfId="0" applyNumberFormat="1" applyFont="1" applyBorder="1"/>
    <xf numFmtId="164" fontId="3" fillId="0" borderId="0" xfId="0" applyNumberFormat="1" applyFont="1" applyAlignment="1"/>
    <xf numFmtId="0" fontId="11" fillId="0" borderId="1" xfId="0" applyFont="1" applyBorder="1" applyAlignment="1"/>
    <xf numFmtId="165" fontId="11" fillId="0" borderId="1" xfId="0" applyNumberFormat="1" applyFont="1" applyFill="1" applyBorder="1"/>
    <xf numFmtId="164" fontId="11" fillId="0" borderId="1" xfId="0" applyNumberFormat="1" applyFont="1" applyFill="1" applyBorder="1"/>
    <xf numFmtId="40" fontId="11" fillId="0" borderId="1" xfId="0" applyNumberFormat="1" applyFont="1" applyFill="1" applyBorder="1"/>
    <xf numFmtId="0" fontId="11" fillId="0" borderId="1" xfId="0" applyNumberFormat="1" applyFont="1" applyFill="1" applyBorder="1"/>
    <xf numFmtId="164" fontId="8" fillId="0" borderId="1" xfId="0" applyNumberFormat="1" applyFont="1" applyFill="1" applyBorder="1"/>
    <xf numFmtId="0" fontId="3" fillId="0" borderId="1" xfId="0" applyFont="1" applyBorder="1" applyAlignment="1"/>
    <xf numFmtId="14" fontId="3" fillId="0" borderId="1" xfId="0" applyNumberFormat="1" applyFont="1" applyBorder="1" applyAlignment="1"/>
    <xf numFmtId="164" fontId="3" fillId="0" borderId="3" xfId="0" applyNumberFormat="1" applyFont="1" applyBorder="1" applyAlignment="1"/>
    <xf numFmtId="0" fontId="3" fillId="0" borderId="0" xfId="0" applyNumberFormat="1" applyFont="1"/>
    <xf numFmtId="165" fontId="3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wrapText="1"/>
    </xf>
    <xf numFmtId="164" fontId="3" fillId="0" borderId="0" xfId="0" applyNumberFormat="1" applyFont="1"/>
    <xf numFmtId="164" fontId="3" fillId="0" borderId="0" xfId="0" applyNumberFormat="1" applyFont="1" applyFill="1" applyBorder="1"/>
    <xf numFmtId="0" fontId="3" fillId="0" borderId="1" xfId="0" applyNumberFormat="1" applyFont="1" applyFill="1" applyBorder="1"/>
    <xf numFmtId="0" fontId="4" fillId="0" borderId="0" xfId="0" applyFont="1" applyAlignment="1"/>
    <xf numFmtId="165" fontId="3" fillId="0" borderId="1" xfId="0" applyNumberFormat="1" applyFont="1" applyBorder="1" applyAlignment="1"/>
    <xf numFmtId="164" fontId="3" fillId="0" borderId="1" xfId="0" applyNumberFormat="1" applyFont="1" applyBorder="1"/>
    <xf numFmtId="165" fontId="3" fillId="0" borderId="0" xfId="0" applyNumberFormat="1" applyFont="1"/>
    <xf numFmtId="40" fontId="3" fillId="0" borderId="0" xfId="0" applyNumberFormat="1" applyFont="1"/>
    <xf numFmtId="40" fontId="12" fillId="0" borderId="4" xfId="0" applyNumberFormat="1" applyFont="1" applyBorder="1" applyAlignment="1">
      <alignment horizontal="left"/>
    </xf>
    <xf numFmtId="0" fontId="8" fillId="0" borderId="4" xfId="0" applyFont="1" applyFill="1" applyBorder="1"/>
    <xf numFmtId="40" fontId="8" fillId="0" borderId="4" xfId="0" applyNumberFormat="1" applyFont="1" applyBorder="1"/>
    <xf numFmtId="165" fontId="8" fillId="0" borderId="0" xfId="0" applyNumberFormat="1" applyFont="1" applyBorder="1"/>
    <xf numFmtId="0" fontId="8" fillId="0" borderId="0" xfId="0" applyNumberFormat="1" applyFont="1" applyBorder="1"/>
    <xf numFmtId="167" fontId="9" fillId="0" borderId="0" xfId="0" applyNumberFormat="1" applyFont="1" applyBorder="1"/>
    <xf numFmtId="167" fontId="8" fillId="0" borderId="0" xfId="0" applyNumberFormat="1" applyFont="1" applyBorder="1"/>
    <xf numFmtId="14" fontId="8" fillId="0" borderId="0" xfId="0" applyNumberFormat="1" applyFont="1" applyBorder="1"/>
    <xf numFmtId="0" fontId="8" fillId="0" borderId="0" xfId="0" applyFont="1" applyFill="1" applyBorder="1" applyAlignment="1">
      <alignment wrapText="1"/>
    </xf>
    <xf numFmtId="0" fontId="8" fillId="0" borderId="0" xfId="0" applyNumberFormat="1" applyFont="1" applyFill="1" applyBorder="1" applyAlignment="1">
      <alignment wrapText="1"/>
    </xf>
    <xf numFmtId="40" fontId="8" fillId="0" borderId="0" xfId="0" applyNumberFormat="1" applyFont="1" applyBorder="1"/>
    <xf numFmtId="164" fontId="8" fillId="0" borderId="0" xfId="0" applyNumberFormat="1" applyFont="1" applyBorder="1"/>
    <xf numFmtId="0" fontId="8" fillId="0" borderId="0" xfId="0" applyNumberFormat="1" applyFont="1" applyBorder="1" applyAlignment="1"/>
    <xf numFmtId="0" fontId="8" fillId="0" borderId="0" xfId="0" applyFont="1" applyBorder="1"/>
    <xf numFmtId="0" fontId="8" fillId="0" borderId="0" xfId="0" applyFont="1" applyFill="1" applyBorder="1"/>
    <xf numFmtId="0" fontId="8" fillId="0" borderId="0" xfId="0" applyNumberFormat="1" applyFont="1" applyFill="1" applyBorder="1"/>
    <xf numFmtId="40" fontId="1" fillId="0" borderId="0" xfId="0" applyNumberFormat="1" applyFont="1"/>
    <xf numFmtId="164" fontId="1" fillId="0" borderId="0" xfId="0" applyNumberFormat="1" applyFont="1" applyAlignment="1"/>
    <xf numFmtId="0" fontId="13" fillId="0" borderId="0" xfId="0" applyNumberFormat="1" applyFont="1" applyAlignment="1">
      <alignment horizontal="centerContinuous"/>
    </xf>
    <xf numFmtId="0" fontId="3" fillId="0" borderId="0" xfId="0" applyFont="1" applyAlignment="1">
      <alignment horizontal="justify" wrapText="1"/>
    </xf>
    <xf numFmtId="165" fontId="1" fillId="0" borderId="0" xfId="0" applyNumberFormat="1" applyFont="1" applyAlignment="1"/>
    <xf numFmtId="0" fontId="12" fillId="0" borderId="4" xfId="0" applyNumberFormat="1" applyFont="1" applyBorder="1" applyAlignment="1">
      <alignment horizontal="left"/>
    </xf>
    <xf numFmtId="164" fontId="12" fillId="2" borderId="4" xfId="0" applyNumberFormat="1" applyFont="1" applyFill="1" applyBorder="1" applyAlignment="1">
      <alignment horizontal="right"/>
    </xf>
    <xf numFmtId="165" fontId="6" fillId="3" borderId="9" xfId="0" applyNumberFormat="1" applyFont="1" applyFill="1" applyBorder="1"/>
    <xf numFmtId="0" fontId="5" fillId="3" borderId="10" xfId="0" applyNumberFormat="1" applyFont="1" applyFill="1" applyBorder="1"/>
    <xf numFmtId="167" fontId="5" fillId="3" borderId="10" xfId="0" applyNumberFormat="1" applyFont="1" applyFill="1" applyBorder="1"/>
    <xf numFmtId="164" fontId="5" fillId="3" borderId="10" xfId="0" applyNumberFormat="1" applyFont="1" applyFill="1" applyBorder="1"/>
    <xf numFmtId="0" fontId="6" fillId="3" borderId="11" xfId="0" applyNumberFormat="1" applyFont="1" applyFill="1" applyBorder="1"/>
    <xf numFmtId="165" fontId="2" fillId="4" borderId="9" xfId="0" applyNumberFormat="1" applyFont="1" applyFill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40" fontId="2" fillId="4" borderId="10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2" fillId="4" borderId="11" xfId="0" applyNumberFormat="1" applyFont="1" applyFill="1" applyBorder="1" applyAlignment="1">
      <alignment horizontal="center"/>
    </xf>
    <xf numFmtId="165" fontId="6" fillId="4" borderId="7" xfId="0" applyNumberFormat="1" applyFont="1" applyFill="1" applyBorder="1" applyAlignment="1">
      <alignment horizontal="left"/>
    </xf>
    <xf numFmtId="166" fontId="4" fillId="5" borderId="3" xfId="0" applyNumberFormat="1" applyFont="1" applyFill="1" applyBorder="1" applyAlignment="1">
      <alignment horizontal="center"/>
    </xf>
    <xf numFmtId="40" fontId="4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/>
    <xf numFmtId="0" fontId="3" fillId="5" borderId="3" xfId="0" applyNumberFormat="1" applyFont="1" applyFill="1" applyBorder="1"/>
    <xf numFmtId="0" fontId="3" fillId="0" borderId="0" xfId="0" applyFont="1" applyAlignment="1">
      <alignment horizontal="justify" wrapText="1"/>
    </xf>
    <xf numFmtId="165" fontId="4" fillId="0" borderId="0" xfId="0" applyNumberFormat="1" applyFont="1" applyAlignment="1">
      <alignment horizontal="center"/>
    </xf>
    <xf numFmtId="0" fontId="2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/>
    <xf numFmtId="0" fontId="2" fillId="5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/>
    <xf numFmtId="165" fontId="6" fillId="0" borderId="5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66"/>
      <color rgb="FF0066CC"/>
      <color rgb="FF3366FF"/>
      <color rgb="FF0066FF"/>
      <color rgb="FF6699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IV1244"/>
  <sheetViews>
    <sheetView tabSelected="1" showOutlineSymbols="0" zoomScale="87" workbookViewId="0">
      <pane ySplit="6" topLeftCell="A7" activePane="bottomLeft" state="frozen"/>
      <selection pane="bottomLeft" activeCell="D1" sqref="D1"/>
    </sheetView>
  </sheetViews>
  <sheetFormatPr defaultColWidth="9.6640625" defaultRowHeight="15.75" x14ac:dyDescent="0.25"/>
  <cols>
    <col min="1" max="1" width="11.44140625" style="78" customWidth="1"/>
    <col min="2" max="2" width="45.21875" style="2" customWidth="1"/>
    <col min="3" max="3" width="11.88671875" style="79" customWidth="1"/>
    <col min="4" max="4" width="11.33203125" style="72" customWidth="1"/>
    <col min="5" max="5" width="11.88671875" style="69" customWidth="1"/>
    <col min="6" max="6" width="29.44140625" style="2" customWidth="1"/>
    <col min="7" max="16384" width="9.6640625" style="2"/>
  </cols>
  <sheetData>
    <row r="1" spans="1:256" x14ac:dyDescent="0.25">
      <c r="A1" s="100" t="s">
        <v>16</v>
      </c>
      <c r="B1" s="116" t="s">
        <v>17</v>
      </c>
      <c r="C1" s="96" t="s">
        <v>12</v>
      </c>
      <c r="D1" s="117">
        <v>554</v>
      </c>
      <c r="E1" s="117"/>
    </row>
    <row r="2" spans="1:256" x14ac:dyDescent="0.25">
      <c r="A2" s="97" t="s">
        <v>6</v>
      </c>
      <c r="B2" s="114">
        <v>41359</v>
      </c>
      <c r="C2" s="1" t="s">
        <v>8</v>
      </c>
      <c r="D2" s="120"/>
      <c r="E2" s="121"/>
    </row>
    <row r="3" spans="1:256" x14ac:dyDescent="0.25">
      <c r="A3" s="97" t="s">
        <v>7</v>
      </c>
      <c r="B3" s="115" t="s">
        <v>18</v>
      </c>
      <c r="C3" s="1" t="s">
        <v>9</v>
      </c>
      <c r="D3" s="122"/>
      <c r="E3" s="123"/>
    </row>
    <row r="4" spans="1:256" ht="34.5" customHeight="1" x14ac:dyDescent="0.25">
      <c r="A4" s="119" t="s">
        <v>0</v>
      </c>
      <c r="B4" s="119"/>
      <c r="C4" s="119"/>
      <c r="D4" s="119"/>
      <c r="E4" s="11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 ht="17.25" thickBot="1" x14ac:dyDescent="0.35">
      <c r="A5" s="4"/>
      <c r="B5" s="98"/>
      <c r="C5" s="5"/>
      <c r="D5" s="6"/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ht="16.5" thickBot="1" x14ac:dyDescent="0.3">
      <c r="A6" s="108" t="s">
        <v>1</v>
      </c>
      <c r="B6" s="109" t="s">
        <v>2</v>
      </c>
      <c r="C6" s="110" t="s">
        <v>3</v>
      </c>
      <c r="D6" s="111" t="s">
        <v>4</v>
      </c>
      <c r="E6" s="112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x14ac:dyDescent="0.25">
      <c r="A7" s="113"/>
      <c r="B7" s="101" t="s">
        <v>11</v>
      </c>
      <c r="C7" s="80"/>
      <c r="D7" s="102">
        <v>200</v>
      </c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x14ac:dyDescent="0.25">
      <c r="A8" s="9">
        <v>41244</v>
      </c>
      <c r="B8" s="10" t="s">
        <v>19</v>
      </c>
      <c r="C8" s="11">
        <v>-50</v>
      </c>
      <c r="D8" s="12">
        <f>D7+C8</f>
        <v>150</v>
      </c>
      <c r="E8" s="13">
        <v>8595</v>
      </c>
      <c r="F8" s="14"/>
    </row>
    <row r="9" spans="1:256" x14ac:dyDescent="0.25">
      <c r="A9" s="9">
        <v>41229</v>
      </c>
      <c r="B9" s="10" t="s">
        <v>20</v>
      </c>
      <c r="C9" s="15">
        <v>-3.27</v>
      </c>
      <c r="D9" s="16">
        <f>D8+C9</f>
        <v>146.72999999999999</v>
      </c>
      <c r="E9" s="13">
        <v>8575</v>
      </c>
      <c r="F9" s="14"/>
    </row>
    <row r="10" spans="1:256" x14ac:dyDescent="0.25">
      <c r="A10" s="9">
        <v>41274</v>
      </c>
      <c r="B10" s="10" t="s">
        <v>21</v>
      </c>
      <c r="C10" s="16">
        <v>-58.25</v>
      </c>
      <c r="D10" s="16">
        <f>D9+C10</f>
        <v>88.47999999999999</v>
      </c>
      <c r="E10" s="13">
        <v>8592</v>
      </c>
      <c r="F10" s="14"/>
    </row>
    <row r="11" spans="1:256" x14ac:dyDescent="0.25">
      <c r="A11" s="17">
        <v>41325</v>
      </c>
      <c r="B11" s="18" t="s">
        <v>22</v>
      </c>
      <c r="C11" s="19">
        <v>-65.400000000000006</v>
      </c>
      <c r="D11" s="20">
        <f>D10+C11</f>
        <v>23.079999999999984</v>
      </c>
      <c r="E11" s="13">
        <v>7607</v>
      </c>
      <c r="F11" s="21"/>
      <c r="G11" s="22"/>
      <c r="H11" s="22"/>
    </row>
    <row r="12" spans="1:256" x14ac:dyDescent="0.25">
      <c r="A12" s="124" t="s">
        <v>23</v>
      </c>
      <c r="B12" s="18" t="s">
        <v>24</v>
      </c>
      <c r="C12" s="19">
        <v>-6.11</v>
      </c>
      <c r="D12" s="20">
        <f>D11+C12</f>
        <v>16.969999999999985</v>
      </c>
      <c r="E12" s="13">
        <v>8552</v>
      </c>
      <c r="F12" s="21"/>
      <c r="G12" s="22"/>
      <c r="H12" s="22"/>
    </row>
    <row r="13" spans="1:256" x14ac:dyDescent="0.25">
      <c r="A13" s="17"/>
      <c r="B13" s="18"/>
      <c r="C13" s="19"/>
      <c r="D13" s="20"/>
      <c r="E13" s="13"/>
      <c r="F13" s="23"/>
      <c r="G13" s="22"/>
      <c r="H13" s="22"/>
    </row>
    <row r="14" spans="1:256" x14ac:dyDescent="0.25">
      <c r="A14" s="17"/>
      <c r="B14" s="18"/>
      <c r="C14" s="19"/>
      <c r="D14" s="20"/>
      <c r="E14" s="13"/>
      <c r="F14" s="23"/>
      <c r="G14" s="22"/>
      <c r="H14" s="22"/>
    </row>
    <row r="15" spans="1:256" x14ac:dyDescent="0.25">
      <c r="A15" s="17"/>
      <c r="B15" s="18"/>
      <c r="C15" s="19"/>
      <c r="D15" s="20"/>
      <c r="E15" s="13"/>
      <c r="F15" s="23"/>
      <c r="G15" s="22"/>
      <c r="H15" s="22"/>
    </row>
    <row r="16" spans="1:256" x14ac:dyDescent="0.25">
      <c r="A16" s="17"/>
      <c r="B16" s="18"/>
      <c r="C16" s="19"/>
      <c r="D16" s="20"/>
      <c r="E16" s="13"/>
      <c r="F16" s="23"/>
      <c r="G16" s="22"/>
      <c r="H16" s="22"/>
    </row>
    <row r="17" spans="1:8" x14ac:dyDescent="0.25">
      <c r="A17" s="17"/>
      <c r="B17" s="18"/>
      <c r="C17" s="19"/>
      <c r="D17" s="20"/>
      <c r="E17" s="13"/>
      <c r="F17" s="23"/>
      <c r="G17" s="22"/>
      <c r="H17" s="22"/>
    </row>
    <row r="18" spans="1:8" x14ac:dyDescent="0.25">
      <c r="A18" s="17"/>
      <c r="B18" s="18"/>
      <c r="C18" s="19"/>
      <c r="D18" s="20">
        <f t="shared" ref="D18:D20" si="0">SUM(D17+C18)</f>
        <v>0</v>
      </c>
      <c r="E18" s="13"/>
      <c r="F18" s="23"/>
      <c r="G18" s="22"/>
      <c r="H18" s="22"/>
    </row>
    <row r="19" spans="1:8" x14ac:dyDescent="0.25">
      <c r="A19" s="17"/>
      <c r="B19" s="18"/>
      <c r="C19" s="19"/>
      <c r="D19" s="20">
        <f t="shared" si="0"/>
        <v>0</v>
      </c>
      <c r="E19" s="13"/>
      <c r="F19" s="23"/>
      <c r="G19" s="22"/>
      <c r="H19" s="22"/>
    </row>
    <row r="20" spans="1:8" x14ac:dyDescent="0.25">
      <c r="A20" s="17"/>
      <c r="B20" s="18"/>
      <c r="C20" s="19"/>
      <c r="D20" s="20">
        <f t="shared" si="0"/>
        <v>0</v>
      </c>
      <c r="E20" s="13"/>
      <c r="F20" s="23"/>
      <c r="G20" s="22"/>
      <c r="H20" s="22"/>
    </row>
    <row r="21" spans="1:8" x14ac:dyDescent="0.25">
      <c r="A21" s="17"/>
      <c r="B21" s="18"/>
      <c r="C21" s="19"/>
      <c r="D21" s="20">
        <f t="shared" ref="D21:D27" si="1">SUM(D20+C21)</f>
        <v>0</v>
      </c>
      <c r="E21" s="13"/>
      <c r="F21" s="23"/>
      <c r="G21" s="22"/>
      <c r="H21" s="22"/>
    </row>
    <row r="22" spans="1:8" x14ac:dyDescent="0.25">
      <c r="A22" s="17"/>
      <c r="B22" s="18"/>
      <c r="C22" s="19"/>
      <c r="D22" s="20">
        <f t="shared" si="1"/>
        <v>0</v>
      </c>
      <c r="E22" s="13"/>
      <c r="F22" s="23"/>
      <c r="G22" s="22"/>
      <c r="H22" s="22"/>
    </row>
    <row r="23" spans="1:8" x14ac:dyDescent="0.25">
      <c r="A23" s="17"/>
      <c r="B23" s="18"/>
      <c r="C23" s="19"/>
      <c r="D23" s="20">
        <f t="shared" si="1"/>
        <v>0</v>
      </c>
      <c r="E23" s="13"/>
      <c r="F23" s="23"/>
      <c r="G23" s="22"/>
      <c r="H23" s="22"/>
    </row>
    <row r="24" spans="1:8" x14ac:dyDescent="0.25">
      <c r="A24" s="17"/>
      <c r="B24" s="18"/>
      <c r="C24" s="19"/>
      <c r="D24" s="20">
        <f t="shared" si="1"/>
        <v>0</v>
      </c>
      <c r="E24" s="24"/>
      <c r="F24" s="23"/>
      <c r="G24" s="22"/>
      <c r="H24" s="22"/>
    </row>
    <row r="25" spans="1:8" x14ac:dyDescent="0.25">
      <c r="A25" s="25"/>
      <c r="B25" s="26"/>
      <c r="C25" s="19"/>
      <c r="D25" s="20">
        <f>SUM(D24+C25)</f>
        <v>0</v>
      </c>
      <c r="E25" s="24"/>
      <c r="F25" s="23"/>
      <c r="G25" s="22"/>
      <c r="H25" s="22"/>
    </row>
    <row r="26" spans="1:8" x14ac:dyDescent="0.25">
      <c r="A26" s="25"/>
      <c r="B26" s="26"/>
      <c r="C26" s="19"/>
      <c r="D26" s="20">
        <f t="shared" si="1"/>
        <v>0</v>
      </c>
      <c r="E26" s="24"/>
      <c r="F26" s="23"/>
      <c r="G26" s="22"/>
      <c r="H26" s="22"/>
    </row>
    <row r="27" spans="1:8" ht="16.5" thickBot="1" x14ac:dyDescent="0.3">
      <c r="A27" s="25"/>
      <c r="B27" s="26"/>
      <c r="C27" s="19"/>
      <c r="D27" s="20">
        <f t="shared" si="1"/>
        <v>0</v>
      </c>
      <c r="E27" s="24"/>
      <c r="F27" s="23"/>
      <c r="G27" s="22"/>
      <c r="H27" s="22"/>
    </row>
    <row r="28" spans="1:8" ht="16.5" thickBot="1" x14ac:dyDescent="0.3">
      <c r="A28" s="103"/>
      <c r="B28" s="104" t="s">
        <v>10</v>
      </c>
      <c r="C28" s="105">
        <f>SUM(C8:C27)</f>
        <v>-183.03000000000003</v>
      </c>
      <c r="D28" s="106">
        <v>16.97</v>
      </c>
      <c r="E28" s="107"/>
      <c r="F28" s="21"/>
      <c r="G28" s="22"/>
      <c r="H28" s="22"/>
    </row>
    <row r="29" spans="1:8" x14ac:dyDescent="0.25">
      <c r="A29" s="83"/>
      <c r="B29" s="84"/>
      <c r="C29" s="85"/>
      <c r="D29" s="86"/>
      <c r="E29" s="84"/>
      <c r="F29" s="21"/>
    </row>
    <row r="30" spans="1:8" x14ac:dyDescent="0.25">
      <c r="A30" s="99" t="s">
        <v>13</v>
      </c>
      <c r="B30" s="118" t="s">
        <v>14</v>
      </c>
      <c r="C30" s="118"/>
      <c r="D30" s="118"/>
      <c r="E30" s="118"/>
      <c r="F30" s="14"/>
    </row>
    <row r="31" spans="1:8" x14ac:dyDescent="0.25">
      <c r="A31" s="99"/>
      <c r="B31" s="118" t="s">
        <v>15</v>
      </c>
      <c r="C31" s="118"/>
      <c r="D31" s="118"/>
      <c r="E31" s="118"/>
      <c r="F31" s="14"/>
    </row>
    <row r="32" spans="1:8" x14ac:dyDescent="0.25">
      <c r="A32" s="83"/>
      <c r="B32" s="31"/>
      <c r="C32" s="85"/>
      <c r="D32" s="86"/>
      <c r="E32" s="84"/>
      <c r="F32" s="14"/>
    </row>
    <row r="33" spans="1:6" x14ac:dyDescent="0.25">
      <c r="A33" s="87"/>
      <c r="B33" s="88"/>
      <c r="C33" s="85"/>
      <c r="D33" s="86"/>
      <c r="E33" s="84"/>
      <c r="F33" s="14"/>
    </row>
    <row r="34" spans="1:6" x14ac:dyDescent="0.25">
      <c r="A34" s="83"/>
      <c r="B34" s="89"/>
      <c r="C34" s="85"/>
      <c r="D34" s="86"/>
      <c r="E34" s="84"/>
      <c r="F34" s="14"/>
    </row>
    <row r="35" spans="1:6" x14ac:dyDescent="0.25">
      <c r="A35" s="83"/>
      <c r="B35" s="31"/>
      <c r="C35" s="86"/>
      <c r="D35" s="86"/>
      <c r="E35" s="84"/>
      <c r="F35" s="14"/>
    </row>
    <row r="36" spans="1:6" x14ac:dyDescent="0.25">
      <c r="A36" s="83"/>
      <c r="B36" s="84"/>
      <c r="C36" s="86"/>
      <c r="D36" s="86"/>
      <c r="E36" s="84"/>
      <c r="F36" s="14"/>
    </row>
    <row r="37" spans="1:6" x14ac:dyDescent="0.25">
      <c r="A37" s="83"/>
      <c r="B37" s="84"/>
      <c r="C37" s="86"/>
      <c r="D37" s="86"/>
      <c r="E37" s="84"/>
      <c r="F37" s="14"/>
    </row>
    <row r="38" spans="1:6" x14ac:dyDescent="0.25">
      <c r="A38" s="83"/>
      <c r="B38" s="84"/>
      <c r="C38" s="86"/>
      <c r="D38" s="86"/>
      <c r="E38" s="84"/>
      <c r="F38" s="14"/>
    </row>
    <row r="39" spans="1:6" x14ac:dyDescent="0.25">
      <c r="A39" s="83"/>
      <c r="B39" s="84"/>
      <c r="C39" s="86"/>
      <c r="D39" s="86"/>
      <c r="E39" s="84"/>
      <c r="F39" s="33"/>
    </row>
    <row r="40" spans="1:6" x14ac:dyDescent="0.25">
      <c r="A40" s="83"/>
      <c r="B40" s="84"/>
      <c r="C40" s="90"/>
      <c r="D40" s="86"/>
      <c r="E40" s="84"/>
      <c r="F40" s="14"/>
    </row>
    <row r="41" spans="1:6" x14ac:dyDescent="0.25">
      <c r="A41" s="83"/>
      <c r="B41" s="84"/>
      <c r="C41" s="90"/>
      <c r="D41" s="91"/>
      <c r="E41" s="84"/>
      <c r="F41" s="14"/>
    </row>
    <row r="42" spans="1:6" x14ac:dyDescent="0.25">
      <c r="A42" s="83"/>
      <c r="B42" s="84"/>
      <c r="C42" s="90"/>
      <c r="D42" s="91"/>
      <c r="E42" s="84"/>
      <c r="F42" s="14"/>
    </row>
    <row r="43" spans="1:6" x14ac:dyDescent="0.25">
      <c r="A43" s="83"/>
      <c r="B43" s="84"/>
      <c r="C43" s="90"/>
      <c r="D43" s="91"/>
      <c r="E43" s="84"/>
      <c r="F43" s="14"/>
    </row>
    <row r="44" spans="1:6" x14ac:dyDescent="0.25">
      <c r="A44" s="83"/>
      <c r="B44" s="84"/>
      <c r="C44" s="90"/>
      <c r="D44" s="91"/>
      <c r="E44" s="84"/>
      <c r="F44" s="14"/>
    </row>
    <row r="45" spans="1:6" x14ac:dyDescent="0.25">
      <c r="A45" s="83"/>
      <c r="B45" s="84"/>
      <c r="C45" s="90"/>
      <c r="D45" s="91"/>
      <c r="E45" s="84"/>
      <c r="F45" s="14"/>
    </row>
    <row r="46" spans="1:6" x14ac:dyDescent="0.25">
      <c r="A46" s="83"/>
      <c r="B46" s="84"/>
      <c r="C46" s="90"/>
      <c r="D46" s="91"/>
      <c r="E46" s="84"/>
      <c r="F46" s="14"/>
    </row>
    <row r="47" spans="1:6" x14ac:dyDescent="0.25">
      <c r="A47" s="83"/>
      <c r="B47" s="84"/>
      <c r="C47" s="90"/>
      <c r="D47" s="91"/>
      <c r="E47" s="84"/>
      <c r="F47" s="14"/>
    </row>
    <row r="48" spans="1:6" x14ac:dyDescent="0.25">
      <c r="A48" s="83"/>
      <c r="B48" s="84"/>
      <c r="C48" s="90"/>
      <c r="D48" s="91"/>
      <c r="E48" s="84"/>
      <c r="F48" s="14"/>
    </row>
    <row r="49" spans="1:256" x14ac:dyDescent="0.25">
      <c r="A49" s="83"/>
      <c r="B49" s="84"/>
      <c r="C49" s="90"/>
      <c r="D49" s="91"/>
      <c r="E49" s="84"/>
      <c r="F49" s="14"/>
    </row>
    <row r="50" spans="1:256" x14ac:dyDescent="0.25">
      <c r="A50" s="83"/>
      <c r="B50" s="84"/>
      <c r="C50" s="90"/>
      <c r="D50" s="91"/>
      <c r="E50" s="84"/>
      <c r="F50" s="14"/>
    </row>
    <row r="51" spans="1:256" x14ac:dyDescent="0.25">
      <c r="A51" s="83"/>
      <c r="B51" s="84"/>
      <c r="C51" s="90"/>
      <c r="D51" s="91"/>
      <c r="E51" s="84"/>
      <c r="F51" s="14"/>
    </row>
    <row r="52" spans="1:256" x14ac:dyDescent="0.25">
      <c r="A52" s="83"/>
      <c r="B52" s="84"/>
      <c r="C52" s="90"/>
      <c r="D52" s="91"/>
      <c r="E52" s="84"/>
      <c r="F52" s="14"/>
    </row>
    <row r="53" spans="1:256" x14ac:dyDescent="0.25">
      <c r="A53" s="83"/>
      <c r="B53" s="84"/>
      <c r="C53" s="90"/>
      <c r="D53" s="91"/>
      <c r="E53" s="84"/>
      <c r="F53" s="14"/>
    </row>
    <row r="54" spans="1:256" x14ac:dyDescent="0.25">
      <c r="A54" s="83"/>
      <c r="B54" s="84"/>
      <c r="C54" s="90"/>
      <c r="D54" s="91"/>
      <c r="E54" s="84"/>
      <c r="F54" s="14"/>
    </row>
    <row r="55" spans="1:256" x14ac:dyDescent="0.25">
      <c r="A55" s="83"/>
      <c r="B55" s="84"/>
      <c r="C55" s="90"/>
      <c r="D55" s="91"/>
      <c r="E55" s="84"/>
      <c r="F55" s="14"/>
    </row>
    <row r="56" spans="1:256" x14ac:dyDescent="0.25">
      <c r="A56" s="83"/>
      <c r="B56" s="84"/>
      <c r="C56" s="90"/>
      <c r="D56" s="91"/>
      <c r="E56" s="84"/>
      <c r="F56" s="14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/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</row>
    <row r="57" spans="1:256" x14ac:dyDescent="0.25">
      <c r="A57" s="83"/>
      <c r="B57" s="84"/>
      <c r="C57" s="90"/>
      <c r="D57" s="91"/>
      <c r="E57" s="84"/>
      <c r="F57" s="14"/>
    </row>
    <row r="58" spans="1:256" x14ac:dyDescent="0.25">
      <c r="A58" s="83"/>
      <c r="B58" s="84"/>
      <c r="C58" s="90"/>
      <c r="D58" s="91"/>
      <c r="E58" s="84"/>
      <c r="F58" s="14"/>
    </row>
    <row r="59" spans="1:256" x14ac:dyDescent="0.25">
      <c r="A59" s="83"/>
      <c r="B59" s="84"/>
      <c r="C59" s="90"/>
      <c r="D59" s="91"/>
      <c r="E59" s="84"/>
      <c r="F59" s="14"/>
    </row>
    <row r="60" spans="1:256" x14ac:dyDescent="0.25">
      <c r="A60" s="83"/>
      <c r="B60" s="84"/>
      <c r="C60" s="90"/>
      <c r="D60" s="91"/>
      <c r="E60" s="84"/>
      <c r="F60" s="14"/>
    </row>
    <row r="61" spans="1:256" x14ac:dyDescent="0.25">
      <c r="A61" s="83"/>
      <c r="B61" s="84"/>
      <c r="C61" s="90"/>
      <c r="D61" s="91"/>
      <c r="E61" s="84"/>
      <c r="F61" s="14"/>
    </row>
    <row r="62" spans="1:256" x14ac:dyDescent="0.25">
      <c r="A62" s="83"/>
      <c r="B62" s="84"/>
      <c r="C62" s="90"/>
      <c r="D62" s="91"/>
      <c r="E62" s="84"/>
      <c r="F62" s="14"/>
    </row>
    <row r="63" spans="1:256" x14ac:dyDescent="0.25">
      <c r="A63" s="83"/>
      <c r="B63" s="84"/>
      <c r="C63" s="90"/>
      <c r="D63" s="91"/>
      <c r="E63" s="84"/>
      <c r="F63" s="14"/>
    </row>
    <row r="64" spans="1:256" x14ac:dyDescent="0.25">
      <c r="A64" s="83"/>
      <c r="B64" s="84"/>
      <c r="C64" s="90"/>
      <c r="D64" s="91"/>
      <c r="E64" s="84"/>
      <c r="F64" s="14"/>
    </row>
    <row r="65" spans="1:6" x14ac:dyDescent="0.25">
      <c r="A65" s="83"/>
      <c r="B65" s="84"/>
      <c r="C65" s="90"/>
      <c r="D65" s="91"/>
      <c r="E65" s="84"/>
      <c r="F65" s="14"/>
    </row>
    <row r="66" spans="1:6" x14ac:dyDescent="0.25">
      <c r="A66" s="83"/>
      <c r="B66" s="84"/>
      <c r="C66" s="90"/>
      <c r="D66" s="91"/>
      <c r="E66" s="84"/>
      <c r="F66" s="14"/>
    </row>
    <row r="67" spans="1:6" x14ac:dyDescent="0.25">
      <c r="A67" s="83"/>
      <c r="B67" s="84"/>
      <c r="C67" s="90"/>
      <c r="D67" s="91"/>
      <c r="E67" s="84"/>
      <c r="F67" s="14"/>
    </row>
    <row r="68" spans="1:6" x14ac:dyDescent="0.25">
      <c r="A68" s="83"/>
      <c r="B68" s="92"/>
      <c r="C68" s="90"/>
      <c r="D68" s="91"/>
      <c r="E68" s="84"/>
      <c r="F68" s="14"/>
    </row>
    <row r="69" spans="1:6" x14ac:dyDescent="0.25">
      <c r="A69" s="83"/>
      <c r="B69" s="84"/>
      <c r="C69" s="90"/>
      <c r="D69" s="91"/>
      <c r="E69" s="84"/>
      <c r="F69" s="14"/>
    </row>
    <row r="70" spans="1:6" x14ac:dyDescent="0.25">
      <c r="A70" s="83"/>
      <c r="B70" s="84"/>
      <c r="C70" s="90"/>
      <c r="D70" s="91"/>
      <c r="E70" s="84"/>
      <c r="F70" s="14"/>
    </row>
    <row r="71" spans="1:6" x14ac:dyDescent="0.25">
      <c r="A71" s="83"/>
      <c r="B71" s="84"/>
      <c r="C71" s="90"/>
      <c r="D71" s="91"/>
      <c r="E71" s="84"/>
      <c r="F71" s="14"/>
    </row>
    <row r="72" spans="1:6" x14ac:dyDescent="0.25">
      <c r="A72" s="84"/>
      <c r="B72" s="84"/>
      <c r="C72" s="90"/>
      <c r="D72" s="91"/>
      <c r="E72" s="84"/>
      <c r="F72" s="14"/>
    </row>
    <row r="73" spans="1:6" x14ac:dyDescent="0.25">
      <c r="A73" s="83"/>
      <c r="B73" s="84"/>
      <c r="C73" s="90"/>
      <c r="D73" s="91"/>
      <c r="E73" s="84"/>
      <c r="F73" s="14"/>
    </row>
    <row r="74" spans="1:6" x14ac:dyDescent="0.25">
      <c r="A74" s="83"/>
      <c r="B74" s="84"/>
      <c r="C74" s="90"/>
      <c r="D74" s="91"/>
      <c r="E74" s="84"/>
      <c r="F74" s="14"/>
    </row>
    <row r="75" spans="1:6" x14ac:dyDescent="0.25">
      <c r="A75" s="83"/>
      <c r="B75" s="84"/>
      <c r="C75" s="90"/>
      <c r="D75" s="91"/>
      <c r="E75" s="84"/>
      <c r="F75" s="14"/>
    </row>
    <row r="76" spans="1:6" x14ac:dyDescent="0.25">
      <c r="A76" s="83"/>
      <c r="B76" s="84"/>
      <c r="C76" s="90"/>
      <c r="D76" s="91"/>
      <c r="E76" s="84"/>
      <c r="F76" s="14"/>
    </row>
    <row r="77" spans="1:6" x14ac:dyDescent="0.25">
      <c r="A77" s="83"/>
      <c r="B77" s="92"/>
      <c r="C77" s="90"/>
      <c r="D77" s="91"/>
      <c r="E77" s="84"/>
      <c r="F77" s="14"/>
    </row>
    <row r="78" spans="1:6" x14ac:dyDescent="0.25">
      <c r="A78" s="83"/>
      <c r="B78" s="84"/>
      <c r="C78" s="90"/>
      <c r="D78" s="84"/>
      <c r="E78" s="84"/>
      <c r="F78" s="14"/>
    </row>
    <row r="79" spans="1:6" x14ac:dyDescent="0.25">
      <c r="A79" s="83"/>
      <c r="B79" s="84"/>
      <c r="C79" s="90"/>
      <c r="D79" s="91"/>
      <c r="E79" s="84"/>
      <c r="F79" s="14"/>
    </row>
    <row r="80" spans="1:6" x14ac:dyDescent="0.25">
      <c r="A80" s="83"/>
      <c r="B80" s="92"/>
      <c r="C80" s="90"/>
      <c r="D80" s="91"/>
      <c r="E80" s="84"/>
      <c r="F80" s="14"/>
    </row>
    <row r="81" spans="1:256" x14ac:dyDescent="0.25">
      <c r="A81" s="83"/>
      <c r="B81" s="92"/>
      <c r="C81" s="90"/>
      <c r="D81" s="91"/>
      <c r="E81" s="84"/>
      <c r="F81" s="14"/>
    </row>
    <row r="82" spans="1:256" x14ac:dyDescent="0.25">
      <c r="A82" s="83"/>
      <c r="B82" s="92"/>
      <c r="C82" s="90"/>
      <c r="D82" s="91"/>
      <c r="E82" s="84"/>
      <c r="F82" s="14"/>
    </row>
    <row r="83" spans="1:256" x14ac:dyDescent="0.25">
      <c r="A83" s="83"/>
      <c r="B83" s="84"/>
      <c r="C83" s="90"/>
      <c r="D83" s="91"/>
      <c r="E83" s="84"/>
      <c r="F83" s="14"/>
    </row>
    <row r="84" spans="1:256" x14ac:dyDescent="0.25">
      <c r="A84" s="83"/>
      <c r="B84" s="84"/>
      <c r="C84" s="90"/>
      <c r="D84" s="91"/>
      <c r="E84" s="84"/>
      <c r="F84" s="14"/>
    </row>
    <row r="85" spans="1:256" x14ac:dyDescent="0.25">
      <c r="A85" s="83"/>
      <c r="B85" s="84"/>
      <c r="C85" s="90"/>
      <c r="D85" s="91"/>
      <c r="E85" s="84"/>
      <c r="F85" s="14"/>
    </row>
    <row r="86" spans="1:256" x14ac:dyDescent="0.25">
      <c r="A86" s="83"/>
      <c r="B86" s="84"/>
      <c r="C86" s="90"/>
      <c r="D86" s="91"/>
      <c r="E86" s="84"/>
      <c r="F86" s="14"/>
    </row>
    <row r="87" spans="1:256" x14ac:dyDescent="0.25">
      <c r="A87" s="83"/>
      <c r="B87" s="84"/>
      <c r="C87" s="90"/>
      <c r="D87" s="91"/>
      <c r="E87" s="84"/>
      <c r="F87" s="14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/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/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</row>
    <row r="88" spans="1:256" x14ac:dyDescent="0.25">
      <c r="A88" s="83"/>
      <c r="B88" s="84"/>
      <c r="C88" s="90"/>
      <c r="D88" s="91"/>
      <c r="E88" s="84"/>
      <c r="F88" s="14"/>
    </row>
    <row r="89" spans="1:256" x14ac:dyDescent="0.25">
      <c r="A89" s="83"/>
      <c r="B89" s="84"/>
      <c r="C89" s="90"/>
      <c r="D89" s="91"/>
      <c r="E89" s="84"/>
      <c r="F89" s="14"/>
    </row>
    <row r="90" spans="1:256" x14ac:dyDescent="0.25">
      <c r="A90" s="83"/>
      <c r="B90" s="84"/>
      <c r="C90" s="90"/>
      <c r="D90" s="91"/>
      <c r="E90" s="84"/>
      <c r="F90" s="14"/>
    </row>
    <row r="91" spans="1:256" x14ac:dyDescent="0.25">
      <c r="A91" s="83"/>
      <c r="B91" s="92"/>
      <c r="C91" s="90"/>
      <c r="D91" s="91"/>
      <c r="E91" s="84"/>
      <c r="F91" s="14"/>
    </row>
    <row r="92" spans="1:256" x14ac:dyDescent="0.25">
      <c r="A92" s="83"/>
      <c r="B92" s="84"/>
      <c r="C92" s="90"/>
      <c r="D92" s="91"/>
      <c r="E92" s="84"/>
      <c r="F92" s="14"/>
    </row>
    <row r="93" spans="1:256" x14ac:dyDescent="0.25">
      <c r="A93" s="83"/>
      <c r="B93" s="84"/>
      <c r="C93" s="90"/>
      <c r="D93" s="91"/>
      <c r="E93" s="84"/>
      <c r="F93" s="14"/>
    </row>
    <row r="94" spans="1:256" x14ac:dyDescent="0.25">
      <c r="A94" s="83"/>
      <c r="B94" s="84"/>
      <c r="C94" s="90"/>
      <c r="D94" s="91"/>
      <c r="E94" s="84"/>
      <c r="F94" s="14"/>
    </row>
    <row r="95" spans="1:256" x14ac:dyDescent="0.25">
      <c r="A95" s="83"/>
      <c r="B95" s="84"/>
      <c r="C95" s="90"/>
      <c r="D95" s="91"/>
      <c r="E95" s="84"/>
      <c r="F95" s="14"/>
    </row>
    <row r="96" spans="1:256" x14ac:dyDescent="0.25">
      <c r="A96" s="83"/>
      <c r="B96" s="84"/>
      <c r="C96" s="90"/>
      <c r="D96" s="91"/>
      <c r="E96" s="84"/>
      <c r="F96" s="14"/>
    </row>
    <row r="97" spans="1:6" x14ac:dyDescent="0.25">
      <c r="A97" s="83"/>
      <c r="B97" s="84"/>
      <c r="C97" s="90"/>
      <c r="D97" s="91"/>
      <c r="E97" s="84"/>
      <c r="F97" s="14"/>
    </row>
    <row r="98" spans="1:6" x14ac:dyDescent="0.25">
      <c r="A98" s="83"/>
      <c r="B98" s="93"/>
      <c r="C98" s="90"/>
      <c r="D98" s="91"/>
      <c r="E98" s="84"/>
      <c r="F98" s="14"/>
    </row>
    <row r="99" spans="1:6" x14ac:dyDescent="0.25">
      <c r="A99" s="83"/>
      <c r="B99" s="84"/>
      <c r="C99" s="90"/>
      <c r="D99" s="91"/>
      <c r="E99" s="84"/>
      <c r="F99" s="14"/>
    </row>
    <row r="100" spans="1:6" x14ac:dyDescent="0.25">
      <c r="A100" s="83"/>
      <c r="B100" s="84"/>
      <c r="C100" s="90"/>
      <c r="D100" s="91"/>
      <c r="E100" s="84"/>
      <c r="F100" s="14"/>
    </row>
    <row r="101" spans="1:6" x14ac:dyDescent="0.25">
      <c r="A101" s="83"/>
      <c r="B101" s="84"/>
      <c r="C101" s="90"/>
      <c r="D101" s="91"/>
      <c r="E101" s="84"/>
      <c r="F101" s="14"/>
    </row>
    <row r="102" spans="1:6" x14ac:dyDescent="0.25">
      <c r="A102" s="83"/>
      <c r="B102" s="84"/>
      <c r="C102" s="90"/>
      <c r="D102" s="91"/>
      <c r="E102" s="84"/>
      <c r="F102" s="14"/>
    </row>
    <row r="103" spans="1:6" x14ac:dyDescent="0.25">
      <c r="A103" s="83"/>
      <c r="B103" s="92"/>
      <c r="C103" s="90"/>
      <c r="D103" s="91"/>
      <c r="E103" s="84"/>
      <c r="F103" s="14"/>
    </row>
    <row r="104" spans="1:6" x14ac:dyDescent="0.25">
      <c r="A104" s="83"/>
      <c r="B104" s="84"/>
      <c r="C104" s="90"/>
      <c r="D104" s="91"/>
      <c r="E104" s="84"/>
    </row>
    <row r="105" spans="1:6" x14ac:dyDescent="0.25">
      <c r="A105" s="83"/>
      <c r="B105" s="84"/>
      <c r="C105" s="90"/>
      <c r="D105" s="91"/>
      <c r="E105" s="84"/>
      <c r="F105" s="14"/>
    </row>
    <row r="106" spans="1:6" x14ac:dyDescent="0.25">
      <c r="A106" s="83"/>
      <c r="B106" s="84"/>
      <c r="C106" s="90"/>
      <c r="D106" s="91"/>
      <c r="E106" s="84"/>
      <c r="F106" s="14"/>
    </row>
    <row r="107" spans="1:6" x14ac:dyDescent="0.25">
      <c r="A107" s="83"/>
      <c r="B107" s="84"/>
      <c r="C107" s="90"/>
      <c r="D107" s="91"/>
      <c r="E107" s="84"/>
      <c r="F107" s="14"/>
    </row>
    <row r="108" spans="1:6" x14ac:dyDescent="0.25">
      <c r="A108" s="83"/>
      <c r="B108" s="84"/>
      <c r="C108" s="90"/>
      <c r="D108" s="91"/>
      <c r="E108" s="84"/>
      <c r="F108" s="14"/>
    </row>
    <row r="109" spans="1:6" x14ac:dyDescent="0.25">
      <c r="A109" s="83"/>
      <c r="B109" s="84"/>
      <c r="C109" s="90"/>
      <c r="D109" s="91"/>
      <c r="E109" s="84"/>
      <c r="F109" s="14"/>
    </row>
    <row r="110" spans="1:6" x14ac:dyDescent="0.25">
      <c r="A110" s="83"/>
      <c r="B110" s="92"/>
      <c r="C110" s="90"/>
      <c r="D110" s="91"/>
      <c r="E110" s="84"/>
      <c r="F110" s="14"/>
    </row>
    <row r="111" spans="1:6" x14ac:dyDescent="0.25">
      <c r="A111" s="83"/>
      <c r="B111" s="84"/>
      <c r="C111" s="90"/>
      <c r="D111" s="91"/>
      <c r="E111" s="84"/>
      <c r="F111" s="14"/>
    </row>
    <row r="112" spans="1:6" x14ac:dyDescent="0.25">
      <c r="A112" s="83"/>
      <c r="B112" s="84"/>
      <c r="C112" s="90"/>
      <c r="D112" s="91"/>
      <c r="E112" s="84"/>
      <c r="F112" s="14"/>
    </row>
    <row r="113" spans="1:6" x14ac:dyDescent="0.25">
      <c r="A113" s="83"/>
      <c r="B113" s="84"/>
      <c r="C113" s="90"/>
      <c r="D113" s="91"/>
      <c r="E113" s="84"/>
      <c r="F113" s="14"/>
    </row>
    <row r="114" spans="1:6" x14ac:dyDescent="0.25">
      <c r="A114" s="83"/>
      <c r="B114" s="84"/>
      <c r="C114" s="90"/>
      <c r="D114" s="91"/>
      <c r="E114" s="84"/>
      <c r="F114" s="14"/>
    </row>
    <row r="115" spans="1:6" x14ac:dyDescent="0.25">
      <c r="A115" s="83"/>
      <c r="B115" s="84"/>
      <c r="C115" s="90"/>
      <c r="D115" s="91"/>
      <c r="E115" s="84"/>
      <c r="F115" s="14"/>
    </row>
    <row r="116" spans="1:6" x14ac:dyDescent="0.25">
      <c r="A116" s="83"/>
      <c r="B116" s="84"/>
      <c r="C116" s="90"/>
      <c r="D116" s="91"/>
      <c r="E116" s="84"/>
      <c r="F116" s="14"/>
    </row>
    <row r="117" spans="1:6" x14ac:dyDescent="0.25">
      <c r="A117" s="83"/>
      <c r="B117" s="93"/>
      <c r="C117" s="90"/>
      <c r="D117" s="91"/>
      <c r="E117" s="84"/>
      <c r="F117" s="14"/>
    </row>
    <row r="118" spans="1:6" x14ac:dyDescent="0.25">
      <c r="A118" s="83"/>
      <c r="B118" s="84"/>
      <c r="C118" s="90"/>
      <c r="D118" s="91"/>
      <c r="E118" s="84"/>
      <c r="F118" s="14"/>
    </row>
    <row r="119" spans="1:6" x14ac:dyDescent="0.25">
      <c r="A119" s="83"/>
      <c r="B119" s="84"/>
      <c r="C119" s="90"/>
      <c r="D119" s="91"/>
      <c r="E119" s="84"/>
      <c r="F119" s="14"/>
    </row>
    <row r="120" spans="1:6" x14ac:dyDescent="0.25">
      <c r="A120" s="83"/>
      <c r="B120" s="84"/>
      <c r="C120" s="90"/>
      <c r="D120" s="91"/>
      <c r="E120" s="84"/>
      <c r="F120" s="14"/>
    </row>
    <row r="121" spans="1:6" x14ac:dyDescent="0.25">
      <c r="A121" s="83"/>
      <c r="B121" s="84"/>
      <c r="C121" s="90"/>
      <c r="D121" s="91"/>
      <c r="E121" s="84"/>
      <c r="F121" s="14"/>
    </row>
    <row r="122" spans="1:6" x14ac:dyDescent="0.25">
      <c r="A122" s="83"/>
      <c r="B122" s="84"/>
      <c r="C122" s="90"/>
      <c r="D122" s="91"/>
      <c r="E122" s="84"/>
      <c r="F122" s="14"/>
    </row>
    <row r="123" spans="1:6" x14ac:dyDescent="0.25">
      <c r="A123" s="83"/>
      <c r="B123" s="84"/>
      <c r="C123" s="90"/>
      <c r="D123" s="91"/>
      <c r="E123" s="84"/>
      <c r="F123" s="14"/>
    </row>
    <row r="124" spans="1:6" x14ac:dyDescent="0.25">
      <c r="A124" s="83"/>
      <c r="B124" s="84"/>
      <c r="C124" s="90"/>
      <c r="D124" s="91"/>
      <c r="E124" s="84"/>
      <c r="F124" s="14"/>
    </row>
    <row r="125" spans="1:6" x14ac:dyDescent="0.25">
      <c r="A125" s="83"/>
      <c r="B125" s="84"/>
      <c r="C125" s="90"/>
      <c r="D125" s="91"/>
      <c r="E125" s="84"/>
      <c r="F125" s="14"/>
    </row>
    <row r="126" spans="1:6" x14ac:dyDescent="0.25">
      <c r="A126" s="83"/>
      <c r="B126" s="84"/>
      <c r="C126" s="90"/>
      <c r="D126" s="91"/>
      <c r="E126" s="84"/>
      <c r="F126" s="14"/>
    </row>
    <row r="127" spans="1:6" x14ac:dyDescent="0.25">
      <c r="A127" s="83"/>
      <c r="B127" s="84"/>
      <c r="C127" s="90"/>
      <c r="D127" s="91"/>
      <c r="E127" s="84"/>
      <c r="F127" s="14"/>
    </row>
    <row r="128" spans="1:6" x14ac:dyDescent="0.25">
      <c r="A128" s="83"/>
      <c r="B128" s="92"/>
      <c r="C128" s="90"/>
      <c r="D128" s="91"/>
      <c r="E128" s="84"/>
      <c r="F128" s="14"/>
    </row>
    <row r="129" spans="1:6" x14ac:dyDescent="0.25">
      <c r="A129" s="83"/>
      <c r="B129" s="93"/>
      <c r="C129" s="90"/>
      <c r="D129" s="91"/>
      <c r="E129" s="84"/>
      <c r="F129" s="14"/>
    </row>
    <row r="130" spans="1:6" x14ac:dyDescent="0.25">
      <c r="A130" s="83"/>
      <c r="B130" s="84"/>
      <c r="C130" s="90"/>
      <c r="D130" s="91"/>
      <c r="E130" s="84"/>
      <c r="F130" s="14"/>
    </row>
    <row r="131" spans="1:6" x14ac:dyDescent="0.25">
      <c r="A131" s="83"/>
      <c r="B131" s="84"/>
      <c r="C131" s="90"/>
      <c r="D131" s="91"/>
      <c r="E131" s="84"/>
      <c r="F131" s="14"/>
    </row>
    <row r="132" spans="1:6" x14ac:dyDescent="0.25">
      <c r="A132" s="83"/>
      <c r="B132" s="84"/>
      <c r="C132" s="90"/>
      <c r="D132" s="91"/>
      <c r="E132" s="84"/>
      <c r="F132" s="14"/>
    </row>
    <row r="133" spans="1:6" x14ac:dyDescent="0.25">
      <c r="A133" s="83"/>
      <c r="B133" s="84"/>
      <c r="C133" s="90"/>
      <c r="D133" s="91"/>
      <c r="E133" s="84"/>
      <c r="F133" s="14"/>
    </row>
    <row r="134" spans="1:6" x14ac:dyDescent="0.25">
      <c r="A134" s="83"/>
      <c r="B134" s="92"/>
      <c r="C134" s="90"/>
      <c r="D134" s="91"/>
      <c r="E134" s="84"/>
      <c r="F134" s="14"/>
    </row>
    <row r="135" spans="1:6" x14ac:dyDescent="0.25">
      <c r="A135" s="83"/>
      <c r="B135" s="84"/>
      <c r="C135" s="90"/>
      <c r="D135" s="91"/>
      <c r="E135" s="84"/>
      <c r="F135" s="14"/>
    </row>
    <row r="136" spans="1:6" x14ac:dyDescent="0.25">
      <c r="A136" s="83"/>
      <c r="B136" s="84"/>
      <c r="C136" s="90"/>
      <c r="D136" s="91"/>
      <c r="E136" s="84"/>
      <c r="F136" s="14"/>
    </row>
    <row r="137" spans="1:6" x14ac:dyDescent="0.25">
      <c r="A137" s="83"/>
      <c r="B137" s="92"/>
      <c r="C137" s="90"/>
      <c r="D137" s="91"/>
      <c r="E137" s="84"/>
      <c r="F137" s="14"/>
    </row>
    <row r="138" spans="1:6" x14ac:dyDescent="0.25">
      <c r="A138" s="83"/>
      <c r="B138" s="84"/>
      <c r="C138" s="90"/>
      <c r="D138" s="91"/>
      <c r="E138" s="84"/>
      <c r="F138" s="14"/>
    </row>
    <row r="139" spans="1:6" x14ac:dyDescent="0.25">
      <c r="A139" s="83"/>
      <c r="B139" s="84"/>
      <c r="C139" s="90"/>
      <c r="D139" s="91"/>
      <c r="E139" s="84"/>
      <c r="F139" s="14"/>
    </row>
    <row r="140" spans="1:6" x14ac:dyDescent="0.25">
      <c r="A140" s="83"/>
      <c r="B140" s="84"/>
      <c r="C140" s="90"/>
      <c r="D140" s="91"/>
      <c r="E140" s="84"/>
      <c r="F140" s="14"/>
    </row>
    <row r="141" spans="1:6" x14ac:dyDescent="0.25">
      <c r="A141" s="83"/>
      <c r="B141" s="84"/>
      <c r="C141" s="90"/>
      <c r="D141" s="91"/>
      <c r="E141" s="84"/>
      <c r="F141" s="14"/>
    </row>
    <row r="142" spans="1:6" x14ac:dyDescent="0.25">
      <c r="A142" s="83"/>
      <c r="B142" s="84"/>
      <c r="C142" s="90"/>
      <c r="D142" s="91"/>
      <c r="E142" s="84"/>
      <c r="F142" s="14"/>
    </row>
    <row r="143" spans="1:6" x14ac:dyDescent="0.25">
      <c r="A143" s="83"/>
      <c r="B143" s="84"/>
      <c r="C143" s="90"/>
      <c r="D143" s="91"/>
      <c r="E143" s="84"/>
      <c r="F143" s="14"/>
    </row>
    <row r="144" spans="1:6" x14ac:dyDescent="0.25">
      <c r="A144" s="83"/>
      <c r="B144" s="92"/>
      <c r="C144" s="90"/>
      <c r="D144" s="91"/>
      <c r="E144" s="84"/>
      <c r="F144" s="14"/>
    </row>
    <row r="145" spans="1:6" x14ac:dyDescent="0.25">
      <c r="A145" s="83"/>
      <c r="B145" s="92"/>
      <c r="C145" s="90"/>
      <c r="D145" s="91"/>
      <c r="E145" s="84"/>
      <c r="F145" s="14"/>
    </row>
    <row r="146" spans="1:6" x14ac:dyDescent="0.25">
      <c r="A146" s="83"/>
      <c r="B146" s="92"/>
      <c r="C146" s="90"/>
      <c r="D146" s="91"/>
      <c r="E146" s="84"/>
      <c r="F146" s="14"/>
    </row>
    <row r="147" spans="1:6" x14ac:dyDescent="0.25">
      <c r="A147" s="83"/>
      <c r="B147" s="93"/>
      <c r="C147" s="90"/>
      <c r="D147" s="91"/>
      <c r="E147" s="84"/>
      <c r="F147" s="14"/>
    </row>
    <row r="148" spans="1:6" x14ac:dyDescent="0.25">
      <c r="A148" s="83"/>
      <c r="B148" s="84"/>
      <c r="C148" s="90"/>
      <c r="D148" s="91"/>
      <c r="E148" s="84"/>
      <c r="F148" s="14"/>
    </row>
    <row r="149" spans="1:6" x14ac:dyDescent="0.25">
      <c r="A149" s="83"/>
      <c r="B149" s="84"/>
      <c r="C149" s="90"/>
      <c r="D149" s="91"/>
      <c r="E149" s="84"/>
      <c r="F149" s="14"/>
    </row>
    <row r="150" spans="1:6" x14ac:dyDescent="0.25">
      <c r="A150" s="83"/>
      <c r="B150" s="84"/>
      <c r="C150" s="90"/>
      <c r="D150" s="91"/>
      <c r="E150" s="84"/>
      <c r="F150" s="14"/>
    </row>
    <row r="151" spans="1:6" x14ac:dyDescent="0.25">
      <c r="A151" s="83"/>
      <c r="B151" s="84"/>
      <c r="C151" s="90"/>
      <c r="D151" s="91"/>
      <c r="E151" s="84"/>
      <c r="F151" s="14"/>
    </row>
    <row r="152" spans="1:6" x14ac:dyDescent="0.25">
      <c r="A152" s="83"/>
      <c r="B152" s="84"/>
      <c r="C152" s="90"/>
      <c r="D152" s="91"/>
      <c r="E152" s="84"/>
      <c r="F152" s="14"/>
    </row>
    <row r="153" spans="1:6" x14ac:dyDescent="0.25">
      <c r="A153" s="83"/>
      <c r="B153" s="84"/>
      <c r="C153" s="90"/>
      <c r="D153" s="91"/>
      <c r="E153" s="84"/>
      <c r="F153" s="14"/>
    </row>
    <row r="154" spans="1:6" x14ac:dyDescent="0.25">
      <c r="A154" s="83"/>
      <c r="B154" s="84"/>
      <c r="C154" s="90"/>
      <c r="D154" s="91"/>
      <c r="E154" s="84"/>
      <c r="F154" s="14"/>
    </row>
    <row r="155" spans="1:6" x14ac:dyDescent="0.25">
      <c r="A155" s="83"/>
      <c r="B155" s="84"/>
      <c r="C155" s="90"/>
      <c r="D155" s="91"/>
      <c r="E155" s="84"/>
      <c r="F155" s="14"/>
    </row>
    <row r="156" spans="1:6" x14ac:dyDescent="0.25">
      <c r="A156" s="83"/>
      <c r="B156" s="84"/>
      <c r="C156" s="90"/>
      <c r="D156" s="91"/>
      <c r="E156" s="84"/>
      <c r="F156" s="14"/>
    </row>
    <row r="157" spans="1:6" x14ac:dyDescent="0.25">
      <c r="A157" s="83"/>
      <c r="B157" s="84"/>
      <c r="C157" s="90"/>
      <c r="D157" s="91"/>
      <c r="E157" s="84"/>
      <c r="F157" s="14"/>
    </row>
    <row r="158" spans="1:6" x14ac:dyDescent="0.25">
      <c r="A158" s="83"/>
      <c r="B158" s="84"/>
      <c r="C158" s="90"/>
      <c r="D158" s="91"/>
      <c r="E158" s="84"/>
      <c r="F158" s="14"/>
    </row>
    <row r="159" spans="1:6" x14ac:dyDescent="0.25">
      <c r="A159" s="83"/>
      <c r="B159" s="84"/>
      <c r="C159" s="90"/>
      <c r="D159" s="91"/>
      <c r="E159" s="84"/>
      <c r="F159" s="14"/>
    </row>
    <row r="160" spans="1:6" x14ac:dyDescent="0.25">
      <c r="A160" s="83"/>
      <c r="B160" s="84"/>
      <c r="C160" s="90"/>
      <c r="D160" s="91"/>
      <c r="E160" s="84"/>
      <c r="F160" s="14"/>
    </row>
    <row r="161" spans="1:6" x14ac:dyDescent="0.25">
      <c r="A161" s="83"/>
      <c r="B161" s="84"/>
      <c r="C161" s="90"/>
      <c r="D161" s="91"/>
      <c r="E161" s="84"/>
      <c r="F161" s="14"/>
    </row>
    <row r="162" spans="1:6" x14ac:dyDescent="0.25">
      <c r="A162" s="83"/>
      <c r="B162" s="84"/>
      <c r="C162" s="90"/>
      <c r="D162" s="91"/>
      <c r="E162" s="84"/>
      <c r="F162" s="14"/>
    </row>
    <row r="163" spans="1:6" x14ac:dyDescent="0.25">
      <c r="A163" s="83"/>
      <c r="B163" s="93"/>
      <c r="C163" s="90"/>
      <c r="D163" s="91"/>
      <c r="E163" s="84"/>
      <c r="F163" s="14"/>
    </row>
    <row r="164" spans="1:6" x14ac:dyDescent="0.25">
      <c r="A164" s="83"/>
      <c r="B164" s="93"/>
      <c r="C164" s="90"/>
      <c r="D164" s="91"/>
      <c r="E164" s="84"/>
      <c r="F164" s="14"/>
    </row>
    <row r="165" spans="1:6" x14ac:dyDescent="0.25">
      <c r="A165" s="83"/>
      <c r="B165" s="93"/>
      <c r="C165" s="90"/>
      <c r="D165" s="91"/>
      <c r="E165" s="84"/>
      <c r="F165" s="14"/>
    </row>
    <row r="166" spans="1:6" x14ac:dyDescent="0.25">
      <c r="A166" s="83"/>
      <c r="B166" s="93"/>
      <c r="C166" s="90"/>
      <c r="D166" s="91"/>
      <c r="E166" s="84"/>
      <c r="F166" s="14"/>
    </row>
    <row r="167" spans="1:6" x14ac:dyDescent="0.25">
      <c r="A167" s="83"/>
      <c r="B167" s="93"/>
      <c r="C167" s="90"/>
      <c r="D167" s="91"/>
      <c r="E167" s="84"/>
      <c r="F167" s="14"/>
    </row>
    <row r="168" spans="1:6" x14ac:dyDescent="0.25">
      <c r="A168" s="83"/>
      <c r="B168" s="93"/>
      <c r="C168" s="90"/>
      <c r="D168" s="91"/>
      <c r="E168" s="84"/>
      <c r="F168" s="33"/>
    </row>
    <row r="169" spans="1:6" x14ac:dyDescent="0.25">
      <c r="A169" s="83"/>
      <c r="B169" s="93"/>
      <c r="C169" s="90"/>
      <c r="D169" s="91"/>
      <c r="E169" s="84"/>
      <c r="F169" s="14"/>
    </row>
    <row r="170" spans="1:6" x14ac:dyDescent="0.25">
      <c r="A170" s="83"/>
      <c r="B170" s="93"/>
      <c r="C170" s="90"/>
      <c r="D170" s="90"/>
      <c r="E170" s="84"/>
      <c r="F170" s="14"/>
    </row>
    <row r="171" spans="1:6" x14ac:dyDescent="0.25">
      <c r="A171" s="83"/>
      <c r="B171" s="93"/>
      <c r="C171" s="90"/>
      <c r="D171" s="90"/>
      <c r="E171" s="84"/>
      <c r="F171" s="14"/>
    </row>
    <row r="172" spans="1:6" x14ac:dyDescent="0.25">
      <c r="A172" s="83"/>
      <c r="B172" s="93"/>
      <c r="C172" s="90"/>
      <c r="D172" s="90"/>
      <c r="E172" s="84"/>
      <c r="F172" s="14"/>
    </row>
    <row r="173" spans="1:6" x14ac:dyDescent="0.25">
      <c r="A173" s="83"/>
      <c r="B173" s="93"/>
      <c r="C173" s="90"/>
      <c r="D173" s="90"/>
      <c r="E173" s="84"/>
      <c r="F173" s="14"/>
    </row>
    <row r="174" spans="1:6" x14ac:dyDescent="0.25">
      <c r="A174" s="83"/>
      <c r="B174" s="93"/>
      <c r="C174" s="90"/>
      <c r="D174" s="90"/>
      <c r="E174" s="84"/>
      <c r="F174" s="14"/>
    </row>
    <row r="175" spans="1:6" x14ac:dyDescent="0.25">
      <c r="A175" s="83"/>
      <c r="B175" s="93"/>
      <c r="C175" s="90"/>
      <c r="D175" s="90"/>
      <c r="E175" s="84"/>
      <c r="F175" s="14"/>
    </row>
    <row r="176" spans="1:6" x14ac:dyDescent="0.25">
      <c r="A176" s="83"/>
      <c r="B176" s="93"/>
      <c r="C176" s="90"/>
      <c r="D176" s="90"/>
      <c r="E176" s="84"/>
      <c r="F176" s="14"/>
    </row>
    <row r="177" spans="1:6" x14ac:dyDescent="0.25">
      <c r="A177" s="83"/>
      <c r="B177" s="93"/>
      <c r="C177" s="90"/>
      <c r="D177" s="90"/>
      <c r="E177" s="84"/>
      <c r="F177" s="38"/>
    </row>
    <row r="178" spans="1:6" x14ac:dyDescent="0.25">
      <c r="A178" s="83"/>
      <c r="B178" s="93"/>
      <c r="C178" s="90"/>
      <c r="D178" s="90"/>
      <c r="E178" s="84"/>
      <c r="F178" s="14"/>
    </row>
    <row r="179" spans="1:6" x14ac:dyDescent="0.25">
      <c r="A179" s="83"/>
      <c r="B179" s="93"/>
      <c r="C179" s="90"/>
      <c r="D179" s="90"/>
      <c r="E179" s="84"/>
      <c r="F179" s="14"/>
    </row>
    <row r="180" spans="1:6" x14ac:dyDescent="0.25">
      <c r="A180" s="83"/>
      <c r="B180" s="93"/>
      <c r="C180" s="90"/>
      <c r="D180" s="90"/>
      <c r="E180" s="84"/>
      <c r="F180" s="14"/>
    </row>
    <row r="181" spans="1:6" x14ac:dyDescent="0.25">
      <c r="A181" s="83"/>
      <c r="B181" s="93"/>
      <c r="C181" s="90"/>
      <c r="D181" s="90"/>
      <c r="E181" s="84"/>
      <c r="F181" s="14"/>
    </row>
    <row r="182" spans="1:6" x14ac:dyDescent="0.25">
      <c r="A182" s="83"/>
      <c r="B182" s="93"/>
      <c r="C182" s="90"/>
      <c r="D182" s="90"/>
      <c r="E182" s="84"/>
      <c r="F182" s="14"/>
    </row>
    <row r="183" spans="1:6" x14ac:dyDescent="0.25">
      <c r="A183" s="83"/>
      <c r="B183" s="93"/>
      <c r="C183" s="90"/>
      <c r="D183" s="90"/>
      <c r="E183" s="84"/>
      <c r="F183" s="14"/>
    </row>
    <row r="184" spans="1:6" x14ac:dyDescent="0.25">
      <c r="A184" s="83"/>
      <c r="B184" s="93"/>
      <c r="C184" s="90"/>
      <c r="D184" s="90"/>
      <c r="E184" s="84"/>
      <c r="F184" s="14"/>
    </row>
    <row r="185" spans="1:6" x14ac:dyDescent="0.25">
      <c r="A185" s="83"/>
      <c r="B185" s="93"/>
      <c r="C185" s="90"/>
      <c r="D185" s="90"/>
      <c r="E185" s="84"/>
      <c r="F185" s="14"/>
    </row>
    <row r="186" spans="1:6" x14ac:dyDescent="0.25">
      <c r="A186" s="83"/>
      <c r="B186" s="93"/>
      <c r="C186" s="90"/>
      <c r="D186" s="90"/>
      <c r="E186" s="84"/>
      <c r="F186" s="14"/>
    </row>
    <row r="187" spans="1:6" x14ac:dyDescent="0.25">
      <c r="A187" s="83"/>
      <c r="B187" s="93"/>
      <c r="C187" s="90"/>
      <c r="D187" s="90"/>
      <c r="E187" s="84"/>
      <c r="F187" s="14"/>
    </row>
    <row r="188" spans="1:6" x14ac:dyDescent="0.25">
      <c r="A188" s="83"/>
      <c r="B188" s="93"/>
      <c r="C188" s="90"/>
      <c r="D188" s="90"/>
      <c r="E188" s="84"/>
      <c r="F188" s="14"/>
    </row>
    <row r="189" spans="1:6" x14ac:dyDescent="0.25">
      <c r="A189" s="83"/>
      <c r="B189" s="93"/>
      <c r="C189" s="90"/>
      <c r="D189" s="90"/>
      <c r="E189" s="84"/>
      <c r="F189" s="14"/>
    </row>
    <row r="190" spans="1:6" x14ac:dyDescent="0.25">
      <c r="A190" s="83"/>
      <c r="B190" s="93"/>
      <c r="C190" s="90"/>
      <c r="D190" s="90"/>
      <c r="E190" s="84"/>
      <c r="F190" s="14"/>
    </row>
    <row r="191" spans="1:6" x14ac:dyDescent="0.25">
      <c r="A191" s="83"/>
      <c r="B191" s="93"/>
      <c r="C191" s="90"/>
      <c r="D191" s="90"/>
      <c r="E191" s="84"/>
      <c r="F191" s="14"/>
    </row>
    <row r="192" spans="1:6" x14ac:dyDescent="0.25">
      <c r="A192" s="83"/>
      <c r="B192" s="93"/>
      <c r="C192" s="90"/>
      <c r="D192" s="90"/>
      <c r="E192" s="84"/>
      <c r="F192" s="14"/>
    </row>
    <row r="193" spans="1:6" x14ac:dyDescent="0.25">
      <c r="A193" s="83"/>
      <c r="B193" s="93"/>
      <c r="C193" s="90"/>
      <c r="D193" s="90"/>
      <c r="E193" s="84"/>
      <c r="F193" s="14"/>
    </row>
    <row r="194" spans="1:6" x14ac:dyDescent="0.25">
      <c r="A194" s="83"/>
      <c r="B194" s="93"/>
      <c r="C194" s="90"/>
      <c r="D194" s="90"/>
      <c r="E194" s="84"/>
      <c r="F194" s="14"/>
    </row>
    <row r="195" spans="1:6" x14ac:dyDescent="0.25">
      <c r="A195" s="83"/>
      <c r="B195" s="93"/>
      <c r="C195" s="90"/>
      <c r="D195" s="90"/>
      <c r="E195" s="84"/>
      <c r="F195" s="14"/>
    </row>
    <row r="196" spans="1:6" x14ac:dyDescent="0.25">
      <c r="A196" s="83"/>
      <c r="B196" s="93"/>
      <c r="C196" s="90"/>
      <c r="D196" s="90"/>
      <c r="E196" s="84"/>
      <c r="F196" s="14"/>
    </row>
    <row r="197" spans="1:6" x14ac:dyDescent="0.25">
      <c r="A197" s="83"/>
      <c r="B197" s="93"/>
      <c r="C197" s="90"/>
      <c r="D197" s="90"/>
      <c r="E197" s="84"/>
      <c r="F197" s="14"/>
    </row>
    <row r="198" spans="1:6" x14ac:dyDescent="0.25">
      <c r="A198" s="83"/>
      <c r="B198" s="93"/>
      <c r="C198" s="90"/>
      <c r="D198" s="90"/>
      <c r="E198" s="84"/>
      <c r="F198" s="14"/>
    </row>
    <row r="199" spans="1:6" x14ac:dyDescent="0.25">
      <c r="A199" s="83"/>
      <c r="B199" s="93"/>
      <c r="C199" s="90"/>
      <c r="D199" s="90"/>
      <c r="E199" s="84"/>
      <c r="F199" s="14"/>
    </row>
    <row r="200" spans="1:6" x14ac:dyDescent="0.25">
      <c r="A200" s="83"/>
      <c r="B200" s="93"/>
      <c r="C200" s="90"/>
      <c r="D200" s="90"/>
      <c r="E200" s="84"/>
      <c r="F200" s="14"/>
    </row>
    <row r="201" spans="1:6" x14ac:dyDescent="0.25">
      <c r="A201" s="83"/>
      <c r="B201" s="93"/>
      <c r="C201" s="90"/>
      <c r="D201" s="90"/>
      <c r="E201" s="84"/>
      <c r="F201" s="14"/>
    </row>
    <row r="202" spans="1:6" x14ac:dyDescent="0.25">
      <c r="A202" s="83"/>
      <c r="B202" s="93"/>
      <c r="C202" s="90"/>
      <c r="D202" s="90"/>
      <c r="E202" s="84"/>
      <c r="F202" s="14"/>
    </row>
    <row r="203" spans="1:6" x14ac:dyDescent="0.25">
      <c r="A203" s="83"/>
      <c r="B203" s="93"/>
      <c r="C203" s="90"/>
      <c r="D203" s="90"/>
      <c r="E203" s="84"/>
      <c r="F203" s="14"/>
    </row>
    <row r="204" spans="1:6" x14ac:dyDescent="0.25">
      <c r="A204" s="83"/>
      <c r="B204" s="93"/>
      <c r="C204" s="90"/>
      <c r="D204" s="90"/>
      <c r="E204" s="84"/>
      <c r="F204" s="14"/>
    </row>
    <row r="205" spans="1:6" x14ac:dyDescent="0.25">
      <c r="A205" s="83"/>
      <c r="B205" s="93"/>
      <c r="C205" s="90"/>
      <c r="D205" s="90"/>
      <c r="E205" s="84"/>
      <c r="F205" s="14"/>
    </row>
    <row r="206" spans="1:6" x14ac:dyDescent="0.25">
      <c r="A206" s="83"/>
      <c r="B206" s="93"/>
      <c r="C206" s="90"/>
      <c r="D206" s="90"/>
      <c r="E206" s="84"/>
      <c r="F206" s="14"/>
    </row>
    <row r="207" spans="1:6" x14ac:dyDescent="0.25">
      <c r="A207" s="83"/>
      <c r="B207" s="93"/>
      <c r="C207" s="90"/>
      <c r="D207" s="90"/>
      <c r="E207" s="84"/>
      <c r="F207" s="14"/>
    </row>
    <row r="208" spans="1:6" x14ac:dyDescent="0.25">
      <c r="A208" s="83"/>
      <c r="B208" s="93"/>
      <c r="C208" s="90"/>
      <c r="D208" s="90"/>
      <c r="E208" s="84"/>
      <c r="F208" s="14"/>
    </row>
    <row r="209" spans="1:6" x14ac:dyDescent="0.25">
      <c r="A209" s="83"/>
      <c r="B209" s="93"/>
      <c r="C209" s="90"/>
      <c r="D209" s="90"/>
      <c r="E209" s="84"/>
      <c r="F209" s="14"/>
    </row>
    <row r="210" spans="1:6" x14ac:dyDescent="0.25">
      <c r="A210" s="83"/>
      <c r="B210" s="93"/>
      <c r="C210" s="90"/>
      <c r="D210" s="90"/>
      <c r="E210" s="84"/>
      <c r="F210" s="14"/>
    </row>
    <row r="211" spans="1:6" x14ac:dyDescent="0.25">
      <c r="A211" s="83"/>
      <c r="B211" s="93"/>
      <c r="C211" s="90"/>
      <c r="D211" s="90"/>
      <c r="E211" s="84"/>
      <c r="F211" s="14"/>
    </row>
    <row r="212" spans="1:6" x14ac:dyDescent="0.25">
      <c r="A212" s="83"/>
      <c r="B212" s="93"/>
      <c r="C212" s="90"/>
      <c r="D212" s="90"/>
      <c r="E212" s="84"/>
      <c r="F212" s="14"/>
    </row>
    <row r="213" spans="1:6" x14ac:dyDescent="0.25">
      <c r="A213" s="83"/>
      <c r="B213" s="93"/>
      <c r="C213" s="90"/>
      <c r="D213" s="90"/>
      <c r="E213" s="84"/>
      <c r="F213" s="14"/>
    </row>
    <row r="214" spans="1:6" x14ac:dyDescent="0.25">
      <c r="A214" s="83"/>
      <c r="B214" s="93"/>
      <c r="C214" s="90"/>
      <c r="D214" s="90"/>
      <c r="E214" s="84"/>
      <c r="F214" s="14"/>
    </row>
    <row r="215" spans="1:6" x14ac:dyDescent="0.25">
      <c r="A215" s="83"/>
      <c r="B215" s="93"/>
      <c r="C215" s="90"/>
      <c r="D215" s="90"/>
      <c r="E215" s="84"/>
      <c r="F215" s="14"/>
    </row>
    <row r="216" spans="1:6" x14ac:dyDescent="0.25">
      <c r="A216" s="83"/>
      <c r="B216" s="93"/>
      <c r="C216" s="90"/>
      <c r="D216" s="90"/>
      <c r="E216" s="84"/>
      <c r="F216" s="14"/>
    </row>
    <row r="217" spans="1:6" x14ac:dyDescent="0.25">
      <c r="A217" s="83"/>
      <c r="B217" s="93"/>
      <c r="C217" s="90"/>
      <c r="D217" s="90"/>
      <c r="E217" s="84"/>
      <c r="F217" s="14"/>
    </row>
    <row r="218" spans="1:6" x14ac:dyDescent="0.25">
      <c r="A218" s="83"/>
      <c r="B218" s="93"/>
      <c r="C218" s="90"/>
      <c r="D218" s="90"/>
      <c r="E218" s="84"/>
      <c r="F218" s="14"/>
    </row>
    <row r="219" spans="1:6" x14ac:dyDescent="0.25">
      <c r="A219" s="83"/>
      <c r="B219" s="93"/>
      <c r="C219" s="90"/>
      <c r="D219" s="90"/>
      <c r="E219" s="84"/>
      <c r="F219" s="14"/>
    </row>
    <row r="220" spans="1:6" x14ac:dyDescent="0.25">
      <c r="A220" s="83"/>
      <c r="B220" s="93"/>
      <c r="C220" s="90"/>
      <c r="D220" s="90"/>
      <c r="E220" s="84"/>
      <c r="F220" s="14"/>
    </row>
    <row r="221" spans="1:6" x14ac:dyDescent="0.25">
      <c r="A221" s="83"/>
      <c r="B221" s="93"/>
      <c r="C221" s="90"/>
      <c r="D221" s="90"/>
      <c r="E221" s="84"/>
      <c r="F221" s="14"/>
    </row>
    <row r="222" spans="1:6" x14ac:dyDescent="0.25">
      <c r="A222" s="83"/>
      <c r="B222" s="93"/>
      <c r="C222" s="90"/>
      <c r="D222" s="90"/>
      <c r="E222" s="84"/>
      <c r="F222" s="14"/>
    </row>
    <row r="223" spans="1:6" x14ac:dyDescent="0.25">
      <c r="A223" s="83"/>
      <c r="B223" s="93"/>
      <c r="C223" s="90"/>
      <c r="D223" s="90"/>
      <c r="E223" s="84"/>
      <c r="F223" s="14"/>
    </row>
    <row r="224" spans="1:6" x14ac:dyDescent="0.25">
      <c r="A224" s="83"/>
      <c r="B224" s="93"/>
      <c r="C224" s="90"/>
      <c r="D224" s="90"/>
      <c r="E224" s="84"/>
      <c r="F224" s="14"/>
    </row>
    <row r="225" spans="1:6" x14ac:dyDescent="0.25">
      <c r="A225" s="83"/>
      <c r="B225" s="93"/>
      <c r="C225" s="90"/>
      <c r="D225" s="90"/>
      <c r="E225" s="84"/>
      <c r="F225" s="14"/>
    </row>
    <row r="226" spans="1:6" x14ac:dyDescent="0.25">
      <c r="A226" s="83"/>
      <c r="B226" s="93"/>
      <c r="C226" s="90"/>
      <c r="D226" s="90"/>
      <c r="E226" s="84"/>
      <c r="F226" s="14"/>
    </row>
    <row r="227" spans="1:6" x14ac:dyDescent="0.25">
      <c r="A227" s="83"/>
      <c r="B227" s="93"/>
      <c r="C227" s="90"/>
      <c r="D227" s="90"/>
      <c r="E227" s="84"/>
      <c r="F227" s="14"/>
    </row>
    <row r="228" spans="1:6" x14ac:dyDescent="0.25">
      <c r="A228" s="83"/>
      <c r="B228" s="93"/>
      <c r="C228" s="90"/>
      <c r="D228" s="90"/>
      <c r="E228" s="84"/>
      <c r="F228" s="14"/>
    </row>
    <row r="229" spans="1:6" x14ac:dyDescent="0.25">
      <c r="A229" s="83"/>
      <c r="B229" s="93"/>
      <c r="C229" s="90"/>
      <c r="D229" s="90"/>
      <c r="E229" s="84"/>
      <c r="F229" s="14"/>
    </row>
    <row r="230" spans="1:6" x14ac:dyDescent="0.25">
      <c r="A230" s="83"/>
      <c r="B230" s="93"/>
      <c r="C230" s="90"/>
      <c r="D230" s="90"/>
      <c r="E230" s="84"/>
      <c r="F230" s="14"/>
    </row>
    <row r="231" spans="1:6" x14ac:dyDescent="0.25">
      <c r="A231" s="83"/>
      <c r="B231" s="93"/>
      <c r="C231" s="90"/>
      <c r="D231" s="90"/>
      <c r="E231" s="84"/>
      <c r="F231" s="14"/>
    </row>
    <row r="232" spans="1:6" x14ac:dyDescent="0.25">
      <c r="A232" s="83"/>
      <c r="B232" s="93"/>
      <c r="C232" s="90"/>
      <c r="D232" s="90"/>
      <c r="E232" s="84"/>
      <c r="F232" s="14"/>
    </row>
    <row r="233" spans="1:6" x14ac:dyDescent="0.25">
      <c r="A233" s="83"/>
      <c r="B233" s="93"/>
      <c r="C233" s="90"/>
      <c r="D233" s="90"/>
      <c r="E233" s="84"/>
      <c r="F233" s="14"/>
    </row>
    <row r="234" spans="1:6" x14ac:dyDescent="0.25">
      <c r="A234" s="83"/>
      <c r="B234" s="93"/>
      <c r="C234" s="90"/>
      <c r="D234" s="90"/>
      <c r="E234" s="84"/>
      <c r="F234" s="14"/>
    </row>
    <row r="235" spans="1:6" x14ac:dyDescent="0.25">
      <c r="A235" s="83"/>
      <c r="B235" s="93"/>
      <c r="C235" s="90"/>
      <c r="D235" s="90"/>
      <c r="E235" s="84"/>
      <c r="F235" s="14"/>
    </row>
    <row r="236" spans="1:6" x14ac:dyDescent="0.25">
      <c r="A236" s="83"/>
      <c r="B236" s="94"/>
      <c r="C236" s="90"/>
      <c r="D236" s="90"/>
      <c r="E236" s="84"/>
      <c r="F236" s="14"/>
    </row>
    <row r="237" spans="1:6" x14ac:dyDescent="0.25">
      <c r="A237" s="83"/>
      <c r="B237" s="94"/>
      <c r="C237" s="90"/>
      <c r="D237" s="90"/>
      <c r="E237" s="84"/>
      <c r="F237" s="14"/>
    </row>
    <row r="238" spans="1:6" x14ac:dyDescent="0.25">
      <c r="A238" s="83"/>
      <c r="B238" s="94"/>
      <c r="C238" s="90"/>
      <c r="D238" s="90"/>
      <c r="E238" s="84"/>
      <c r="F238" s="14"/>
    </row>
    <row r="239" spans="1:6" x14ac:dyDescent="0.25">
      <c r="A239" s="83"/>
      <c r="B239" s="94"/>
      <c r="C239" s="90"/>
      <c r="D239" s="90"/>
      <c r="E239" s="84"/>
      <c r="F239" s="14"/>
    </row>
    <row r="240" spans="1:6" x14ac:dyDescent="0.25">
      <c r="A240" s="83"/>
      <c r="B240" s="94"/>
      <c r="C240" s="90"/>
      <c r="D240" s="90"/>
      <c r="E240" s="84"/>
      <c r="F240" s="14"/>
    </row>
    <row r="241" spans="1:6" x14ac:dyDescent="0.25">
      <c r="A241" s="83"/>
      <c r="B241" s="93"/>
      <c r="C241" s="90"/>
      <c r="D241" s="90"/>
      <c r="E241" s="84"/>
      <c r="F241" s="14"/>
    </row>
    <row r="242" spans="1:6" x14ac:dyDescent="0.25">
      <c r="A242" s="83"/>
      <c r="B242" s="93"/>
      <c r="C242" s="90"/>
      <c r="D242" s="90"/>
      <c r="E242" s="84"/>
      <c r="F242" s="14"/>
    </row>
    <row r="243" spans="1:6" x14ac:dyDescent="0.25">
      <c r="A243" s="83"/>
      <c r="B243" s="93"/>
      <c r="C243" s="90"/>
      <c r="D243" s="90"/>
      <c r="E243" s="84"/>
      <c r="F243" s="14"/>
    </row>
    <row r="244" spans="1:6" x14ac:dyDescent="0.25">
      <c r="A244" s="83"/>
      <c r="B244" s="94"/>
      <c r="C244" s="90"/>
      <c r="D244" s="90"/>
      <c r="E244" s="84"/>
      <c r="F244" s="14"/>
    </row>
    <row r="245" spans="1:6" x14ac:dyDescent="0.25">
      <c r="A245" s="83"/>
      <c r="B245" s="94"/>
      <c r="C245" s="90"/>
      <c r="D245" s="90"/>
      <c r="E245" s="84"/>
      <c r="F245" s="14"/>
    </row>
    <row r="246" spans="1:6" x14ac:dyDescent="0.25">
      <c r="A246" s="83"/>
      <c r="B246" s="94"/>
      <c r="C246" s="90"/>
      <c r="D246" s="90"/>
      <c r="E246" s="84"/>
      <c r="F246" s="14"/>
    </row>
    <row r="247" spans="1:6" x14ac:dyDescent="0.25">
      <c r="A247" s="83"/>
      <c r="B247" s="94"/>
      <c r="C247" s="90"/>
      <c r="D247" s="90"/>
      <c r="E247" s="84"/>
      <c r="F247" s="14"/>
    </row>
    <row r="248" spans="1:6" x14ac:dyDescent="0.25">
      <c r="A248" s="83"/>
      <c r="B248" s="94"/>
      <c r="C248" s="90"/>
      <c r="D248" s="90"/>
      <c r="E248" s="84"/>
      <c r="F248" s="14"/>
    </row>
    <row r="249" spans="1:6" x14ac:dyDescent="0.25">
      <c r="A249" s="83"/>
      <c r="B249" s="93"/>
      <c r="C249" s="90"/>
      <c r="D249" s="90"/>
      <c r="E249" s="84"/>
      <c r="F249" s="14"/>
    </row>
    <row r="250" spans="1:6" x14ac:dyDescent="0.25">
      <c r="A250" s="83"/>
      <c r="B250" s="94"/>
      <c r="C250" s="90"/>
      <c r="D250" s="90"/>
      <c r="E250" s="84"/>
      <c r="F250" s="14"/>
    </row>
    <row r="251" spans="1:6" x14ac:dyDescent="0.25">
      <c r="A251" s="83"/>
      <c r="B251" s="94"/>
      <c r="C251" s="90"/>
      <c r="D251" s="90"/>
      <c r="E251" s="84"/>
      <c r="F251" s="14"/>
    </row>
    <row r="252" spans="1:6" x14ac:dyDescent="0.25">
      <c r="A252" s="83"/>
      <c r="B252" s="94"/>
      <c r="C252" s="90"/>
      <c r="D252" s="90"/>
      <c r="E252" s="84"/>
      <c r="F252" s="14"/>
    </row>
    <row r="253" spans="1:6" x14ac:dyDescent="0.25">
      <c r="A253" s="83"/>
      <c r="B253" s="94"/>
      <c r="C253" s="90"/>
      <c r="D253" s="90"/>
      <c r="E253" s="84"/>
      <c r="F253" s="14"/>
    </row>
    <row r="254" spans="1:6" x14ac:dyDescent="0.25">
      <c r="A254" s="83"/>
      <c r="B254" s="94"/>
      <c r="C254" s="90"/>
      <c r="D254" s="90"/>
      <c r="E254" s="84"/>
      <c r="F254" s="14"/>
    </row>
    <row r="255" spans="1:6" x14ac:dyDescent="0.25">
      <c r="A255" s="83"/>
      <c r="B255" s="94"/>
      <c r="C255" s="90"/>
      <c r="D255" s="91"/>
      <c r="E255" s="95"/>
      <c r="F255" s="14"/>
    </row>
    <row r="256" spans="1:6" x14ac:dyDescent="0.25">
      <c r="A256" s="83"/>
      <c r="B256" s="94"/>
      <c r="C256" s="90"/>
      <c r="D256" s="90"/>
      <c r="E256" s="84"/>
      <c r="F256" s="14"/>
    </row>
    <row r="257" spans="1:6" x14ac:dyDescent="0.25">
      <c r="A257" s="83"/>
      <c r="B257" s="93"/>
      <c r="C257" s="90"/>
      <c r="D257" s="90"/>
      <c r="E257" s="84"/>
      <c r="F257" s="14"/>
    </row>
    <row r="258" spans="1:6" x14ac:dyDescent="0.25">
      <c r="A258" s="83"/>
      <c r="B258" s="94"/>
      <c r="C258" s="90"/>
      <c r="D258" s="90"/>
      <c r="E258" s="84"/>
      <c r="F258" s="14"/>
    </row>
    <row r="259" spans="1:6" x14ac:dyDescent="0.25">
      <c r="A259" s="83"/>
      <c r="B259" s="94"/>
      <c r="C259" s="90"/>
      <c r="D259" s="90"/>
      <c r="E259" s="84"/>
      <c r="F259" s="14"/>
    </row>
    <row r="260" spans="1:6" x14ac:dyDescent="0.25">
      <c r="A260" s="83"/>
      <c r="B260" s="94"/>
      <c r="C260" s="90"/>
      <c r="D260" s="90"/>
      <c r="E260" s="84"/>
      <c r="F260" s="14"/>
    </row>
    <row r="261" spans="1:6" x14ac:dyDescent="0.25">
      <c r="A261" s="83"/>
      <c r="B261" s="94"/>
      <c r="C261" s="90"/>
      <c r="D261" s="90"/>
      <c r="E261" s="84"/>
      <c r="F261" s="14"/>
    </row>
    <row r="262" spans="1:6" x14ac:dyDescent="0.25">
      <c r="A262" s="83"/>
      <c r="B262" s="94"/>
      <c r="C262" s="90"/>
      <c r="D262" s="90"/>
      <c r="E262" s="84"/>
      <c r="F262" s="14"/>
    </row>
    <row r="263" spans="1:6" x14ac:dyDescent="0.25">
      <c r="A263" s="83"/>
      <c r="B263" s="94"/>
      <c r="C263" s="90"/>
      <c r="D263" s="91"/>
      <c r="E263" s="95"/>
      <c r="F263" s="14"/>
    </row>
    <row r="264" spans="1:6" x14ac:dyDescent="0.25">
      <c r="A264" s="83"/>
      <c r="B264" s="94"/>
      <c r="C264" s="90"/>
      <c r="D264" s="90"/>
      <c r="E264" s="95"/>
      <c r="F264" s="14"/>
    </row>
    <row r="265" spans="1:6" x14ac:dyDescent="0.25">
      <c r="A265" s="83"/>
      <c r="B265" s="93"/>
      <c r="C265" s="90"/>
      <c r="D265" s="90"/>
      <c r="E265" s="84"/>
      <c r="F265" s="14"/>
    </row>
    <row r="266" spans="1:6" x14ac:dyDescent="0.25">
      <c r="A266" s="83"/>
      <c r="B266" s="94"/>
      <c r="C266" s="90"/>
      <c r="D266" s="90"/>
      <c r="E266" s="84"/>
      <c r="F266" s="14"/>
    </row>
    <row r="267" spans="1:6" x14ac:dyDescent="0.25">
      <c r="A267" s="83"/>
      <c r="B267" s="94"/>
      <c r="C267" s="90"/>
      <c r="D267" s="90"/>
      <c r="E267" s="84"/>
      <c r="F267" s="14"/>
    </row>
    <row r="268" spans="1:6" x14ac:dyDescent="0.25">
      <c r="A268" s="83"/>
      <c r="B268" s="94"/>
      <c r="C268" s="90"/>
      <c r="D268" s="90"/>
      <c r="E268" s="84"/>
      <c r="F268" s="14"/>
    </row>
    <row r="269" spans="1:6" x14ac:dyDescent="0.25">
      <c r="A269" s="83"/>
      <c r="B269" s="94"/>
      <c r="C269" s="90"/>
      <c r="D269" s="90"/>
      <c r="E269" s="84"/>
      <c r="F269" s="14"/>
    </row>
    <row r="270" spans="1:6" x14ac:dyDescent="0.25">
      <c r="A270" s="83"/>
      <c r="B270" s="94"/>
      <c r="C270" s="90"/>
      <c r="D270" s="90"/>
      <c r="E270" s="84"/>
      <c r="F270" s="14"/>
    </row>
    <row r="271" spans="1:6" x14ac:dyDescent="0.25">
      <c r="A271" s="83"/>
      <c r="B271" s="94"/>
      <c r="C271" s="90"/>
      <c r="D271" s="91"/>
      <c r="E271" s="84"/>
      <c r="F271" s="14"/>
    </row>
    <row r="272" spans="1:6" x14ac:dyDescent="0.25">
      <c r="A272" s="83"/>
      <c r="B272" s="94"/>
      <c r="C272" s="90"/>
      <c r="D272" s="90"/>
      <c r="E272" s="84"/>
      <c r="F272" s="14"/>
    </row>
    <row r="273" spans="1:6" x14ac:dyDescent="0.25">
      <c r="A273" s="83"/>
      <c r="B273" s="94"/>
      <c r="C273" s="90"/>
      <c r="D273" s="90"/>
      <c r="E273" s="84"/>
      <c r="F273" s="14"/>
    </row>
    <row r="274" spans="1:6" x14ac:dyDescent="0.25">
      <c r="A274" s="83"/>
      <c r="B274" s="94"/>
      <c r="C274" s="90"/>
      <c r="D274" s="90"/>
      <c r="E274" s="84"/>
      <c r="F274" s="14"/>
    </row>
    <row r="275" spans="1:6" x14ac:dyDescent="0.25">
      <c r="A275" s="83"/>
      <c r="B275" s="94"/>
      <c r="C275" s="90"/>
      <c r="D275" s="90"/>
      <c r="E275" s="84"/>
      <c r="F275" s="14"/>
    </row>
    <row r="276" spans="1:6" x14ac:dyDescent="0.25">
      <c r="A276" s="83"/>
      <c r="B276" s="94"/>
      <c r="C276" s="90"/>
      <c r="D276" s="90"/>
      <c r="E276" s="95"/>
      <c r="F276" s="14"/>
    </row>
    <row r="277" spans="1:6" x14ac:dyDescent="0.25">
      <c r="A277" s="83"/>
      <c r="B277" s="94"/>
      <c r="C277" s="90"/>
      <c r="D277" s="90"/>
      <c r="E277" s="84"/>
      <c r="F277" s="14"/>
    </row>
    <row r="278" spans="1:6" x14ac:dyDescent="0.25">
      <c r="A278" s="83"/>
      <c r="B278" s="93"/>
      <c r="C278" s="90"/>
      <c r="D278" s="90"/>
      <c r="E278" s="84"/>
      <c r="F278" s="14"/>
    </row>
    <row r="279" spans="1:6" x14ac:dyDescent="0.25">
      <c r="A279" s="83"/>
      <c r="B279" s="94"/>
      <c r="C279" s="90"/>
      <c r="D279" s="90"/>
      <c r="E279" s="84"/>
      <c r="F279" s="14"/>
    </row>
    <row r="280" spans="1:6" x14ac:dyDescent="0.25">
      <c r="A280" s="83"/>
      <c r="B280" s="94"/>
      <c r="C280" s="90"/>
      <c r="D280" s="90"/>
      <c r="E280" s="84"/>
      <c r="F280" s="14"/>
    </row>
    <row r="281" spans="1:6" x14ac:dyDescent="0.25">
      <c r="A281" s="83"/>
      <c r="B281" s="94"/>
      <c r="C281" s="90"/>
      <c r="D281" s="90"/>
      <c r="E281" s="84"/>
      <c r="F281" s="14"/>
    </row>
    <row r="282" spans="1:6" x14ac:dyDescent="0.25">
      <c r="A282" s="83"/>
      <c r="B282" s="94"/>
      <c r="C282" s="90"/>
      <c r="D282" s="90"/>
      <c r="E282" s="84"/>
      <c r="F282" s="14"/>
    </row>
    <row r="283" spans="1:6" x14ac:dyDescent="0.25">
      <c r="A283" s="27"/>
      <c r="B283" s="81"/>
      <c r="C283" s="82"/>
      <c r="D283" s="82"/>
      <c r="E283" s="28"/>
      <c r="F283" s="14"/>
    </row>
    <row r="284" spans="1:6" x14ac:dyDescent="0.25">
      <c r="A284" s="29"/>
      <c r="B284" s="39"/>
      <c r="C284" s="34"/>
      <c r="D284" s="35"/>
      <c r="E284" s="30"/>
      <c r="F284" s="14"/>
    </row>
    <row r="285" spans="1:6" x14ac:dyDescent="0.25">
      <c r="A285" s="29"/>
      <c r="B285" s="39"/>
      <c r="C285" s="34"/>
      <c r="D285" s="34"/>
      <c r="E285" s="30"/>
      <c r="F285" s="14"/>
    </row>
    <row r="286" spans="1:6" x14ac:dyDescent="0.25">
      <c r="A286" s="29"/>
      <c r="B286" s="39"/>
      <c r="C286" s="34"/>
      <c r="D286" s="34"/>
      <c r="E286" s="30"/>
      <c r="F286" s="14"/>
    </row>
    <row r="287" spans="1:6" x14ac:dyDescent="0.25">
      <c r="A287" s="29"/>
      <c r="B287" s="39"/>
      <c r="C287" s="34"/>
      <c r="D287" s="34"/>
      <c r="E287" s="30"/>
      <c r="F287" s="14"/>
    </row>
    <row r="288" spans="1:6" x14ac:dyDescent="0.25">
      <c r="A288" s="29"/>
      <c r="B288" s="39"/>
      <c r="C288" s="34"/>
      <c r="D288" s="34"/>
      <c r="E288" s="30"/>
      <c r="F288" s="14"/>
    </row>
    <row r="289" spans="1:6" x14ac:dyDescent="0.25">
      <c r="A289" s="29"/>
      <c r="B289" s="37"/>
      <c r="C289" s="34"/>
      <c r="D289" s="34"/>
      <c r="E289" s="30"/>
      <c r="F289" s="14"/>
    </row>
    <row r="290" spans="1:6" x14ac:dyDescent="0.25">
      <c r="A290" s="29"/>
      <c r="B290" s="39"/>
      <c r="C290" s="34"/>
      <c r="D290" s="34"/>
      <c r="E290" s="30"/>
      <c r="F290" s="14"/>
    </row>
    <row r="291" spans="1:6" x14ac:dyDescent="0.25">
      <c r="A291" s="29"/>
      <c r="B291" s="39"/>
      <c r="C291" s="34"/>
      <c r="D291" s="34"/>
      <c r="E291" s="40"/>
      <c r="F291" s="14"/>
    </row>
    <row r="292" spans="1:6" x14ac:dyDescent="0.25">
      <c r="A292" s="29"/>
      <c r="B292" s="39"/>
      <c r="C292" s="34"/>
      <c r="D292" s="34"/>
      <c r="E292" s="40"/>
      <c r="F292" s="14"/>
    </row>
    <row r="293" spans="1:6" x14ac:dyDescent="0.25">
      <c r="A293" s="29"/>
      <c r="B293" s="39"/>
      <c r="C293" s="34"/>
      <c r="D293" s="34"/>
      <c r="E293" s="40"/>
      <c r="F293" s="14"/>
    </row>
    <row r="294" spans="1:6" x14ac:dyDescent="0.25">
      <c r="A294" s="29"/>
      <c r="B294" s="39"/>
      <c r="C294" s="34"/>
      <c r="D294" s="34"/>
      <c r="E294" s="40"/>
      <c r="F294" s="14"/>
    </row>
    <row r="295" spans="1:6" x14ac:dyDescent="0.25">
      <c r="A295" s="29"/>
      <c r="B295" s="39"/>
      <c r="C295" s="34"/>
      <c r="D295" s="35"/>
      <c r="E295" s="30"/>
      <c r="F295" s="14"/>
    </row>
    <row r="296" spans="1:6" x14ac:dyDescent="0.25">
      <c r="A296" s="29"/>
      <c r="B296" s="39"/>
      <c r="C296" s="34"/>
      <c r="D296" s="34"/>
      <c r="E296" s="30"/>
      <c r="F296" s="14"/>
    </row>
    <row r="297" spans="1:6" x14ac:dyDescent="0.25">
      <c r="A297" s="29"/>
      <c r="B297" s="37"/>
      <c r="C297" s="34"/>
      <c r="D297" s="34"/>
      <c r="E297" s="30"/>
      <c r="F297" s="14"/>
    </row>
    <row r="298" spans="1:6" x14ac:dyDescent="0.25">
      <c r="A298" s="29"/>
      <c r="B298" s="39"/>
      <c r="C298" s="34"/>
      <c r="D298" s="34"/>
      <c r="E298" s="30"/>
      <c r="F298" s="14"/>
    </row>
    <row r="299" spans="1:6" x14ac:dyDescent="0.25">
      <c r="A299" s="29"/>
      <c r="B299" s="37"/>
      <c r="C299" s="34"/>
      <c r="D299" s="34"/>
      <c r="E299" s="30"/>
      <c r="F299" s="14"/>
    </row>
    <row r="300" spans="1:6" x14ac:dyDescent="0.25">
      <c r="A300" s="29"/>
      <c r="B300" s="39"/>
      <c r="C300" s="34"/>
      <c r="D300" s="34"/>
      <c r="E300" s="30"/>
      <c r="F300" s="14"/>
    </row>
    <row r="301" spans="1:6" x14ac:dyDescent="0.25">
      <c r="A301" s="29"/>
      <c r="B301" s="39"/>
      <c r="C301" s="34"/>
      <c r="D301" s="34"/>
      <c r="E301" s="30"/>
      <c r="F301" s="14"/>
    </row>
    <row r="302" spans="1:6" x14ac:dyDescent="0.25">
      <c r="A302" s="41"/>
      <c r="B302" s="42"/>
      <c r="C302" s="43"/>
      <c r="D302" s="34"/>
      <c r="E302" s="40"/>
      <c r="F302" s="14"/>
    </row>
    <row r="303" spans="1:6" x14ac:dyDescent="0.25">
      <c r="A303" s="29"/>
      <c r="B303" s="39"/>
      <c r="C303" s="34"/>
      <c r="D303" s="35"/>
      <c r="E303" s="40"/>
      <c r="F303" s="14"/>
    </row>
    <row r="304" spans="1:6" x14ac:dyDescent="0.25">
      <c r="A304" s="29"/>
      <c r="B304" s="39"/>
      <c r="C304" s="34"/>
      <c r="D304" s="34"/>
      <c r="E304" s="40"/>
      <c r="F304" s="14"/>
    </row>
    <row r="305" spans="1:6" x14ac:dyDescent="0.25">
      <c r="A305" s="29"/>
      <c r="B305" s="44"/>
      <c r="C305" s="34"/>
      <c r="D305" s="34"/>
      <c r="E305" s="30"/>
      <c r="F305" s="14"/>
    </row>
    <row r="306" spans="1:6" x14ac:dyDescent="0.25">
      <c r="A306" s="29"/>
      <c r="B306" s="39"/>
      <c r="C306" s="34"/>
      <c r="D306" s="34"/>
      <c r="E306" s="30"/>
      <c r="F306" s="14"/>
    </row>
    <row r="307" spans="1:6" x14ac:dyDescent="0.25">
      <c r="A307" s="29"/>
      <c r="B307" s="39"/>
      <c r="C307" s="34"/>
      <c r="D307" s="34"/>
      <c r="E307" s="30"/>
      <c r="F307" s="14"/>
    </row>
    <row r="308" spans="1:6" x14ac:dyDescent="0.25">
      <c r="A308" s="29"/>
      <c r="B308" s="39"/>
      <c r="C308" s="34"/>
      <c r="D308" s="43"/>
      <c r="E308" s="30"/>
      <c r="F308" s="14"/>
    </row>
    <row r="309" spans="1:6" x14ac:dyDescent="0.25">
      <c r="A309" s="29"/>
      <c r="B309" s="39"/>
      <c r="C309" s="34"/>
      <c r="D309" s="34"/>
      <c r="E309" s="30"/>
      <c r="F309" s="14"/>
    </row>
    <row r="310" spans="1:6" x14ac:dyDescent="0.25">
      <c r="A310" s="41"/>
      <c r="B310" s="37"/>
      <c r="C310" s="34"/>
      <c r="D310" s="34"/>
      <c r="E310" s="45"/>
      <c r="F310" s="14"/>
    </row>
    <row r="311" spans="1:6" x14ac:dyDescent="0.25">
      <c r="A311" s="29"/>
      <c r="B311" s="37"/>
      <c r="C311" s="34"/>
      <c r="D311" s="34"/>
      <c r="E311" s="30"/>
      <c r="F311" s="14"/>
    </row>
    <row r="312" spans="1:6" x14ac:dyDescent="0.25">
      <c r="A312" s="29"/>
      <c r="B312" s="39"/>
      <c r="C312" s="34"/>
      <c r="D312" s="34"/>
      <c r="E312" s="40"/>
      <c r="F312" s="14"/>
    </row>
    <row r="313" spans="1:6" x14ac:dyDescent="0.25">
      <c r="A313" s="29"/>
      <c r="B313" s="39"/>
      <c r="C313" s="34"/>
      <c r="D313" s="34"/>
      <c r="E313" s="40"/>
      <c r="F313" s="14"/>
    </row>
    <row r="314" spans="1:6" x14ac:dyDescent="0.25">
      <c r="A314" s="29"/>
      <c r="B314" s="39"/>
      <c r="C314" s="34"/>
      <c r="D314" s="34"/>
      <c r="E314" s="40"/>
      <c r="F314" s="14"/>
    </row>
    <row r="315" spans="1:6" x14ac:dyDescent="0.25">
      <c r="A315" s="29"/>
      <c r="B315" s="39"/>
      <c r="C315" s="34"/>
      <c r="D315" s="34"/>
      <c r="E315" s="40"/>
      <c r="F315" s="14"/>
    </row>
    <row r="316" spans="1:6" x14ac:dyDescent="0.25">
      <c r="A316" s="29"/>
      <c r="B316" s="39"/>
      <c r="C316" s="34"/>
      <c r="D316" s="35"/>
      <c r="E316" s="40"/>
      <c r="F316" s="14"/>
    </row>
    <row r="317" spans="1:6" x14ac:dyDescent="0.25">
      <c r="A317" s="29"/>
      <c r="B317" s="39"/>
      <c r="C317" s="34"/>
      <c r="D317" s="34"/>
      <c r="E317" s="30"/>
      <c r="F317" s="14"/>
    </row>
    <row r="318" spans="1:6" x14ac:dyDescent="0.25">
      <c r="A318" s="29"/>
      <c r="B318" s="39"/>
      <c r="C318" s="34"/>
      <c r="D318" s="34"/>
      <c r="E318" s="30"/>
      <c r="F318" s="14"/>
    </row>
    <row r="319" spans="1:6" x14ac:dyDescent="0.25">
      <c r="A319" s="29"/>
      <c r="B319" s="39"/>
      <c r="C319" s="34"/>
      <c r="D319" s="34"/>
      <c r="E319" s="30"/>
      <c r="F319" s="14"/>
    </row>
    <row r="320" spans="1:6" x14ac:dyDescent="0.25">
      <c r="A320" s="29"/>
      <c r="B320" s="39"/>
      <c r="C320" s="34"/>
      <c r="D320" s="34"/>
      <c r="E320" s="30"/>
      <c r="F320" s="14"/>
    </row>
    <row r="321" spans="1:6" x14ac:dyDescent="0.25">
      <c r="A321" s="29"/>
      <c r="B321" s="39"/>
      <c r="C321" s="34"/>
      <c r="D321" s="34"/>
      <c r="E321" s="30"/>
      <c r="F321" s="14"/>
    </row>
    <row r="322" spans="1:6" x14ac:dyDescent="0.25">
      <c r="A322" s="29"/>
      <c r="B322" s="37"/>
      <c r="C322" s="34"/>
      <c r="D322" s="34"/>
      <c r="E322" s="30"/>
      <c r="F322" s="14"/>
    </row>
    <row r="323" spans="1:6" x14ac:dyDescent="0.25">
      <c r="A323" s="29"/>
      <c r="B323" s="39"/>
      <c r="C323" s="34"/>
      <c r="D323" s="34"/>
      <c r="E323" s="30"/>
      <c r="F323" s="14"/>
    </row>
    <row r="324" spans="1:6" x14ac:dyDescent="0.25">
      <c r="A324" s="29"/>
      <c r="B324" s="39"/>
      <c r="C324" s="34"/>
      <c r="D324" s="34"/>
      <c r="E324" s="30"/>
      <c r="F324" s="14"/>
    </row>
    <row r="325" spans="1:6" x14ac:dyDescent="0.25">
      <c r="A325" s="29"/>
      <c r="B325" s="39"/>
      <c r="C325" s="34"/>
      <c r="D325" s="34"/>
      <c r="E325" s="30"/>
      <c r="F325" s="14"/>
    </row>
    <row r="326" spans="1:6" x14ac:dyDescent="0.25">
      <c r="A326" s="29"/>
      <c r="B326" s="39"/>
      <c r="C326" s="34"/>
      <c r="D326" s="34"/>
      <c r="E326" s="30"/>
      <c r="F326" s="14"/>
    </row>
    <row r="327" spans="1:6" x14ac:dyDescent="0.25">
      <c r="A327" s="29"/>
      <c r="B327" s="39"/>
      <c r="C327" s="34"/>
      <c r="D327" s="34"/>
      <c r="E327" s="40"/>
      <c r="F327" s="14"/>
    </row>
    <row r="328" spans="1:6" x14ac:dyDescent="0.25">
      <c r="A328" s="29"/>
      <c r="B328" s="39"/>
      <c r="C328" s="34"/>
      <c r="D328" s="35"/>
      <c r="E328" s="40"/>
      <c r="F328" s="14"/>
    </row>
    <row r="329" spans="1:6" x14ac:dyDescent="0.25">
      <c r="A329" s="29"/>
      <c r="B329" s="37"/>
      <c r="C329" s="34"/>
      <c r="D329" s="34"/>
      <c r="E329" s="40"/>
      <c r="F329" s="14"/>
    </row>
    <row r="330" spans="1:6" x14ac:dyDescent="0.25">
      <c r="A330" s="29"/>
      <c r="B330" s="39"/>
      <c r="C330" s="34"/>
      <c r="D330" s="34"/>
      <c r="E330" s="30"/>
      <c r="F330" s="14"/>
    </row>
    <row r="331" spans="1:6" x14ac:dyDescent="0.25">
      <c r="A331" s="29"/>
      <c r="B331" s="39"/>
      <c r="C331" s="34"/>
      <c r="D331" s="34"/>
      <c r="E331" s="30"/>
      <c r="F331" s="14"/>
    </row>
    <row r="332" spans="1:6" x14ac:dyDescent="0.25">
      <c r="A332" s="29"/>
      <c r="B332" s="39"/>
      <c r="C332" s="34"/>
      <c r="D332" s="34"/>
      <c r="E332" s="30"/>
      <c r="F332" s="14"/>
    </row>
    <row r="333" spans="1:6" x14ac:dyDescent="0.25">
      <c r="A333" s="29"/>
      <c r="B333" s="39"/>
      <c r="C333" s="34"/>
      <c r="D333" s="34"/>
      <c r="E333" s="30"/>
      <c r="F333" s="14"/>
    </row>
    <row r="334" spans="1:6" x14ac:dyDescent="0.25">
      <c r="A334" s="29"/>
      <c r="B334" s="39"/>
      <c r="C334" s="34"/>
      <c r="D334" s="34"/>
      <c r="E334" s="30"/>
      <c r="F334" s="14"/>
    </row>
    <row r="335" spans="1:6" x14ac:dyDescent="0.25">
      <c r="A335" s="29"/>
      <c r="B335" s="39"/>
      <c r="C335" s="34"/>
      <c r="D335" s="35"/>
      <c r="E335" s="30"/>
      <c r="F335" s="14"/>
    </row>
    <row r="336" spans="1:6" x14ac:dyDescent="0.25">
      <c r="A336" s="29"/>
      <c r="B336" s="39"/>
      <c r="C336" s="34"/>
      <c r="D336" s="34"/>
      <c r="E336" s="30"/>
      <c r="F336" s="14"/>
    </row>
    <row r="337" spans="1:6" x14ac:dyDescent="0.25">
      <c r="A337" s="29"/>
      <c r="B337" s="39"/>
      <c r="C337" s="34"/>
      <c r="D337" s="34"/>
      <c r="E337" s="30"/>
      <c r="F337" s="14"/>
    </row>
    <row r="338" spans="1:6" x14ac:dyDescent="0.25">
      <c r="A338" s="29"/>
      <c r="B338" s="39"/>
      <c r="C338" s="34"/>
      <c r="D338" s="34"/>
      <c r="E338" s="30"/>
      <c r="F338" s="14"/>
    </row>
    <row r="339" spans="1:6" x14ac:dyDescent="0.25">
      <c r="A339" s="29"/>
      <c r="B339" s="39"/>
      <c r="C339" s="34"/>
      <c r="D339" s="34"/>
      <c r="E339" s="40"/>
      <c r="F339" s="14"/>
    </row>
    <row r="340" spans="1:6" x14ac:dyDescent="0.25">
      <c r="A340" s="29"/>
      <c r="B340" s="39"/>
      <c r="C340" s="34"/>
      <c r="D340" s="34"/>
      <c r="E340" s="40"/>
      <c r="F340" s="14"/>
    </row>
    <row r="341" spans="1:6" x14ac:dyDescent="0.25">
      <c r="A341" s="29"/>
      <c r="B341" s="39"/>
      <c r="C341" s="34"/>
      <c r="D341" s="34"/>
      <c r="E341" s="40"/>
      <c r="F341" s="14"/>
    </row>
    <row r="342" spans="1:6" x14ac:dyDescent="0.25">
      <c r="A342" s="29"/>
      <c r="B342" s="39"/>
      <c r="C342" s="34"/>
      <c r="D342" s="34"/>
      <c r="E342" s="40"/>
      <c r="F342" s="14"/>
    </row>
    <row r="343" spans="1:6" x14ac:dyDescent="0.25">
      <c r="A343" s="29"/>
      <c r="B343" s="37"/>
      <c r="C343" s="34"/>
      <c r="D343" s="34"/>
      <c r="E343" s="40"/>
      <c r="F343" s="14"/>
    </row>
    <row r="344" spans="1:6" x14ac:dyDescent="0.25">
      <c r="A344" s="29"/>
      <c r="B344" s="39"/>
      <c r="C344" s="34"/>
      <c r="D344" s="34"/>
      <c r="E344" s="30"/>
      <c r="F344" s="14"/>
    </row>
    <row r="345" spans="1:6" x14ac:dyDescent="0.25">
      <c r="A345" s="29"/>
      <c r="B345" s="39"/>
      <c r="C345" s="34"/>
      <c r="D345" s="34"/>
      <c r="E345" s="30"/>
      <c r="F345" s="14"/>
    </row>
    <row r="346" spans="1:6" x14ac:dyDescent="0.25">
      <c r="A346" s="29"/>
      <c r="B346" s="39"/>
      <c r="C346" s="34"/>
      <c r="D346" s="34"/>
      <c r="E346" s="40"/>
      <c r="F346" s="14"/>
    </row>
    <row r="347" spans="1:6" x14ac:dyDescent="0.25">
      <c r="A347" s="29"/>
      <c r="B347" s="39"/>
      <c r="C347" s="34"/>
      <c r="D347" s="34"/>
      <c r="E347" s="40"/>
      <c r="F347" s="14"/>
    </row>
    <row r="348" spans="1:6" x14ac:dyDescent="0.25">
      <c r="A348" s="29"/>
      <c r="B348" s="39"/>
      <c r="C348" s="34"/>
      <c r="D348" s="34"/>
      <c r="E348" s="40"/>
      <c r="F348" s="14"/>
    </row>
    <row r="349" spans="1:6" x14ac:dyDescent="0.25">
      <c r="A349" s="29"/>
      <c r="B349" s="39"/>
      <c r="C349" s="34"/>
      <c r="D349" s="35"/>
      <c r="E349" s="40"/>
      <c r="F349" s="14"/>
    </row>
    <row r="350" spans="1:6" x14ac:dyDescent="0.25">
      <c r="A350" s="29"/>
      <c r="B350" s="39"/>
      <c r="C350" s="34"/>
      <c r="D350" s="34"/>
      <c r="E350" s="40"/>
      <c r="F350" s="14"/>
    </row>
    <row r="351" spans="1:6" x14ac:dyDescent="0.25">
      <c r="A351" s="29"/>
      <c r="B351" s="39"/>
      <c r="C351" s="34"/>
      <c r="D351" s="34"/>
      <c r="E351" s="30"/>
      <c r="F351" s="14"/>
    </row>
    <row r="352" spans="1:6" x14ac:dyDescent="0.25">
      <c r="A352" s="29"/>
      <c r="B352" s="39"/>
      <c r="C352" s="34"/>
      <c r="D352" s="34"/>
      <c r="E352" s="30"/>
      <c r="F352" s="14"/>
    </row>
    <row r="353" spans="1:6" x14ac:dyDescent="0.25">
      <c r="A353" s="29"/>
      <c r="B353" s="37"/>
      <c r="C353" s="34"/>
      <c r="D353" s="34"/>
      <c r="E353" s="40"/>
      <c r="F353" s="14"/>
    </row>
    <row r="354" spans="1:6" x14ac:dyDescent="0.25">
      <c r="A354" s="29"/>
      <c r="B354" s="39"/>
      <c r="C354" s="34"/>
      <c r="D354" s="34"/>
      <c r="E354" s="40"/>
      <c r="F354" s="14"/>
    </row>
    <row r="355" spans="1:6" x14ac:dyDescent="0.25">
      <c r="A355" s="29"/>
      <c r="B355" s="39"/>
      <c r="C355" s="34"/>
      <c r="D355" s="34"/>
      <c r="E355" s="40"/>
      <c r="F355" s="14"/>
    </row>
    <row r="356" spans="1:6" x14ac:dyDescent="0.25">
      <c r="A356" s="29"/>
      <c r="B356" s="39"/>
      <c r="C356" s="34"/>
      <c r="D356" s="34"/>
      <c r="E356" s="40"/>
      <c r="F356" s="14"/>
    </row>
    <row r="357" spans="1:6" x14ac:dyDescent="0.25">
      <c r="A357" s="29"/>
      <c r="B357" s="39"/>
      <c r="C357" s="34"/>
      <c r="D357" s="34"/>
      <c r="E357" s="40"/>
      <c r="F357" s="14"/>
    </row>
    <row r="358" spans="1:6" x14ac:dyDescent="0.25">
      <c r="A358" s="29"/>
      <c r="B358" s="39"/>
      <c r="C358" s="34"/>
      <c r="D358" s="34"/>
      <c r="E358" s="40"/>
      <c r="F358" s="14"/>
    </row>
    <row r="359" spans="1:6" x14ac:dyDescent="0.25">
      <c r="A359" s="29"/>
      <c r="B359" s="46"/>
      <c r="C359" s="34"/>
      <c r="D359" s="35"/>
      <c r="E359" s="40"/>
      <c r="F359" s="14"/>
    </row>
    <row r="360" spans="1:6" x14ac:dyDescent="0.25">
      <c r="A360" s="29"/>
      <c r="B360" s="46"/>
      <c r="C360" s="34"/>
      <c r="D360" s="34"/>
      <c r="E360" s="40"/>
      <c r="F360" s="14"/>
    </row>
    <row r="361" spans="1:6" x14ac:dyDescent="0.25">
      <c r="A361" s="29"/>
      <c r="B361" s="46"/>
      <c r="C361" s="34"/>
      <c r="D361" s="34"/>
      <c r="E361" s="30"/>
      <c r="F361" s="14"/>
    </row>
    <row r="362" spans="1:6" x14ac:dyDescent="0.25">
      <c r="A362" s="29"/>
      <c r="B362" s="46"/>
      <c r="C362" s="34"/>
      <c r="D362" s="34"/>
      <c r="E362" s="30"/>
      <c r="F362" s="14"/>
    </row>
    <row r="363" spans="1:6" x14ac:dyDescent="0.25">
      <c r="A363" s="29"/>
      <c r="B363" s="46"/>
      <c r="C363" s="34"/>
      <c r="D363" s="34"/>
      <c r="E363" s="40"/>
    </row>
    <row r="364" spans="1:6" x14ac:dyDescent="0.25">
      <c r="A364" s="29"/>
      <c r="B364" s="47"/>
      <c r="C364" s="34"/>
      <c r="D364" s="34"/>
      <c r="E364" s="30"/>
    </row>
    <row r="365" spans="1:6" x14ac:dyDescent="0.25">
      <c r="A365" s="29"/>
      <c r="B365" s="47"/>
      <c r="C365" s="34"/>
      <c r="D365" s="34"/>
      <c r="E365" s="30"/>
    </row>
    <row r="366" spans="1:6" x14ac:dyDescent="0.25">
      <c r="A366" s="29"/>
      <c r="B366" s="47"/>
      <c r="C366" s="34"/>
      <c r="D366" s="34"/>
      <c r="E366" s="30"/>
    </row>
    <row r="367" spans="1:6" x14ac:dyDescent="0.25">
      <c r="A367" s="29"/>
      <c r="B367" s="46"/>
      <c r="C367" s="34"/>
      <c r="D367" s="34"/>
      <c r="E367" s="30"/>
    </row>
    <row r="368" spans="1:6" x14ac:dyDescent="0.25">
      <c r="A368" s="29"/>
      <c r="B368" s="46"/>
      <c r="C368" s="34"/>
      <c r="D368" s="34"/>
      <c r="E368" s="30"/>
    </row>
    <row r="369" spans="1:5" x14ac:dyDescent="0.25">
      <c r="A369" s="29"/>
      <c r="B369" s="46"/>
      <c r="C369" s="34"/>
      <c r="D369" s="34"/>
      <c r="E369" s="30"/>
    </row>
    <row r="370" spans="1:5" x14ac:dyDescent="0.25">
      <c r="A370" s="29"/>
      <c r="B370" s="46"/>
      <c r="C370" s="34"/>
      <c r="D370" s="35"/>
      <c r="E370" s="30"/>
    </row>
    <row r="371" spans="1:5" x14ac:dyDescent="0.25">
      <c r="A371" s="29"/>
      <c r="B371" s="46"/>
      <c r="C371" s="34"/>
      <c r="D371" s="34"/>
      <c r="E371" s="30"/>
    </row>
    <row r="372" spans="1:5" x14ac:dyDescent="0.25">
      <c r="A372" s="29"/>
      <c r="B372" s="46"/>
      <c r="C372" s="34"/>
      <c r="D372" s="34"/>
      <c r="E372" s="30"/>
    </row>
    <row r="373" spans="1:5" x14ac:dyDescent="0.25">
      <c r="A373" s="29"/>
      <c r="B373" s="46"/>
      <c r="C373" s="34"/>
      <c r="D373" s="34"/>
      <c r="E373" s="30"/>
    </row>
    <row r="374" spans="1:5" x14ac:dyDescent="0.25">
      <c r="A374" s="29"/>
      <c r="B374" s="46"/>
      <c r="C374" s="34"/>
      <c r="D374" s="34"/>
      <c r="E374" s="30"/>
    </row>
    <row r="375" spans="1:5" x14ac:dyDescent="0.25">
      <c r="A375" s="29"/>
      <c r="B375" s="47"/>
      <c r="C375" s="34"/>
      <c r="D375" s="34"/>
      <c r="E375" s="30"/>
    </row>
    <row r="376" spans="1:5" x14ac:dyDescent="0.25">
      <c r="A376" s="29"/>
      <c r="B376" s="47"/>
      <c r="C376" s="34"/>
      <c r="D376" s="34"/>
      <c r="E376" s="30"/>
    </row>
    <row r="377" spans="1:5" x14ac:dyDescent="0.25">
      <c r="A377" s="29"/>
      <c r="B377" s="47"/>
      <c r="C377" s="34"/>
      <c r="D377" s="34"/>
      <c r="E377" s="30"/>
    </row>
    <row r="378" spans="1:5" x14ac:dyDescent="0.25">
      <c r="A378" s="29"/>
      <c r="B378" s="47"/>
      <c r="C378" s="34"/>
      <c r="D378" s="34"/>
      <c r="E378" s="30"/>
    </row>
    <row r="379" spans="1:5" x14ac:dyDescent="0.25">
      <c r="A379" s="29"/>
      <c r="B379" s="47"/>
      <c r="C379" s="34"/>
      <c r="D379" s="34"/>
      <c r="E379" s="30"/>
    </row>
    <row r="380" spans="1:5" x14ac:dyDescent="0.25">
      <c r="A380" s="29"/>
      <c r="B380" s="47"/>
      <c r="C380" s="34"/>
      <c r="D380" s="34"/>
      <c r="E380" s="30"/>
    </row>
    <row r="381" spans="1:5" x14ac:dyDescent="0.25">
      <c r="A381" s="29"/>
      <c r="B381" s="46"/>
      <c r="C381" s="34"/>
      <c r="D381" s="35"/>
      <c r="E381" s="30"/>
    </row>
    <row r="382" spans="1:5" x14ac:dyDescent="0.25">
      <c r="A382" s="29"/>
      <c r="B382" s="46"/>
      <c r="C382" s="34"/>
      <c r="D382" s="34"/>
      <c r="E382" s="30"/>
    </row>
    <row r="383" spans="1:5" x14ac:dyDescent="0.25">
      <c r="A383" s="29"/>
      <c r="B383" s="46"/>
      <c r="C383" s="34"/>
      <c r="D383" s="34"/>
      <c r="E383" s="30"/>
    </row>
    <row r="384" spans="1:5" x14ac:dyDescent="0.25">
      <c r="A384" s="29"/>
      <c r="B384" s="46"/>
      <c r="C384" s="34"/>
      <c r="D384" s="34"/>
      <c r="E384" s="30"/>
    </row>
    <row r="385" spans="1:5" x14ac:dyDescent="0.25">
      <c r="A385" s="29"/>
      <c r="B385" s="46"/>
      <c r="C385" s="34"/>
      <c r="D385" s="34"/>
      <c r="E385" s="30"/>
    </row>
    <row r="386" spans="1:5" x14ac:dyDescent="0.25">
      <c r="A386" s="29"/>
      <c r="B386" s="46"/>
      <c r="C386" s="34"/>
      <c r="D386" s="34"/>
      <c r="E386" s="30"/>
    </row>
    <row r="387" spans="1:5" x14ac:dyDescent="0.25">
      <c r="A387" s="29"/>
      <c r="B387" s="47"/>
      <c r="C387" s="34"/>
      <c r="D387" s="34"/>
      <c r="E387" s="30"/>
    </row>
    <row r="388" spans="1:5" x14ac:dyDescent="0.25">
      <c r="A388" s="29"/>
      <c r="B388" s="46"/>
      <c r="C388" s="34"/>
      <c r="D388" s="34"/>
      <c r="E388" s="30"/>
    </row>
    <row r="389" spans="1:5" x14ac:dyDescent="0.25">
      <c r="A389" s="29"/>
      <c r="B389" s="47"/>
      <c r="C389" s="34"/>
      <c r="D389" s="34"/>
      <c r="E389" s="30"/>
    </row>
    <row r="390" spans="1:5" x14ac:dyDescent="0.25">
      <c r="A390" s="29"/>
      <c r="B390" s="47"/>
      <c r="C390" s="34"/>
      <c r="D390" s="34"/>
      <c r="E390" s="30"/>
    </row>
    <row r="391" spans="1:5" x14ac:dyDescent="0.25">
      <c r="A391" s="29"/>
      <c r="B391" s="47"/>
      <c r="C391" s="34"/>
      <c r="D391" s="34"/>
      <c r="E391" s="30"/>
    </row>
    <row r="392" spans="1:5" x14ac:dyDescent="0.25">
      <c r="A392" s="29"/>
      <c r="B392" s="47"/>
      <c r="C392" s="34"/>
      <c r="D392" s="34"/>
      <c r="E392" s="30"/>
    </row>
    <row r="393" spans="1:5" x14ac:dyDescent="0.25">
      <c r="A393" s="29"/>
      <c r="B393" s="47"/>
      <c r="C393" s="34"/>
      <c r="D393" s="34"/>
      <c r="E393" s="30"/>
    </row>
    <row r="394" spans="1:5" x14ac:dyDescent="0.25">
      <c r="A394" s="29"/>
      <c r="B394" s="47"/>
      <c r="C394" s="34"/>
      <c r="D394" s="34"/>
      <c r="E394" s="30"/>
    </row>
    <row r="395" spans="1:5" x14ac:dyDescent="0.25">
      <c r="A395" s="29"/>
      <c r="B395" s="47"/>
      <c r="C395" s="34"/>
      <c r="D395" s="34"/>
      <c r="E395" s="30"/>
    </row>
    <row r="396" spans="1:5" x14ac:dyDescent="0.25">
      <c r="A396" s="29"/>
      <c r="B396" s="47"/>
      <c r="C396" s="34"/>
      <c r="D396" s="34"/>
      <c r="E396" s="30"/>
    </row>
    <row r="397" spans="1:5" x14ac:dyDescent="0.25">
      <c r="A397" s="29"/>
      <c r="B397" s="47"/>
      <c r="C397" s="34"/>
      <c r="D397" s="34"/>
      <c r="E397" s="30"/>
    </row>
    <row r="398" spans="1:5" x14ac:dyDescent="0.25">
      <c r="A398" s="29"/>
      <c r="B398" s="47"/>
      <c r="C398" s="34"/>
      <c r="D398" s="34"/>
      <c r="E398" s="30"/>
    </row>
    <row r="399" spans="1:5" x14ac:dyDescent="0.25">
      <c r="A399" s="29"/>
      <c r="B399" s="47"/>
      <c r="C399" s="34"/>
      <c r="D399" s="34"/>
      <c r="E399" s="30"/>
    </row>
    <row r="400" spans="1:5" x14ac:dyDescent="0.25">
      <c r="A400" s="29"/>
      <c r="B400" s="47"/>
      <c r="C400" s="34"/>
      <c r="D400" s="34"/>
      <c r="E400" s="30"/>
    </row>
    <row r="401" spans="1:5" x14ac:dyDescent="0.25">
      <c r="A401" s="29"/>
      <c r="B401" s="47"/>
      <c r="C401" s="34"/>
      <c r="D401" s="34"/>
      <c r="E401" s="30"/>
    </row>
    <row r="402" spans="1:5" x14ac:dyDescent="0.25">
      <c r="A402" s="29"/>
      <c r="B402" s="47"/>
      <c r="C402" s="34"/>
      <c r="D402" s="34"/>
      <c r="E402" s="30"/>
    </row>
    <row r="403" spans="1:5" x14ac:dyDescent="0.25">
      <c r="A403" s="29"/>
      <c r="B403" s="47"/>
      <c r="C403" s="34"/>
      <c r="D403" s="35"/>
      <c r="E403" s="30"/>
    </row>
    <row r="404" spans="1:5" x14ac:dyDescent="0.25">
      <c r="A404" s="29"/>
      <c r="B404" s="47"/>
      <c r="C404" s="34"/>
      <c r="D404" s="34"/>
      <c r="E404" s="30"/>
    </row>
    <row r="405" spans="1:5" x14ac:dyDescent="0.25">
      <c r="A405" s="29"/>
      <c r="B405" s="47"/>
      <c r="C405" s="34"/>
      <c r="D405" s="34"/>
      <c r="E405" s="30"/>
    </row>
    <row r="406" spans="1:5" x14ac:dyDescent="0.25">
      <c r="A406" s="29"/>
      <c r="B406" s="47"/>
      <c r="C406" s="34"/>
      <c r="D406" s="34"/>
      <c r="E406" s="30"/>
    </row>
    <row r="407" spans="1:5" x14ac:dyDescent="0.25">
      <c r="A407" s="29"/>
      <c r="B407" s="47"/>
      <c r="C407" s="34"/>
      <c r="D407" s="34"/>
      <c r="E407" s="30"/>
    </row>
    <row r="408" spans="1:5" x14ac:dyDescent="0.25">
      <c r="A408" s="29"/>
      <c r="B408" s="47"/>
      <c r="C408" s="34"/>
      <c r="D408" s="34"/>
      <c r="E408" s="30"/>
    </row>
    <row r="409" spans="1:5" x14ac:dyDescent="0.25">
      <c r="A409" s="29"/>
      <c r="B409" s="47"/>
      <c r="C409" s="34"/>
      <c r="D409" s="34"/>
      <c r="E409" s="30"/>
    </row>
    <row r="410" spans="1:5" x14ac:dyDescent="0.25">
      <c r="A410" s="29"/>
      <c r="B410" s="47"/>
      <c r="C410" s="34"/>
      <c r="D410" s="34"/>
      <c r="E410" s="30"/>
    </row>
    <row r="411" spans="1:5" x14ac:dyDescent="0.25">
      <c r="A411" s="29"/>
      <c r="B411" s="47"/>
      <c r="C411" s="34"/>
      <c r="D411" s="34"/>
      <c r="E411" s="30"/>
    </row>
    <row r="412" spans="1:5" x14ac:dyDescent="0.25">
      <c r="A412" s="29"/>
      <c r="B412" s="47"/>
      <c r="C412" s="34"/>
      <c r="D412" s="34"/>
      <c r="E412" s="30"/>
    </row>
    <row r="413" spans="1:5" x14ac:dyDescent="0.25">
      <c r="A413" s="29"/>
      <c r="B413" s="47"/>
      <c r="C413" s="34"/>
      <c r="D413" s="35"/>
      <c r="E413" s="30"/>
    </row>
    <row r="414" spans="1:5" x14ac:dyDescent="0.25">
      <c r="A414" s="29"/>
      <c r="B414" s="47"/>
      <c r="C414" s="34"/>
      <c r="D414" s="34"/>
      <c r="E414" s="30"/>
    </row>
    <row r="415" spans="1:5" x14ac:dyDescent="0.25">
      <c r="A415" s="29"/>
      <c r="B415" s="47"/>
      <c r="C415" s="34"/>
      <c r="D415" s="34"/>
      <c r="E415" s="30"/>
    </row>
    <row r="416" spans="1:5" x14ac:dyDescent="0.25">
      <c r="A416" s="29"/>
      <c r="B416" s="47"/>
      <c r="C416" s="34"/>
      <c r="D416" s="34"/>
      <c r="E416" s="30"/>
    </row>
    <row r="417" spans="1:5" x14ac:dyDescent="0.25">
      <c r="A417" s="29"/>
      <c r="B417" s="47"/>
      <c r="C417" s="34"/>
      <c r="D417" s="34"/>
      <c r="E417" s="30"/>
    </row>
    <row r="418" spans="1:5" x14ac:dyDescent="0.25">
      <c r="A418" s="29"/>
      <c r="B418" s="47"/>
      <c r="C418" s="34"/>
      <c r="D418" s="34"/>
      <c r="E418" s="30"/>
    </row>
    <row r="419" spans="1:5" x14ac:dyDescent="0.25">
      <c r="A419" s="29"/>
      <c r="B419" s="47"/>
      <c r="C419" s="34"/>
      <c r="D419" s="34"/>
      <c r="E419" s="30"/>
    </row>
    <row r="420" spans="1:5" x14ac:dyDescent="0.25">
      <c r="A420" s="29"/>
      <c r="B420" s="47"/>
      <c r="C420" s="34"/>
      <c r="D420" s="34"/>
      <c r="E420" s="30"/>
    </row>
    <row r="421" spans="1:5" x14ac:dyDescent="0.25">
      <c r="A421" s="29"/>
      <c r="B421" s="47"/>
      <c r="C421" s="34"/>
      <c r="D421" s="34"/>
      <c r="E421" s="30"/>
    </row>
    <row r="422" spans="1:5" x14ac:dyDescent="0.25">
      <c r="A422" s="29"/>
      <c r="B422" s="47"/>
      <c r="C422" s="34"/>
      <c r="D422" s="34"/>
      <c r="E422" s="30"/>
    </row>
    <row r="423" spans="1:5" x14ac:dyDescent="0.25">
      <c r="A423" s="29"/>
      <c r="B423" s="47"/>
      <c r="C423" s="34"/>
      <c r="D423" s="34"/>
      <c r="E423" s="30"/>
    </row>
    <row r="424" spans="1:5" x14ac:dyDescent="0.25">
      <c r="A424" s="29"/>
      <c r="B424" s="47"/>
      <c r="C424" s="34"/>
      <c r="D424" s="34"/>
      <c r="E424" s="30"/>
    </row>
    <row r="425" spans="1:5" x14ac:dyDescent="0.25">
      <c r="A425" s="29"/>
      <c r="B425" s="47"/>
      <c r="C425" s="34"/>
      <c r="D425" s="34"/>
      <c r="E425" s="30"/>
    </row>
    <row r="426" spans="1:5" x14ac:dyDescent="0.25">
      <c r="A426" s="29"/>
      <c r="B426" s="47"/>
      <c r="C426" s="34"/>
      <c r="D426" s="34"/>
      <c r="E426" s="30"/>
    </row>
    <row r="427" spans="1:5" x14ac:dyDescent="0.25">
      <c r="A427" s="29"/>
      <c r="B427" s="47"/>
      <c r="C427" s="34"/>
      <c r="D427" s="34"/>
      <c r="E427" s="30"/>
    </row>
    <row r="428" spans="1:5" x14ac:dyDescent="0.25">
      <c r="A428" s="29"/>
      <c r="B428" s="47"/>
      <c r="C428" s="34"/>
      <c r="D428" s="34"/>
      <c r="E428" s="30"/>
    </row>
    <row r="429" spans="1:5" x14ac:dyDescent="0.25">
      <c r="A429" s="29"/>
      <c r="B429" s="47"/>
      <c r="C429" s="34"/>
      <c r="D429" s="34"/>
      <c r="E429" s="30"/>
    </row>
    <row r="430" spans="1:5" x14ac:dyDescent="0.25">
      <c r="A430" s="29"/>
      <c r="B430" s="47"/>
      <c r="C430" s="34"/>
      <c r="D430" s="34"/>
      <c r="E430" s="30"/>
    </row>
    <row r="431" spans="1:5" x14ac:dyDescent="0.25">
      <c r="A431" s="29"/>
      <c r="B431" s="47"/>
      <c r="C431" s="34"/>
      <c r="D431" s="34"/>
      <c r="E431" s="30"/>
    </row>
    <row r="432" spans="1:5" x14ac:dyDescent="0.25">
      <c r="A432" s="29"/>
      <c r="B432" s="47"/>
      <c r="C432" s="34"/>
      <c r="D432" s="34"/>
      <c r="E432" s="30"/>
    </row>
    <row r="433" spans="1:6" x14ac:dyDescent="0.25">
      <c r="A433" s="29"/>
      <c r="B433" s="47"/>
      <c r="C433" s="34"/>
      <c r="D433" s="35"/>
      <c r="E433" s="30"/>
      <c r="F433" s="48"/>
    </row>
    <row r="434" spans="1:6" x14ac:dyDescent="0.25">
      <c r="A434" s="29"/>
      <c r="B434" s="47"/>
      <c r="C434" s="34"/>
      <c r="D434" s="34"/>
      <c r="E434" s="30"/>
    </row>
    <row r="435" spans="1:6" x14ac:dyDescent="0.25">
      <c r="A435" s="29"/>
      <c r="B435" s="47"/>
      <c r="C435" s="34"/>
      <c r="D435" s="34"/>
      <c r="E435" s="30"/>
    </row>
    <row r="436" spans="1:6" x14ac:dyDescent="0.25">
      <c r="A436" s="29"/>
      <c r="B436" s="47"/>
      <c r="C436" s="34"/>
      <c r="D436" s="34"/>
      <c r="E436" s="30"/>
    </row>
    <row r="437" spans="1:6" x14ac:dyDescent="0.25">
      <c r="A437" s="29"/>
      <c r="B437" s="47"/>
      <c r="C437" s="34"/>
      <c r="D437" s="34"/>
      <c r="E437" s="30"/>
    </row>
    <row r="438" spans="1:6" x14ac:dyDescent="0.25">
      <c r="A438" s="29"/>
      <c r="B438" s="47"/>
      <c r="C438" s="34"/>
      <c r="D438" s="34"/>
      <c r="E438" s="30"/>
    </row>
    <row r="439" spans="1:6" x14ac:dyDescent="0.25">
      <c r="A439" s="29"/>
      <c r="B439" s="47"/>
      <c r="C439" s="34"/>
      <c r="D439" s="34"/>
      <c r="E439" s="30"/>
    </row>
    <row r="440" spans="1:6" x14ac:dyDescent="0.25">
      <c r="A440" s="29"/>
      <c r="B440" s="47"/>
      <c r="C440" s="34"/>
      <c r="D440" s="34"/>
      <c r="E440" s="30"/>
    </row>
    <row r="441" spans="1:6" x14ac:dyDescent="0.25">
      <c r="A441" s="29"/>
      <c r="B441" s="47"/>
      <c r="C441" s="34"/>
      <c r="D441" s="35"/>
      <c r="E441" s="30"/>
    </row>
    <row r="442" spans="1:6" x14ac:dyDescent="0.25">
      <c r="A442" s="29"/>
      <c r="B442" s="47"/>
      <c r="C442" s="34"/>
      <c r="D442" s="34"/>
      <c r="E442" s="30"/>
    </row>
    <row r="443" spans="1:6" x14ac:dyDescent="0.25">
      <c r="A443" s="29"/>
      <c r="B443" s="47"/>
      <c r="C443" s="34"/>
      <c r="D443" s="34"/>
      <c r="E443" s="30"/>
    </row>
    <row r="444" spans="1:6" x14ac:dyDescent="0.25">
      <c r="A444" s="29"/>
      <c r="B444" s="47"/>
      <c r="C444" s="34"/>
      <c r="D444" s="34"/>
      <c r="E444" s="30"/>
    </row>
    <row r="445" spans="1:6" x14ac:dyDescent="0.25">
      <c r="A445" s="29"/>
      <c r="B445" s="47"/>
      <c r="C445" s="34"/>
      <c r="D445" s="34"/>
      <c r="E445" s="30"/>
    </row>
    <row r="446" spans="1:6" x14ac:dyDescent="0.25">
      <c r="A446" s="29"/>
      <c r="B446" s="47"/>
      <c r="C446" s="34"/>
      <c r="D446" s="34"/>
      <c r="E446" s="30"/>
    </row>
    <row r="447" spans="1:6" x14ac:dyDescent="0.25">
      <c r="A447" s="29"/>
      <c r="B447" s="47"/>
      <c r="C447" s="34"/>
      <c r="D447" s="34"/>
      <c r="E447" s="30"/>
    </row>
    <row r="448" spans="1:6" x14ac:dyDescent="0.25">
      <c r="A448" s="29"/>
      <c r="B448" s="47"/>
      <c r="C448" s="34"/>
      <c r="D448" s="34"/>
      <c r="E448" s="30"/>
    </row>
    <row r="449" spans="1:5" x14ac:dyDescent="0.25">
      <c r="A449" s="29"/>
      <c r="B449" s="47"/>
      <c r="C449" s="34"/>
      <c r="D449" s="34"/>
      <c r="E449" s="30"/>
    </row>
    <row r="450" spans="1:5" x14ac:dyDescent="0.25">
      <c r="A450" s="29"/>
      <c r="B450" s="47"/>
      <c r="C450" s="34"/>
      <c r="D450" s="35"/>
      <c r="E450" s="30"/>
    </row>
    <row r="451" spans="1:5" x14ac:dyDescent="0.25">
      <c r="A451" s="29"/>
      <c r="B451" s="47"/>
      <c r="C451" s="34"/>
      <c r="D451" s="34"/>
      <c r="E451" s="30"/>
    </row>
    <row r="452" spans="1:5" x14ac:dyDescent="0.25">
      <c r="A452" s="29"/>
      <c r="B452" s="47"/>
      <c r="C452" s="34"/>
      <c r="D452" s="34"/>
      <c r="E452" s="30"/>
    </row>
    <row r="453" spans="1:5" x14ac:dyDescent="0.25">
      <c r="A453" s="29"/>
      <c r="B453" s="47"/>
      <c r="C453" s="34"/>
      <c r="D453" s="34"/>
      <c r="E453" s="30"/>
    </row>
    <row r="454" spans="1:5" x14ac:dyDescent="0.25">
      <c r="A454" s="29"/>
      <c r="B454" s="47"/>
      <c r="C454" s="34"/>
      <c r="D454" s="34"/>
      <c r="E454" s="30"/>
    </row>
    <row r="455" spans="1:5" x14ac:dyDescent="0.25">
      <c r="A455" s="29"/>
      <c r="B455" s="47"/>
      <c r="C455" s="34"/>
      <c r="D455" s="34"/>
      <c r="E455" s="30"/>
    </row>
    <row r="456" spans="1:5" x14ac:dyDescent="0.25">
      <c r="A456" s="29"/>
      <c r="B456" s="47"/>
      <c r="C456" s="34"/>
      <c r="D456" s="34"/>
      <c r="E456" s="30"/>
    </row>
    <row r="457" spans="1:5" x14ac:dyDescent="0.25">
      <c r="A457" s="29"/>
      <c r="B457" s="47"/>
      <c r="C457" s="34"/>
      <c r="D457" s="34"/>
      <c r="E457" s="30"/>
    </row>
    <row r="458" spans="1:5" x14ac:dyDescent="0.25">
      <c r="A458" s="29"/>
      <c r="B458" s="47"/>
      <c r="C458" s="34"/>
      <c r="D458" s="34"/>
      <c r="E458" s="30"/>
    </row>
    <row r="459" spans="1:5" x14ac:dyDescent="0.25">
      <c r="A459" s="29"/>
      <c r="B459" s="47"/>
      <c r="C459" s="34"/>
      <c r="D459" s="34"/>
      <c r="E459" s="30"/>
    </row>
    <row r="460" spans="1:5" x14ac:dyDescent="0.25">
      <c r="A460" s="29"/>
      <c r="B460" s="47"/>
      <c r="C460" s="34"/>
      <c r="D460" s="35"/>
      <c r="E460" s="30"/>
    </row>
    <row r="461" spans="1:5" x14ac:dyDescent="0.25">
      <c r="A461" s="29"/>
      <c r="B461" s="47"/>
      <c r="C461" s="34"/>
      <c r="D461" s="34"/>
      <c r="E461" s="30"/>
    </row>
    <row r="462" spans="1:5" x14ac:dyDescent="0.25">
      <c r="A462" s="29"/>
      <c r="B462" s="47"/>
      <c r="C462" s="34"/>
      <c r="D462" s="34"/>
      <c r="E462" s="30"/>
    </row>
    <row r="463" spans="1:5" x14ac:dyDescent="0.25">
      <c r="A463" s="29"/>
      <c r="B463" s="47"/>
      <c r="C463" s="34"/>
      <c r="D463" s="34"/>
      <c r="E463" s="30"/>
    </row>
    <row r="464" spans="1:5" x14ac:dyDescent="0.25">
      <c r="A464" s="29"/>
      <c r="B464" s="47"/>
      <c r="C464" s="34"/>
      <c r="D464" s="34"/>
      <c r="E464" s="30"/>
    </row>
    <row r="465" spans="1:5" x14ac:dyDescent="0.25">
      <c r="A465" s="29"/>
      <c r="B465" s="47"/>
      <c r="C465" s="34"/>
      <c r="D465" s="34"/>
      <c r="E465" s="30"/>
    </row>
    <row r="466" spans="1:5" x14ac:dyDescent="0.25">
      <c r="A466" s="29"/>
      <c r="B466" s="47"/>
      <c r="C466" s="34"/>
      <c r="D466" s="34"/>
      <c r="E466" s="30"/>
    </row>
    <row r="467" spans="1:5" x14ac:dyDescent="0.25">
      <c r="A467" s="29"/>
      <c r="B467" s="47"/>
      <c r="C467" s="34"/>
      <c r="D467" s="34"/>
      <c r="E467" s="30"/>
    </row>
    <row r="468" spans="1:5" x14ac:dyDescent="0.25">
      <c r="A468" s="29"/>
      <c r="B468" s="47"/>
      <c r="C468" s="34"/>
      <c r="D468" s="34"/>
      <c r="E468" s="30"/>
    </row>
    <row r="469" spans="1:5" x14ac:dyDescent="0.25">
      <c r="A469" s="29"/>
      <c r="B469" s="47"/>
      <c r="C469" s="34"/>
      <c r="D469" s="34"/>
      <c r="E469" s="30"/>
    </row>
    <row r="470" spans="1:5" x14ac:dyDescent="0.25">
      <c r="A470" s="29"/>
      <c r="B470" s="47"/>
      <c r="C470" s="34"/>
      <c r="D470" s="34"/>
      <c r="E470" s="30"/>
    </row>
    <row r="471" spans="1:5" x14ac:dyDescent="0.25">
      <c r="A471" s="29"/>
      <c r="B471" s="47"/>
      <c r="C471" s="34"/>
      <c r="D471" s="34"/>
      <c r="E471" s="30"/>
    </row>
    <row r="472" spans="1:5" x14ac:dyDescent="0.25">
      <c r="A472" s="29"/>
      <c r="B472" s="47"/>
      <c r="C472" s="34"/>
      <c r="D472" s="35"/>
      <c r="E472" s="30"/>
    </row>
    <row r="473" spans="1:5" x14ac:dyDescent="0.25">
      <c r="A473" s="29"/>
      <c r="B473" s="47"/>
      <c r="C473" s="34"/>
      <c r="D473" s="34"/>
      <c r="E473" s="30"/>
    </row>
    <row r="474" spans="1:5" x14ac:dyDescent="0.25">
      <c r="A474" s="29"/>
      <c r="B474" s="47"/>
      <c r="C474" s="34"/>
      <c r="D474" s="34"/>
      <c r="E474" s="30"/>
    </row>
    <row r="475" spans="1:5" x14ac:dyDescent="0.25">
      <c r="A475" s="29"/>
      <c r="B475" s="47"/>
      <c r="C475" s="34"/>
      <c r="D475" s="34"/>
      <c r="E475" s="30"/>
    </row>
    <row r="476" spans="1:5" x14ac:dyDescent="0.25">
      <c r="A476" s="29"/>
      <c r="B476" s="47"/>
      <c r="C476" s="34"/>
      <c r="D476" s="34"/>
      <c r="E476" s="30"/>
    </row>
    <row r="477" spans="1:5" x14ac:dyDescent="0.25">
      <c r="A477" s="29"/>
      <c r="B477" s="47"/>
      <c r="C477" s="34"/>
      <c r="D477" s="34"/>
      <c r="E477" s="30"/>
    </row>
    <row r="478" spans="1:5" x14ac:dyDescent="0.25">
      <c r="A478" s="29"/>
      <c r="B478" s="47"/>
      <c r="C478" s="34"/>
      <c r="D478" s="34"/>
      <c r="E478" s="30"/>
    </row>
    <row r="479" spans="1:5" x14ac:dyDescent="0.25">
      <c r="A479" s="29"/>
      <c r="B479" s="47"/>
      <c r="C479" s="34"/>
      <c r="D479" s="35"/>
      <c r="E479" s="30"/>
    </row>
    <row r="480" spans="1:5" x14ac:dyDescent="0.25">
      <c r="A480" s="29"/>
      <c r="B480" s="47"/>
      <c r="C480" s="34"/>
      <c r="D480" s="34"/>
      <c r="E480" s="30"/>
    </row>
    <row r="481" spans="1:5" x14ac:dyDescent="0.25">
      <c r="A481" s="29"/>
      <c r="B481" s="47"/>
      <c r="C481" s="34"/>
      <c r="D481" s="34"/>
      <c r="E481" s="30"/>
    </row>
    <row r="482" spans="1:5" x14ac:dyDescent="0.25">
      <c r="A482" s="29"/>
      <c r="B482" s="47"/>
      <c r="C482" s="34"/>
      <c r="D482" s="34"/>
      <c r="E482" s="30"/>
    </row>
    <row r="483" spans="1:5" x14ac:dyDescent="0.25">
      <c r="A483" s="29"/>
      <c r="B483" s="47"/>
      <c r="C483" s="34"/>
      <c r="D483" s="34"/>
      <c r="E483" s="30"/>
    </row>
    <row r="484" spans="1:5" x14ac:dyDescent="0.25">
      <c r="A484" s="29"/>
      <c r="B484" s="47"/>
      <c r="C484" s="34"/>
      <c r="D484" s="34"/>
      <c r="E484" s="30"/>
    </row>
    <row r="485" spans="1:5" x14ac:dyDescent="0.25">
      <c r="A485" s="29"/>
      <c r="B485" s="47"/>
      <c r="C485" s="34"/>
      <c r="D485" s="34"/>
      <c r="E485" s="30"/>
    </row>
    <row r="486" spans="1:5" x14ac:dyDescent="0.25">
      <c r="A486" s="29"/>
      <c r="B486" s="47"/>
      <c r="C486" s="34"/>
      <c r="D486" s="34"/>
      <c r="E486" s="30"/>
    </row>
    <row r="487" spans="1:5" x14ac:dyDescent="0.25">
      <c r="A487" s="29"/>
      <c r="B487" s="47"/>
      <c r="C487" s="34"/>
      <c r="D487" s="35"/>
      <c r="E487" s="30"/>
    </row>
    <row r="488" spans="1:5" x14ac:dyDescent="0.25">
      <c r="A488" s="29"/>
      <c r="B488" s="47"/>
      <c r="C488" s="34"/>
      <c r="D488" s="34"/>
      <c r="E488" s="30"/>
    </row>
    <row r="489" spans="1:5" x14ac:dyDescent="0.25">
      <c r="A489" s="29"/>
      <c r="B489" s="46"/>
      <c r="C489" s="34"/>
      <c r="D489" s="34"/>
      <c r="E489" s="30"/>
    </row>
    <row r="490" spans="1:5" x14ac:dyDescent="0.25">
      <c r="A490" s="29"/>
      <c r="B490" s="46"/>
      <c r="C490" s="34"/>
      <c r="D490" s="34"/>
      <c r="E490" s="30"/>
    </row>
    <row r="491" spans="1:5" x14ac:dyDescent="0.25">
      <c r="A491" s="29"/>
      <c r="B491" s="46"/>
      <c r="C491" s="34"/>
      <c r="D491" s="34"/>
      <c r="E491" s="30"/>
    </row>
    <row r="492" spans="1:5" x14ac:dyDescent="0.25">
      <c r="A492" s="29"/>
      <c r="B492" s="47"/>
      <c r="C492" s="34"/>
      <c r="D492" s="34"/>
      <c r="E492" s="30"/>
    </row>
    <row r="493" spans="1:5" x14ac:dyDescent="0.25">
      <c r="A493" s="29"/>
      <c r="B493" s="47"/>
      <c r="C493" s="34"/>
      <c r="D493" s="34"/>
      <c r="E493" s="30"/>
    </row>
    <row r="494" spans="1:5" x14ac:dyDescent="0.25">
      <c r="A494" s="29"/>
      <c r="B494" s="47"/>
      <c r="C494" s="34"/>
      <c r="D494" s="34"/>
      <c r="E494" s="30"/>
    </row>
    <row r="495" spans="1:5" x14ac:dyDescent="0.25">
      <c r="A495" s="29"/>
      <c r="B495" s="47"/>
      <c r="C495" s="34"/>
      <c r="D495" s="34"/>
      <c r="E495" s="30"/>
    </row>
    <row r="496" spans="1:5" x14ac:dyDescent="0.25">
      <c r="A496" s="29"/>
      <c r="B496" s="47"/>
      <c r="C496" s="34"/>
      <c r="D496" s="34"/>
      <c r="E496" s="30"/>
    </row>
    <row r="497" spans="1:5" x14ac:dyDescent="0.25">
      <c r="A497" s="29"/>
      <c r="B497" s="47"/>
      <c r="C497" s="34"/>
      <c r="D497" s="34"/>
      <c r="E497" s="30"/>
    </row>
    <row r="498" spans="1:5" x14ac:dyDescent="0.25">
      <c r="A498" s="29"/>
      <c r="B498" s="47"/>
      <c r="C498" s="34"/>
      <c r="D498" s="35"/>
      <c r="E498" s="30"/>
    </row>
    <row r="499" spans="1:5" x14ac:dyDescent="0.25">
      <c r="A499" s="29"/>
      <c r="B499" s="47"/>
      <c r="C499" s="34"/>
      <c r="D499" s="34"/>
      <c r="E499" s="30"/>
    </row>
    <row r="500" spans="1:5" x14ac:dyDescent="0.25">
      <c r="A500" s="29"/>
      <c r="B500" s="47"/>
      <c r="C500" s="34"/>
      <c r="D500" s="34"/>
      <c r="E500" s="30"/>
    </row>
    <row r="501" spans="1:5" x14ac:dyDescent="0.25">
      <c r="A501" s="29"/>
      <c r="B501" s="47"/>
      <c r="C501" s="34"/>
      <c r="D501" s="34"/>
      <c r="E501" s="30"/>
    </row>
    <row r="502" spans="1:5" x14ac:dyDescent="0.25">
      <c r="A502" s="29"/>
      <c r="B502" s="47"/>
      <c r="C502" s="34"/>
      <c r="D502" s="34"/>
      <c r="E502" s="30"/>
    </row>
    <row r="503" spans="1:5" x14ac:dyDescent="0.25">
      <c r="A503" s="29"/>
      <c r="B503" s="47"/>
      <c r="C503" s="34"/>
      <c r="D503" s="34"/>
      <c r="E503" s="30"/>
    </row>
    <row r="504" spans="1:5" x14ac:dyDescent="0.25">
      <c r="A504" s="29"/>
      <c r="B504" s="47"/>
      <c r="C504" s="34"/>
      <c r="D504" s="34"/>
      <c r="E504" s="30"/>
    </row>
    <row r="505" spans="1:5" x14ac:dyDescent="0.25">
      <c r="A505" s="29"/>
      <c r="B505" s="47"/>
      <c r="C505" s="34"/>
      <c r="D505" s="34"/>
      <c r="E505" s="30"/>
    </row>
    <row r="506" spans="1:5" x14ac:dyDescent="0.25">
      <c r="A506" s="29"/>
      <c r="B506" s="47"/>
      <c r="C506" s="34"/>
      <c r="D506" s="34"/>
      <c r="E506" s="30"/>
    </row>
    <row r="507" spans="1:5" x14ac:dyDescent="0.25">
      <c r="A507" s="29"/>
      <c r="B507" s="47"/>
      <c r="C507" s="34"/>
      <c r="D507" s="34"/>
      <c r="E507" s="30"/>
    </row>
    <row r="508" spans="1:5" x14ac:dyDescent="0.25">
      <c r="A508" s="29"/>
      <c r="B508" s="47"/>
      <c r="C508" s="34"/>
      <c r="D508" s="34"/>
      <c r="E508" s="30"/>
    </row>
    <row r="509" spans="1:5" x14ac:dyDescent="0.25">
      <c r="A509" s="29"/>
      <c r="B509" s="47"/>
      <c r="C509" s="34"/>
      <c r="D509" s="35"/>
      <c r="E509" s="30"/>
    </row>
    <row r="510" spans="1:5" x14ac:dyDescent="0.25">
      <c r="A510" s="29"/>
      <c r="B510" s="47"/>
      <c r="C510" s="34"/>
      <c r="D510" s="34"/>
      <c r="E510" s="30"/>
    </row>
    <row r="511" spans="1:5" x14ac:dyDescent="0.25">
      <c r="A511" s="29"/>
      <c r="B511" s="47"/>
      <c r="C511" s="34"/>
      <c r="D511" s="34"/>
      <c r="E511" s="30"/>
    </row>
    <row r="512" spans="1:5" x14ac:dyDescent="0.25">
      <c r="A512" s="29"/>
      <c r="B512" s="47"/>
      <c r="C512" s="34"/>
      <c r="D512" s="34"/>
      <c r="E512" s="30"/>
    </row>
    <row r="513" spans="1:5" x14ac:dyDescent="0.25">
      <c r="A513" s="29"/>
      <c r="B513" s="47"/>
      <c r="C513" s="34"/>
      <c r="D513" s="34"/>
      <c r="E513" s="30"/>
    </row>
    <row r="514" spans="1:5" x14ac:dyDescent="0.25">
      <c r="A514" s="29"/>
      <c r="B514" s="47"/>
      <c r="C514" s="34"/>
      <c r="D514" s="34"/>
      <c r="E514" s="30"/>
    </row>
    <row r="515" spans="1:5" x14ac:dyDescent="0.25">
      <c r="A515" s="29"/>
      <c r="B515" s="47"/>
      <c r="C515" s="34"/>
      <c r="D515" s="34"/>
      <c r="E515" s="30"/>
    </row>
    <row r="516" spans="1:5" x14ac:dyDescent="0.25">
      <c r="A516" s="29"/>
      <c r="B516" s="47"/>
      <c r="C516" s="34"/>
      <c r="D516" s="34"/>
      <c r="E516" s="30"/>
    </row>
    <row r="517" spans="1:5" x14ac:dyDescent="0.25">
      <c r="A517" s="29"/>
      <c r="B517" s="47"/>
      <c r="C517" s="34"/>
      <c r="D517" s="35"/>
      <c r="E517" s="30"/>
    </row>
    <row r="518" spans="1:5" x14ac:dyDescent="0.25">
      <c r="A518" s="29"/>
      <c r="B518" s="47"/>
      <c r="C518" s="34"/>
      <c r="D518" s="34"/>
      <c r="E518" s="30"/>
    </row>
    <row r="519" spans="1:5" x14ac:dyDescent="0.25">
      <c r="A519" s="29"/>
      <c r="B519" s="47"/>
      <c r="C519" s="34"/>
      <c r="D519" s="34"/>
      <c r="E519" s="30"/>
    </row>
    <row r="520" spans="1:5" x14ac:dyDescent="0.25">
      <c r="A520" s="29"/>
      <c r="B520" s="47"/>
      <c r="C520" s="34"/>
      <c r="D520" s="34"/>
      <c r="E520" s="30"/>
    </row>
    <row r="521" spans="1:5" x14ac:dyDescent="0.25">
      <c r="A521" s="29"/>
      <c r="B521" s="47"/>
      <c r="C521" s="34"/>
      <c r="D521" s="34"/>
      <c r="E521" s="30"/>
    </row>
    <row r="522" spans="1:5" x14ac:dyDescent="0.25">
      <c r="A522" s="29"/>
      <c r="B522" s="47"/>
      <c r="C522" s="34"/>
      <c r="D522" s="34"/>
      <c r="E522" s="30"/>
    </row>
    <row r="523" spans="1:5" x14ac:dyDescent="0.25">
      <c r="A523" s="29"/>
      <c r="B523" s="47"/>
      <c r="C523" s="34"/>
      <c r="D523" s="35"/>
      <c r="E523" s="30"/>
    </row>
    <row r="524" spans="1:5" x14ac:dyDescent="0.25">
      <c r="A524" s="29"/>
      <c r="B524" s="47"/>
      <c r="C524" s="34"/>
      <c r="D524" s="34"/>
      <c r="E524" s="30"/>
    </row>
    <row r="525" spans="1:5" x14ac:dyDescent="0.25">
      <c r="A525" s="29"/>
      <c r="B525" s="47"/>
      <c r="C525" s="34"/>
      <c r="D525" s="34"/>
      <c r="E525" s="30"/>
    </row>
    <row r="526" spans="1:5" x14ac:dyDescent="0.25">
      <c r="A526" s="29"/>
      <c r="B526" s="47"/>
      <c r="C526" s="34"/>
      <c r="D526" s="34"/>
      <c r="E526" s="30"/>
    </row>
    <row r="527" spans="1:5" x14ac:dyDescent="0.25">
      <c r="A527" s="29"/>
      <c r="B527" s="47"/>
      <c r="C527" s="34"/>
      <c r="D527" s="34"/>
      <c r="E527" s="30"/>
    </row>
    <row r="528" spans="1:5" x14ac:dyDescent="0.25">
      <c r="A528" s="29"/>
      <c r="B528" s="47"/>
      <c r="C528" s="34"/>
      <c r="D528" s="34"/>
      <c r="E528" s="30"/>
    </row>
    <row r="529" spans="1:5" x14ac:dyDescent="0.25">
      <c r="A529" s="29"/>
      <c r="B529" s="47"/>
      <c r="C529" s="34"/>
      <c r="D529" s="34"/>
      <c r="E529" s="30"/>
    </row>
    <row r="530" spans="1:5" x14ac:dyDescent="0.25">
      <c r="A530" s="29"/>
      <c r="B530" s="47"/>
      <c r="C530" s="34"/>
      <c r="D530" s="34"/>
      <c r="E530" s="30"/>
    </row>
    <row r="531" spans="1:5" x14ac:dyDescent="0.25">
      <c r="A531" s="29"/>
      <c r="B531" s="47"/>
      <c r="C531" s="34"/>
      <c r="D531" s="34"/>
      <c r="E531" s="30"/>
    </row>
    <row r="532" spans="1:5" x14ac:dyDescent="0.25">
      <c r="A532" s="29"/>
      <c r="B532" s="47"/>
      <c r="C532" s="34"/>
      <c r="D532" s="34"/>
      <c r="E532" s="30"/>
    </row>
    <row r="533" spans="1:5" x14ac:dyDescent="0.25">
      <c r="A533" s="29"/>
      <c r="B533" s="47"/>
      <c r="C533" s="34"/>
      <c r="D533" s="35"/>
      <c r="E533" s="30"/>
    </row>
    <row r="534" spans="1:5" x14ac:dyDescent="0.25">
      <c r="A534" s="29"/>
      <c r="B534" s="46"/>
      <c r="C534" s="34"/>
      <c r="D534" s="34"/>
      <c r="E534" s="30"/>
    </row>
    <row r="535" spans="1:5" x14ac:dyDescent="0.25">
      <c r="A535" s="29"/>
      <c r="B535" s="46"/>
      <c r="C535" s="34"/>
      <c r="D535" s="34"/>
      <c r="E535" s="30"/>
    </row>
    <row r="536" spans="1:5" x14ac:dyDescent="0.25">
      <c r="A536" s="29"/>
      <c r="B536" s="46"/>
      <c r="C536" s="34"/>
      <c r="D536" s="34"/>
      <c r="E536" s="30"/>
    </row>
    <row r="537" spans="1:5" x14ac:dyDescent="0.25">
      <c r="A537" s="29"/>
      <c r="B537" s="47"/>
      <c r="C537" s="34"/>
      <c r="D537" s="34"/>
      <c r="E537" s="30"/>
    </row>
    <row r="538" spans="1:5" x14ac:dyDescent="0.25">
      <c r="A538" s="29"/>
      <c r="B538" s="47"/>
      <c r="C538" s="34"/>
      <c r="D538" s="34"/>
      <c r="E538" s="30"/>
    </row>
    <row r="539" spans="1:5" x14ac:dyDescent="0.25">
      <c r="A539" s="29"/>
      <c r="B539" s="47"/>
      <c r="C539" s="34"/>
      <c r="D539" s="34"/>
      <c r="E539" s="30"/>
    </row>
    <row r="540" spans="1:5" x14ac:dyDescent="0.25">
      <c r="A540" s="29"/>
      <c r="B540" s="47"/>
      <c r="C540" s="34"/>
      <c r="D540" s="34"/>
      <c r="E540" s="30"/>
    </row>
    <row r="541" spans="1:5" x14ac:dyDescent="0.25">
      <c r="A541" s="29"/>
      <c r="B541" s="47"/>
      <c r="C541" s="34"/>
      <c r="D541" s="34"/>
      <c r="E541" s="30"/>
    </row>
    <row r="542" spans="1:5" x14ac:dyDescent="0.25">
      <c r="A542" s="29"/>
      <c r="B542" s="47"/>
      <c r="C542" s="34"/>
      <c r="D542" s="34"/>
      <c r="E542" s="40"/>
    </row>
    <row r="543" spans="1:5" x14ac:dyDescent="0.25">
      <c r="A543" s="29"/>
      <c r="B543" s="47"/>
      <c r="C543" s="34"/>
      <c r="D543" s="35"/>
      <c r="E543" s="40"/>
    </row>
    <row r="544" spans="1:5" x14ac:dyDescent="0.25">
      <c r="A544" s="29"/>
      <c r="B544" s="47"/>
      <c r="C544" s="34"/>
      <c r="D544" s="34"/>
      <c r="E544" s="40"/>
    </row>
    <row r="545" spans="1:5" x14ac:dyDescent="0.25">
      <c r="A545" s="29"/>
      <c r="B545" s="47"/>
      <c r="C545" s="34"/>
      <c r="D545" s="34"/>
      <c r="E545" s="30"/>
    </row>
    <row r="546" spans="1:5" x14ac:dyDescent="0.25">
      <c r="A546" s="29"/>
      <c r="B546" s="47"/>
      <c r="C546" s="34"/>
      <c r="D546" s="34"/>
      <c r="E546" s="30"/>
    </row>
    <row r="547" spans="1:5" x14ac:dyDescent="0.25">
      <c r="A547" s="29"/>
      <c r="B547" s="47"/>
      <c r="C547" s="34"/>
      <c r="D547" s="34"/>
      <c r="E547" s="30"/>
    </row>
    <row r="548" spans="1:5" x14ac:dyDescent="0.25">
      <c r="A548" s="29"/>
      <c r="B548" s="47"/>
      <c r="C548" s="34"/>
      <c r="D548" s="34"/>
      <c r="E548" s="30"/>
    </row>
    <row r="549" spans="1:5" x14ac:dyDescent="0.25">
      <c r="A549" s="29"/>
      <c r="B549" s="47"/>
      <c r="C549" s="34"/>
      <c r="D549" s="34"/>
      <c r="E549" s="30"/>
    </row>
    <row r="550" spans="1:5" x14ac:dyDescent="0.25">
      <c r="A550" s="29"/>
      <c r="B550" s="47"/>
      <c r="C550" s="34"/>
      <c r="D550" s="34"/>
      <c r="E550" s="30"/>
    </row>
    <row r="551" spans="1:5" x14ac:dyDescent="0.25">
      <c r="A551" s="29"/>
      <c r="B551" s="47"/>
      <c r="C551" s="34"/>
      <c r="D551" s="34"/>
      <c r="E551" s="30"/>
    </row>
    <row r="552" spans="1:5" x14ac:dyDescent="0.25">
      <c r="A552" s="29"/>
      <c r="B552" s="47"/>
      <c r="C552" s="34"/>
      <c r="D552" s="34"/>
      <c r="E552" s="30"/>
    </row>
    <row r="553" spans="1:5" x14ac:dyDescent="0.25">
      <c r="A553" s="29"/>
      <c r="B553" s="47"/>
      <c r="C553" s="34"/>
      <c r="D553" s="34"/>
      <c r="E553" s="30"/>
    </row>
    <row r="554" spans="1:5" x14ac:dyDescent="0.25">
      <c r="A554" s="29"/>
      <c r="B554" s="47"/>
      <c r="C554" s="34"/>
      <c r="D554" s="34"/>
      <c r="E554" s="30"/>
    </row>
    <row r="555" spans="1:5" x14ac:dyDescent="0.25">
      <c r="A555" s="29"/>
      <c r="B555" s="47"/>
      <c r="C555" s="34"/>
      <c r="D555" s="34"/>
      <c r="E555" s="30"/>
    </row>
    <row r="556" spans="1:5" x14ac:dyDescent="0.25">
      <c r="A556" s="29"/>
      <c r="B556" s="47"/>
      <c r="C556" s="34"/>
      <c r="D556" s="34"/>
      <c r="E556" s="30"/>
    </row>
    <row r="557" spans="1:5" x14ac:dyDescent="0.25">
      <c r="A557" s="29"/>
      <c r="B557" s="47"/>
      <c r="C557" s="34"/>
      <c r="D557" s="35"/>
      <c r="E557" s="30"/>
    </row>
    <row r="558" spans="1:5" x14ac:dyDescent="0.25">
      <c r="A558" s="29"/>
      <c r="B558" s="47"/>
      <c r="C558" s="34"/>
      <c r="D558" s="34"/>
      <c r="E558" s="30"/>
    </row>
    <row r="559" spans="1:5" x14ac:dyDescent="0.25">
      <c r="A559" s="29"/>
      <c r="B559" s="47"/>
      <c r="C559" s="34"/>
      <c r="D559" s="34"/>
      <c r="E559" s="30"/>
    </row>
    <row r="560" spans="1:5" x14ac:dyDescent="0.25">
      <c r="A560" s="29"/>
      <c r="B560" s="47"/>
      <c r="C560" s="34"/>
      <c r="D560" s="34"/>
      <c r="E560" s="30"/>
    </row>
    <row r="561" spans="1:5" x14ac:dyDescent="0.25">
      <c r="A561" s="29"/>
      <c r="B561" s="47"/>
      <c r="C561" s="34"/>
      <c r="D561" s="34"/>
      <c r="E561" s="30"/>
    </row>
    <row r="562" spans="1:5" x14ac:dyDescent="0.25">
      <c r="A562" s="29"/>
      <c r="B562" s="47"/>
      <c r="C562" s="34"/>
      <c r="D562" s="35"/>
      <c r="E562" s="30"/>
    </row>
    <row r="563" spans="1:5" x14ac:dyDescent="0.25">
      <c r="A563" s="29"/>
      <c r="B563" s="47"/>
      <c r="C563" s="34"/>
      <c r="D563" s="34"/>
      <c r="E563" s="30"/>
    </row>
    <row r="564" spans="1:5" x14ac:dyDescent="0.25">
      <c r="A564" s="29"/>
      <c r="B564" s="47"/>
      <c r="C564" s="34"/>
      <c r="D564" s="34"/>
      <c r="E564" s="30"/>
    </row>
    <row r="565" spans="1:5" x14ac:dyDescent="0.25">
      <c r="A565" s="29"/>
      <c r="B565" s="47"/>
      <c r="C565" s="34"/>
      <c r="D565" s="34"/>
      <c r="E565" s="30"/>
    </row>
    <row r="566" spans="1:5" x14ac:dyDescent="0.25">
      <c r="A566" s="29"/>
      <c r="B566" s="47"/>
      <c r="C566" s="34"/>
      <c r="D566" s="34"/>
      <c r="E566" s="30"/>
    </row>
    <row r="567" spans="1:5" x14ac:dyDescent="0.25">
      <c r="A567" s="29"/>
      <c r="B567" s="47"/>
      <c r="C567" s="34"/>
      <c r="D567" s="34"/>
      <c r="E567" s="30"/>
    </row>
    <row r="568" spans="1:5" x14ac:dyDescent="0.25">
      <c r="A568" s="29"/>
      <c r="B568" s="47"/>
      <c r="C568" s="34"/>
      <c r="D568" s="34"/>
      <c r="E568" s="30"/>
    </row>
    <row r="569" spans="1:5" x14ac:dyDescent="0.25">
      <c r="A569" s="29"/>
      <c r="B569" s="47"/>
      <c r="C569" s="34"/>
      <c r="D569" s="34"/>
      <c r="E569" s="30"/>
    </row>
    <row r="570" spans="1:5" x14ac:dyDescent="0.25">
      <c r="A570" s="29"/>
      <c r="B570" s="47"/>
      <c r="C570" s="34"/>
      <c r="D570" s="34"/>
      <c r="E570" s="30"/>
    </row>
    <row r="571" spans="1:5" x14ac:dyDescent="0.25">
      <c r="A571" s="29"/>
      <c r="B571" s="47"/>
      <c r="C571" s="34"/>
      <c r="D571" s="34"/>
      <c r="E571" s="30"/>
    </row>
    <row r="572" spans="1:5" x14ac:dyDescent="0.25">
      <c r="A572" s="29"/>
      <c r="B572" s="47"/>
      <c r="C572" s="34"/>
      <c r="D572" s="35"/>
      <c r="E572" s="30"/>
    </row>
    <row r="573" spans="1:5" x14ac:dyDescent="0.25">
      <c r="A573" s="29"/>
      <c r="B573" s="47"/>
      <c r="C573" s="34"/>
      <c r="D573" s="34"/>
      <c r="E573" s="30"/>
    </row>
    <row r="574" spans="1:5" x14ac:dyDescent="0.25">
      <c r="A574" s="29"/>
      <c r="B574" s="47"/>
      <c r="C574" s="34"/>
      <c r="D574" s="34"/>
      <c r="E574" s="30"/>
    </row>
    <row r="575" spans="1:5" x14ac:dyDescent="0.25">
      <c r="A575" s="29"/>
      <c r="B575" s="47"/>
      <c r="C575" s="34"/>
      <c r="D575" s="34"/>
      <c r="E575" s="30"/>
    </row>
    <row r="576" spans="1:5" x14ac:dyDescent="0.25">
      <c r="A576" s="29"/>
      <c r="B576" s="47"/>
      <c r="C576" s="34"/>
      <c r="D576" s="34"/>
      <c r="E576" s="30"/>
    </row>
    <row r="577" spans="1:5" x14ac:dyDescent="0.25">
      <c r="A577" s="29"/>
      <c r="B577" s="47"/>
      <c r="C577" s="34"/>
      <c r="D577" s="34"/>
      <c r="E577" s="30"/>
    </row>
    <row r="578" spans="1:5" x14ac:dyDescent="0.25">
      <c r="A578" s="29"/>
      <c r="B578" s="47"/>
      <c r="C578" s="34"/>
      <c r="D578" s="35"/>
      <c r="E578" s="30"/>
    </row>
    <row r="579" spans="1:5" x14ac:dyDescent="0.25">
      <c r="A579" s="29"/>
      <c r="B579" s="47"/>
      <c r="C579" s="34"/>
      <c r="D579" s="34"/>
      <c r="E579" s="30"/>
    </row>
    <row r="580" spans="1:5" x14ac:dyDescent="0.25">
      <c r="A580" s="29"/>
      <c r="B580" s="47"/>
      <c r="C580" s="34"/>
      <c r="D580" s="34"/>
      <c r="E580" s="30"/>
    </row>
    <row r="581" spans="1:5" x14ac:dyDescent="0.25">
      <c r="A581" s="29"/>
      <c r="B581" s="47"/>
      <c r="C581" s="34"/>
      <c r="D581" s="34"/>
      <c r="E581" s="30"/>
    </row>
    <row r="582" spans="1:5" x14ac:dyDescent="0.25">
      <c r="A582" s="29"/>
      <c r="B582" s="47"/>
      <c r="C582" s="34"/>
      <c r="D582" s="34"/>
      <c r="E582" s="30"/>
    </row>
    <row r="583" spans="1:5" x14ac:dyDescent="0.25">
      <c r="A583" s="29"/>
      <c r="B583" s="47"/>
      <c r="C583" s="34"/>
      <c r="D583" s="34"/>
      <c r="E583" s="30"/>
    </row>
    <row r="584" spans="1:5" x14ac:dyDescent="0.25">
      <c r="A584" s="29"/>
      <c r="B584" s="47"/>
      <c r="C584" s="34"/>
      <c r="D584" s="34"/>
      <c r="E584" s="30"/>
    </row>
    <row r="585" spans="1:5" x14ac:dyDescent="0.25">
      <c r="A585" s="29"/>
      <c r="B585" s="47"/>
      <c r="C585" s="34"/>
      <c r="D585" s="34"/>
      <c r="E585" s="30"/>
    </row>
    <row r="586" spans="1:5" x14ac:dyDescent="0.25">
      <c r="A586" s="29"/>
      <c r="B586" s="47"/>
      <c r="C586" s="34"/>
      <c r="D586" s="34"/>
      <c r="E586" s="30"/>
    </row>
    <row r="587" spans="1:5" x14ac:dyDescent="0.25">
      <c r="A587" s="29"/>
      <c r="B587" s="47"/>
      <c r="C587" s="34"/>
      <c r="D587" s="35"/>
      <c r="E587" s="30"/>
    </row>
    <row r="588" spans="1:5" x14ac:dyDescent="0.25">
      <c r="A588" s="29"/>
      <c r="B588" s="47"/>
      <c r="C588" s="34"/>
      <c r="D588" s="34"/>
      <c r="E588" s="30"/>
    </row>
    <row r="589" spans="1:5" x14ac:dyDescent="0.25">
      <c r="A589" s="29"/>
      <c r="B589" s="46"/>
      <c r="C589" s="34"/>
      <c r="D589" s="34"/>
      <c r="E589" s="30"/>
    </row>
    <row r="590" spans="1:5" x14ac:dyDescent="0.25">
      <c r="A590" s="29"/>
      <c r="B590" s="46"/>
      <c r="C590" s="34"/>
      <c r="D590" s="34"/>
      <c r="E590" s="30"/>
    </row>
    <row r="591" spans="1:5" x14ac:dyDescent="0.25">
      <c r="A591" s="29"/>
      <c r="B591" s="46"/>
      <c r="C591" s="34"/>
      <c r="D591" s="34"/>
      <c r="E591" s="30"/>
    </row>
    <row r="592" spans="1:5" x14ac:dyDescent="0.25">
      <c r="A592" s="29"/>
      <c r="B592" s="46"/>
      <c r="C592" s="34"/>
      <c r="D592" s="34"/>
      <c r="E592" s="30"/>
    </row>
    <row r="593" spans="1:5" x14ac:dyDescent="0.25">
      <c r="A593" s="29"/>
      <c r="B593" s="46"/>
      <c r="C593" s="34"/>
      <c r="D593" s="34"/>
      <c r="E593" s="30"/>
    </row>
    <row r="594" spans="1:5" x14ac:dyDescent="0.25">
      <c r="A594" s="29"/>
      <c r="B594" s="46"/>
      <c r="C594" s="34"/>
      <c r="D594" s="34"/>
      <c r="E594" s="30"/>
    </row>
    <row r="595" spans="1:5" x14ac:dyDescent="0.25">
      <c r="A595" s="29"/>
      <c r="B595" s="46"/>
      <c r="C595" s="34"/>
      <c r="D595" s="34"/>
      <c r="E595" s="30"/>
    </row>
    <row r="596" spans="1:5" x14ac:dyDescent="0.25">
      <c r="A596" s="29"/>
      <c r="B596" s="46"/>
      <c r="C596" s="34"/>
      <c r="D596" s="34"/>
      <c r="E596" s="30"/>
    </row>
    <row r="597" spans="1:5" x14ac:dyDescent="0.25">
      <c r="A597" s="29"/>
      <c r="B597" s="46"/>
      <c r="C597" s="34"/>
      <c r="D597" s="34"/>
      <c r="E597" s="30"/>
    </row>
    <row r="598" spans="1:5" x14ac:dyDescent="0.25">
      <c r="A598" s="29"/>
      <c r="B598" s="47"/>
      <c r="C598" s="34"/>
      <c r="D598" s="34"/>
      <c r="E598" s="40"/>
    </row>
    <row r="599" spans="1:5" x14ac:dyDescent="0.25">
      <c r="A599" s="29"/>
      <c r="B599" s="47"/>
      <c r="C599" s="34"/>
      <c r="D599" s="34"/>
      <c r="E599" s="40"/>
    </row>
    <row r="600" spans="1:5" x14ac:dyDescent="0.25">
      <c r="A600" s="29"/>
      <c r="B600" s="47"/>
      <c r="C600" s="34"/>
      <c r="D600" s="34"/>
      <c r="E600" s="40"/>
    </row>
    <row r="601" spans="1:5" x14ac:dyDescent="0.25">
      <c r="A601" s="29"/>
      <c r="B601" s="47"/>
      <c r="C601" s="34"/>
      <c r="D601" s="34"/>
      <c r="E601" s="30"/>
    </row>
    <row r="602" spans="1:5" x14ac:dyDescent="0.25">
      <c r="A602" s="29"/>
      <c r="B602" s="47"/>
      <c r="C602" s="34"/>
      <c r="D602" s="34"/>
      <c r="E602" s="30"/>
    </row>
    <row r="603" spans="1:5" x14ac:dyDescent="0.25">
      <c r="A603" s="29"/>
      <c r="B603" s="47"/>
      <c r="C603" s="34"/>
      <c r="D603" s="34"/>
      <c r="E603" s="30"/>
    </row>
    <row r="604" spans="1:5" x14ac:dyDescent="0.25">
      <c r="A604" s="29"/>
      <c r="B604" s="47"/>
      <c r="C604" s="34"/>
      <c r="D604" s="35"/>
      <c r="E604" s="30"/>
    </row>
    <row r="605" spans="1:5" x14ac:dyDescent="0.25">
      <c r="A605" s="29"/>
      <c r="B605" s="47"/>
      <c r="C605" s="34"/>
      <c r="D605" s="34"/>
      <c r="E605" s="30"/>
    </row>
    <row r="606" spans="1:5" x14ac:dyDescent="0.25">
      <c r="A606" s="29"/>
      <c r="B606" s="47"/>
      <c r="C606" s="34"/>
      <c r="D606" s="34"/>
      <c r="E606" s="30"/>
    </row>
    <row r="607" spans="1:5" x14ac:dyDescent="0.25">
      <c r="A607" s="29"/>
      <c r="B607" s="47"/>
      <c r="C607" s="34"/>
      <c r="D607" s="34"/>
      <c r="E607" s="30"/>
    </row>
    <row r="608" spans="1:5" x14ac:dyDescent="0.25">
      <c r="A608" s="29"/>
      <c r="B608" s="47"/>
      <c r="C608" s="34"/>
      <c r="D608" s="34"/>
      <c r="E608" s="30"/>
    </row>
    <row r="609" spans="1:5" x14ac:dyDescent="0.25">
      <c r="A609" s="29"/>
      <c r="B609" s="47"/>
      <c r="C609" s="34"/>
      <c r="D609" s="34"/>
      <c r="E609" s="30"/>
    </row>
    <row r="610" spans="1:5" x14ac:dyDescent="0.25">
      <c r="A610" s="29"/>
      <c r="B610" s="47"/>
      <c r="C610" s="34"/>
      <c r="D610" s="34"/>
      <c r="E610" s="30"/>
    </row>
    <row r="611" spans="1:5" x14ac:dyDescent="0.25">
      <c r="A611" s="29"/>
      <c r="B611" s="47"/>
      <c r="C611" s="34"/>
      <c r="D611" s="34"/>
      <c r="E611" s="30"/>
    </row>
    <row r="612" spans="1:5" x14ac:dyDescent="0.25">
      <c r="A612" s="29"/>
      <c r="B612" s="47"/>
      <c r="C612" s="34"/>
      <c r="D612" s="34"/>
      <c r="E612" s="30"/>
    </row>
    <row r="613" spans="1:5" x14ac:dyDescent="0.25">
      <c r="A613" s="29"/>
      <c r="B613" s="47"/>
      <c r="C613" s="34"/>
      <c r="D613" s="34"/>
      <c r="E613" s="30"/>
    </row>
    <row r="614" spans="1:5" x14ac:dyDescent="0.25">
      <c r="A614" s="29"/>
      <c r="B614" s="47"/>
      <c r="C614" s="34"/>
      <c r="D614" s="35"/>
      <c r="E614" s="30"/>
    </row>
    <row r="615" spans="1:5" x14ac:dyDescent="0.25">
      <c r="A615" s="29"/>
      <c r="B615" s="47"/>
      <c r="C615" s="34"/>
      <c r="D615" s="34"/>
      <c r="E615" s="30"/>
    </row>
    <row r="616" spans="1:5" x14ac:dyDescent="0.25">
      <c r="A616" s="29"/>
      <c r="B616" s="47"/>
      <c r="C616" s="34"/>
      <c r="D616" s="34"/>
      <c r="E616" s="30"/>
    </row>
    <row r="617" spans="1:5" x14ac:dyDescent="0.25">
      <c r="A617" s="29"/>
      <c r="B617" s="47"/>
      <c r="C617" s="34"/>
      <c r="D617" s="34"/>
      <c r="E617" s="30"/>
    </row>
    <row r="618" spans="1:5" x14ac:dyDescent="0.25">
      <c r="A618" s="29"/>
      <c r="B618" s="47"/>
      <c r="C618" s="34"/>
      <c r="D618" s="34"/>
      <c r="E618" s="30"/>
    </row>
    <row r="619" spans="1:5" x14ac:dyDescent="0.25">
      <c r="A619" s="29"/>
      <c r="B619" s="47"/>
      <c r="C619" s="34"/>
      <c r="D619" s="34"/>
      <c r="E619" s="30"/>
    </row>
    <row r="620" spans="1:5" x14ac:dyDescent="0.25">
      <c r="A620" s="29"/>
      <c r="B620" s="47"/>
      <c r="C620" s="34"/>
      <c r="D620" s="34"/>
      <c r="E620" s="30"/>
    </row>
    <row r="621" spans="1:5" x14ac:dyDescent="0.25">
      <c r="A621" s="29"/>
      <c r="B621" s="47"/>
      <c r="C621" s="34"/>
      <c r="D621" s="34"/>
      <c r="E621" s="30"/>
    </row>
    <row r="622" spans="1:5" x14ac:dyDescent="0.25">
      <c r="A622" s="29"/>
      <c r="B622" s="47"/>
      <c r="C622" s="34"/>
      <c r="D622" s="34"/>
      <c r="E622" s="30"/>
    </row>
    <row r="623" spans="1:5" x14ac:dyDescent="0.25">
      <c r="A623" s="29"/>
      <c r="B623" s="47"/>
      <c r="C623" s="34"/>
      <c r="D623" s="34"/>
      <c r="E623" s="30"/>
    </row>
    <row r="624" spans="1:5" x14ac:dyDescent="0.25">
      <c r="A624" s="29"/>
      <c r="B624" s="47"/>
      <c r="C624" s="34"/>
      <c r="D624" s="34"/>
      <c r="E624" s="30"/>
    </row>
    <row r="625" spans="1:7" x14ac:dyDescent="0.25">
      <c r="A625" s="29"/>
      <c r="B625" s="47"/>
      <c r="C625" s="34"/>
      <c r="D625" s="34"/>
      <c r="E625" s="30"/>
    </row>
    <row r="626" spans="1:7" x14ac:dyDescent="0.25">
      <c r="A626" s="29"/>
      <c r="B626" s="47"/>
      <c r="C626" s="34"/>
      <c r="D626" s="35"/>
      <c r="E626" s="30"/>
    </row>
    <row r="627" spans="1:7" x14ac:dyDescent="0.25">
      <c r="A627" s="29"/>
      <c r="B627" s="47"/>
      <c r="C627" s="34"/>
      <c r="D627" s="34"/>
      <c r="E627" s="30"/>
    </row>
    <row r="628" spans="1:7" x14ac:dyDescent="0.25">
      <c r="A628" s="29"/>
      <c r="B628" s="47"/>
      <c r="C628" s="34"/>
      <c r="D628" s="35"/>
      <c r="E628" s="30"/>
    </row>
    <row r="629" spans="1:7" x14ac:dyDescent="0.25">
      <c r="A629" s="29"/>
      <c r="B629" s="47"/>
      <c r="C629" s="34"/>
      <c r="D629" s="35"/>
      <c r="E629" s="30"/>
      <c r="G629" s="49"/>
    </row>
    <row r="630" spans="1:7" x14ac:dyDescent="0.25">
      <c r="A630" s="29"/>
      <c r="B630" s="47"/>
      <c r="C630" s="34"/>
      <c r="D630" s="35"/>
      <c r="E630" s="30"/>
    </row>
    <row r="631" spans="1:7" x14ac:dyDescent="0.25">
      <c r="A631" s="29"/>
      <c r="B631" s="47"/>
      <c r="C631" s="34"/>
      <c r="D631" s="35"/>
      <c r="E631" s="30"/>
    </row>
    <row r="632" spans="1:7" x14ac:dyDescent="0.25">
      <c r="A632" s="29"/>
      <c r="B632" s="47"/>
      <c r="C632" s="34"/>
      <c r="D632" s="35"/>
      <c r="E632" s="30"/>
    </row>
    <row r="633" spans="1:7" x14ac:dyDescent="0.25">
      <c r="A633" s="29"/>
      <c r="B633" s="47"/>
      <c r="C633" s="34"/>
      <c r="D633" s="35"/>
      <c r="E633" s="30"/>
    </row>
    <row r="634" spans="1:7" x14ac:dyDescent="0.25">
      <c r="A634" s="29"/>
      <c r="B634" s="47"/>
      <c r="C634" s="34"/>
      <c r="D634" s="35"/>
      <c r="E634" s="30"/>
    </row>
    <row r="635" spans="1:7" x14ac:dyDescent="0.25">
      <c r="A635" s="29"/>
      <c r="B635" s="47"/>
      <c r="C635" s="34"/>
      <c r="D635" s="35"/>
      <c r="E635" s="30"/>
    </row>
    <row r="636" spans="1:7" x14ac:dyDescent="0.25">
      <c r="A636" s="29"/>
      <c r="B636" s="47"/>
      <c r="C636" s="34"/>
      <c r="D636" s="35"/>
      <c r="E636" s="30"/>
    </row>
    <row r="637" spans="1:7" x14ac:dyDescent="0.25">
      <c r="A637" s="29"/>
      <c r="B637" s="47"/>
      <c r="C637" s="34"/>
      <c r="D637" s="35"/>
      <c r="E637" s="30"/>
    </row>
    <row r="638" spans="1:7" x14ac:dyDescent="0.25">
      <c r="A638" s="29"/>
      <c r="B638" s="47"/>
      <c r="C638" s="34"/>
      <c r="D638" s="35"/>
      <c r="E638" s="30"/>
    </row>
    <row r="639" spans="1:7" x14ac:dyDescent="0.25">
      <c r="A639" s="29"/>
      <c r="B639" s="47"/>
      <c r="C639" s="34"/>
      <c r="D639" s="35"/>
      <c r="E639" s="30"/>
    </row>
    <row r="640" spans="1:7" x14ac:dyDescent="0.25">
      <c r="A640" s="29"/>
      <c r="B640" s="47"/>
      <c r="C640" s="34"/>
      <c r="D640" s="35"/>
      <c r="E640" s="30"/>
    </row>
    <row r="641" spans="1:5" x14ac:dyDescent="0.25">
      <c r="A641" s="29"/>
      <c r="B641" s="47"/>
      <c r="C641" s="34"/>
      <c r="D641" s="35"/>
      <c r="E641" s="30"/>
    </row>
    <row r="642" spans="1:5" x14ac:dyDescent="0.25">
      <c r="A642" s="29"/>
      <c r="B642" s="47"/>
      <c r="C642" s="34"/>
      <c r="D642" s="35"/>
      <c r="E642" s="30"/>
    </row>
    <row r="643" spans="1:5" x14ac:dyDescent="0.25">
      <c r="A643" s="29"/>
      <c r="B643" s="47"/>
      <c r="C643" s="34"/>
      <c r="D643" s="35"/>
      <c r="E643" s="30"/>
    </row>
    <row r="644" spans="1:5" x14ac:dyDescent="0.25">
      <c r="A644" s="29"/>
      <c r="B644" s="47"/>
      <c r="C644" s="34"/>
      <c r="D644" s="35"/>
      <c r="E644" s="30"/>
    </row>
    <row r="645" spans="1:5" x14ac:dyDescent="0.25">
      <c r="A645" s="29"/>
      <c r="B645" s="47"/>
      <c r="C645" s="34"/>
      <c r="D645" s="35"/>
      <c r="E645" s="30"/>
    </row>
    <row r="646" spans="1:5" x14ac:dyDescent="0.25">
      <c r="A646" s="29"/>
      <c r="B646" s="47"/>
      <c r="C646" s="34"/>
      <c r="D646" s="35"/>
      <c r="E646" s="30"/>
    </row>
    <row r="647" spans="1:5" x14ac:dyDescent="0.25">
      <c r="A647" s="29"/>
      <c r="B647" s="47"/>
      <c r="C647" s="34"/>
      <c r="D647" s="35"/>
      <c r="E647" s="30"/>
    </row>
    <row r="648" spans="1:5" x14ac:dyDescent="0.25">
      <c r="A648" s="29"/>
      <c r="B648" s="47"/>
      <c r="C648" s="34"/>
      <c r="D648" s="35"/>
      <c r="E648" s="30"/>
    </row>
    <row r="649" spans="1:5" x14ac:dyDescent="0.25">
      <c r="A649" s="29"/>
      <c r="B649" s="47"/>
      <c r="C649" s="34"/>
      <c r="D649" s="35"/>
      <c r="E649" s="30"/>
    </row>
    <row r="650" spans="1:5" x14ac:dyDescent="0.25">
      <c r="A650" s="29"/>
      <c r="B650" s="47"/>
      <c r="C650" s="34"/>
      <c r="D650" s="35"/>
      <c r="E650" s="30"/>
    </row>
    <row r="651" spans="1:5" x14ac:dyDescent="0.25">
      <c r="A651" s="29"/>
      <c r="B651" s="47"/>
      <c r="C651" s="34"/>
      <c r="D651" s="35"/>
      <c r="E651" s="30"/>
    </row>
    <row r="652" spans="1:5" x14ac:dyDescent="0.25">
      <c r="A652" s="29"/>
      <c r="B652" s="47"/>
      <c r="C652" s="34"/>
      <c r="D652" s="35"/>
      <c r="E652" s="30"/>
    </row>
    <row r="653" spans="1:5" x14ac:dyDescent="0.25">
      <c r="A653" s="29"/>
      <c r="B653" s="47"/>
      <c r="C653" s="34"/>
      <c r="D653" s="35"/>
      <c r="E653" s="30"/>
    </row>
    <row r="654" spans="1:5" x14ac:dyDescent="0.25">
      <c r="A654" s="29"/>
      <c r="B654" s="47"/>
      <c r="C654" s="34"/>
      <c r="D654" s="35"/>
      <c r="E654" s="30"/>
    </row>
    <row r="655" spans="1:5" x14ac:dyDescent="0.25">
      <c r="A655" s="29"/>
      <c r="B655" s="47"/>
      <c r="C655" s="34"/>
      <c r="D655" s="35"/>
      <c r="E655" s="30"/>
    </row>
    <row r="656" spans="1:5" x14ac:dyDescent="0.25">
      <c r="A656" s="29"/>
      <c r="B656" s="47"/>
      <c r="C656" s="34"/>
      <c r="D656" s="35"/>
      <c r="E656" s="30"/>
    </row>
    <row r="657" spans="1:5" x14ac:dyDescent="0.25">
      <c r="A657" s="29"/>
      <c r="B657" s="47"/>
      <c r="C657" s="34"/>
      <c r="D657" s="35"/>
      <c r="E657" s="30"/>
    </row>
    <row r="658" spans="1:5" x14ac:dyDescent="0.25">
      <c r="A658" s="29"/>
      <c r="B658" s="47"/>
      <c r="C658" s="34"/>
      <c r="D658" s="35"/>
      <c r="E658" s="30"/>
    </row>
    <row r="659" spans="1:5" x14ac:dyDescent="0.25">
      <c r="A659" s="29"/>
      <c r="B659" s="47"/>
      <c r="C659" s="34"/>
      <c r="D659" s="35"/>
      <c r="E659" s="30"/>
    </row>
    <row r="660" spans="1:5" x14ac:dyDescent="0.25">
      <c r="A660" s="29"/>
      <c r="B660" s="47"/>
      <c r="C660" s="34"/>
      <c r="D660" s="35"/>
      <c r="E660" s="30"/>
    </row>
    <row r="661" spans="1:5" x14ac:dyDescent="0.25">
      <c r="A661" s="29"/>
      <c r="B661" s="47"/>
      <c r="C661" s="34"/>
      <c r="D661" s="35"/>
      <c r="E661" s="30"/>
    </row>
    <row r="662" spans="1:5" x14ac:dyDescent="0.25">
      <c r="A662" s="29"/>
      <c r="B662" s="47"/>
      <c r="C662" s="34"/>
      <c r="D662" s="35"/>
      <c r="E662" s="30"/>
    </row>
    <row r="663" spans="1:5" x14ac:dyDescent="0.25">
      <c r="A663" s="29"/>
      <c r="B663" s="47"/>
      <c r="C663" s="34"/>
      <c r="D663" s="35"/>
      <c r="E663" s="30"/>
    </row>
    <row r="664" spans="1:5" x14ac:dyDescent="0.25">
      <c r="A664" s="29"/>
      <c r="B664" s="46"/>
      <c r="C664" s="34"/>
      <c r="D664" s="35"/>
      <c r="E664" s="30"/>
    </row>
    <row r="665" spans="1:5" x14ac:dyDescent="0.25">
      <c r="A665" s="29"/>
      <c r="B665" s="46"/>
      <c r="C665" s="34"/>
      <c r="D665" s="35"/>
      <c r="E665" s="30"/>
    </row>
    <row r="666" spans="1:5" x14ac:dyDescent="0.25">
      <c r="A666" s="29"/>
      <c r="B666" s="46"/>
      <c r="C666" s="34"/>
      <c r="D666" s="35"/>
      <c r="E666" s="30"/>
    </row>
    <row r="667" spans="1:5" x14ac:dyDescent="0.25">
      <c r="A667" s="29"/>
      <c r="B667" s="46"/>
      <c r="C667" s="34"/>
      <c r="D667" s="35"/>
      <c r="E667" s="30"/>
    </row>
    <row r="668" spans="1:5" x14ac:dyDescent="0.25">
      <c r="A668" s="29"/>
      <c r="B668" s="46"/>
      <c r="C668" s="34"/>
      <c r="D668" s="35"/>
      <c r="E668" s="30"/>
    </row>
    <row r="669" spans="1:5" x14ac:dyDescent="0.25">
      <c r="A669" s="29"/>
      <c r="B669" s="47"/>
      <c r="C669" s="34"/>
      <c r="D669" s="35"/>
      <c r="E669" s="30"/>
    </row>
    <row r="670" spans="1:5" x14ac:dyDescent="0.25">
      <c r="A670" s="29"/>
      <c r="B670" s="46"/>
      <c r="C670" s="34"/>
      <c r="D670" s="35"/>
      <c r="E670" s="30"/>
    </row>
    <row r="671" spans="1:5" x14ac:dyDescent="0.25">
      <c r="A671" s="29"/>
      <c r="B671" s="46"/>
      <c r="C671" s="34"/>
      <c r="D671" s="35"/>
      <c r="E671" s="30"/>
    </row>
    <row r="672" spans="1:5" x14ac:dyDescent="0.25">
      <c r="A672" s="29"/>
      <c r="B672" s="46"/>
      <c r="C672" s="34"/>
      <c r="D672" s="35"/>
      <c r="E672" s="30"/>
    </row>
    <row r="673" spans="1:5" x14ac:dyDescent="0.25">
      <c r="A673" s="29"/>
      <c r="B673" s="46"/>
      <c r="C673" s="34"/>
      <c r="D673" s="35"/>
      <c r="E673" s="30"/>
    </row>
    <row r="674" spans="1:5" x14ac:dyDescent="0.25">
      <c r="A674" s="29"/>
      <c r="B674" s="46"/>
      <c r="C674" s="34"/>
      <c r="D674" s="35"/>
      <c r="E674" s="30"/>
    </row>
    <row r="675" spans="1:5" x14ac:dyDescent="0.25">
      <c r="A675" s="29"/>
      <c r="B675" s="46"/>
      <c r="C675" s="34"/>
      <c r="D675" s="35"/>
      <c r="E675" s="30"/>
    </row>
    <row r="676" spans="1:5" x14ac:dyDescent="0.25">
      <c r="A676" s="29"/>
      <c r="B676" s="47"/>
      <c r="C676" s="34"/>
      <c r="D676" s="35"/>
      <c r="E676" s="30"/>
    </row>
    <row r="677" spans="1:5" x14ac:dyDescent="0.25">
      <c r="A677" s="29"/>
      <c r="B677" s="46"/>
      <c r="C677" s="34"/>
      <c r="D677" s="35"/>
      <c r="E677" s="30"/>
    </row>
    <row r="678" spans="1:5" x14ac:dyDescent="0.25">
      <c r="A678" s="29"/>
      <c r="B678" s="46"/>
      <c r="C678" s="34"/>
      <c r="D678" s="35"/>
      <c r="E678" s="30"/>
    </row>
    <row r="679" spans="1:5" x14ac:dyDescent="0.25">
      <c r="A679" s="29"/>
      <c r="B679" s="46"/>
      <c r="C679" s="34"/>
      <c r="D679" s="35"/>
      <c r="E679" s="30"/>
    </row>
    <row r="680" spans="1:5" x14ac:dyDescent="0.25">
      <c r="A680" s="29"/>
      <c r="B680" s="46"/>
      <c r="C680" s="34"/>
      <c r="D680" s="35"/>
      <c r="E680" s="30"/>
    </row>
    <row r="681" spans="1:5" x14ac:dyDescent="0.25">
      <c r="A681" s="29"/>
      <c r="B681" s="46"/>
      <c r="C681" s="34"/>
      <c r="D681" s="35"/>
      <c r="E681" s="30"/>
    </row>
    <row r="682" spans="1:5" x14ac:dyDescent="0.25">
      <c r="A682" s="29"/>
      <c r="B682" s="46"/>
      <c r="C682" s="34"/>
      <c r="D682" s="35"/>
      <c r="E682" s="30"/>
    </row>
    <row r="683" spans="1:5" x14ac:dyDescent="0.25">
      <c r="A683" s="29"/>
      <c r="B683" s="46"/>
      <c r="C683" s="34"/>
      <c r="D683" s="35"/>
      <c r="E683" s="30"/>
    </row>
    <row r="684" spans="1:5" x14ac:dyDescent="0.25">
      <c r="A684" s="29"/>
      <c r="B684" s="46"/>
      <c r="C684" s="34"/>
      <c r="D684" s="35"/>
      <c r="E684" s="30"/>
    </row>
    <row r="685" spans="1:5" x14ac:dyDescent="0.25">
      <c r="A685" s="29"/>
      <c r="B685" s="46"/>
      <c r="C685" s="34"/>
      <c r="D685" s="35"/>
      <c r="E685" s="30"/>
    </row>
    <row r="686" spans="1:5" x14ac:dyDescent="0.25">
      <c r="A686" s="29"/>
      <c r="B686" s="46"/>
      <c r="C686" s="34"/>
      <c r="D686" s="35"/>
      <c r="E686" s="30"/>
    </row>
    <row r="687" spans="1:5" x14ac:dyDescent="0.25">
      <c r="A687" s="29"/>
      <c r="B687" s="46"/>
      <c r="C687" s="34"/>
      <c r="D687" s="35"/>
      <c r="E687" s="30"/>
    </row>
    <row r="688" spans="1:5" x14ac:dyDescent="0.25">
      <c r="A688" s="29"/>
      <c r="B688" s="46"/>
      <c r="C688" s="34"/>
      <c r="D688" s="35"/>
      <c r="E688" s="30"/>
    </row>
    <row r="689" spans="1:5" x14ac:dyDescent="0.25">
      <c r="A689" s="29"/>
      <c r="B689" s="46"/>
      <c r="C689" s="34"/>
      <c r="D689" s="35"/>
      <c r="E689" s="30"/>
    </row>
    <row r="690" spans="1:5" x14ac:dyDescent="0.25">
      <c r="A690" s="29"/>
      <c r="B690" s="46"/>
      <c r="C690" s="34"/>
      <c r="D690" s="35"/>
      <c r="E690" s="30"/>
    </row>
    <row r="691" spans="1:5" x14ac:dyDescent="0.25">
      <c r="A691" s="29"/>
      <c r="B691" s="46"/>
      <c r="C691" s="34"/>
      <c r="D691" s="35"/>
      <c r="E691" s="30"/>
    </row>
    <row r="692" spans="1:5" x14ac:dyDescent="0.25">
      <c r="A692" s="29"/>
      <c r="B692" s="46"/>
      <c r="C692" s="34"/>
      <c r="D692" s="35"/>
      <c r="E692" s="30"/>
    </row>
    <row r="693" spans="1:5" x14ac:dyDescent="0.25">
      <c r="A693" s="29"/>
      <c r="B693" s="46"/>
      <c r="C693" s="34"/>
      <c r="D693" s="35"/>
      <c r="E693" s="30"/>
    </row>
    <row r="694" spans="1:5" x14ac:dyDescent="0.25">
      <c r="A694" s="29"/>
      <c r="B694" s="46"/>
      <c r="C694" s="34"/>
      <c r="D694" s="35"/>
      <c r="E694" s="30"/>
    </row>
    <row r="695" spans="1:5" x14ac:dyDescent="0.25">
      <c r="A695" s="29"/>
      <c r="B695" s="46"/>
      <c r="C695" s="34"/>
      <c r="D695" s="35"/>
      <c r="E695" s="30"/>
    </row>
    <row r="696" spans="1:5" x14ac:dyDescent="0.25">
      <c r="A696" s="29"/>
      <c r="B696" s="46"/>
      <c r="C696" s="34"/>
      <c r="D696" s="35"/>
      <c r="E696" s="30"/>
    </row>
    <row r="697" spans="1:5" x14ac:dyDescent="0.25">
      <c r="A697" s="29"/>
      <c r="B697" s="46"/>
      <c r="C697" s="34"/>
      <c r="D697" s="35"/>
      <c r="E697" s="30"/>
    </row>
    <row r="698" spans="1:5" x14ac:dyDescent="0.25">
      <c r="A698" s="29"/>
      <c r="B698" s="46"/>
      <c r="C698" s="34"/>
      <c r="D698" s="35"/>
      <c r="E698" s="30"/>
    </row>
    <row r="699" spans="1:5" x14ac:dyDescent="0.25">
      <c r="A699" s="29"/>
      <c r="B699" s="46"/>
      <c r="C699" s="34"/>
      <c r="D699" s="35"/>
      <c r="E699" s="30"/>
    </row>
    <row r="700" spans="1:5" x14ac:dyDescent="0.25">
      <c r="A700" s="29"/>
      <c r="B700" s="46"/>
      <c r="C700" s="47"/>
      <c r="D700" s="35"/>
      <c r="E700" s="30"/>
    </row>
    <row r="701" spans="1:5" x14ac:dyDescent="0.25">
      <c r="A701" s="29"/>
      <c r="B701" s="46"/>
      <c r="C701" s="34"/>
      <c r="D701" s="35"/>
      <c r="E701" s="30"/>
    </row>
    <row r="702" spans="1:5" x14ac:dyDescent="0.25">
      <c r="A702" s="29"/>
      <c r="B702" s="46"/>
      <c r="C702" s="34"/>
      <c r="D702" s="35"/>
      <c r="E702" s="30"/>
    </row>
    <row r="703" spans="1:5" x14ac:dyDescent="0.25">
      <c r="A703" s="29"/>
      <c r="B703" s="46"/>
      <c r="C703" s="34"/>
      <c r="D703" s="35"/>
      <c r="E703" s="30"/>
    </row>
    <row r="704" spans="1:5" x14ac:dyDescent="0.25">
      <c r="A704" s="29"/>
      <c r="B704" s="46"/>
      <c r="C704" s="34"/>
      <c r="D704" s="35"/>
      <c r="E704" s="30"/>
    </row>
    <row r="705" spans="1:5" x14ac:dyDescent="0.25">
      <c r="A705" s="29"/>
      <c r="B705" s="46"/>
      <c r="C705" s="34"/>
      <c r="D705" s="35"/>
      <c r="E705" s="30"/>
    </row>
    <row r="706" spans="1:5" x14ac:dyDescent="0.25">
      <c r="A706" s="29"/>
      <c r="B706" s="46"/>
      <c r="C706" s="34"/>
      <c r="D706" s="35"/>
      <c r="E706" s="30"/>
    </row>
    <row r="707" spans="1:5" x14ac:dyDescent="0.25">
      <c r="A707" s="29"/>
      <c r="B707" s="46"/>
      <c r="C707" s="34"/>
      <c r="D707" s="35"/>
      <c r="E707" s="30"/>
    </row>
    <row r="708" spans="1:5" x14ac:dyDescent="0.25">
      <c r="A708" s="29"/>
      <c r="B708" s="46"/>
      <c r="C708" s="34"/>
      <c r="D708" s="35"/>
      <c r="E708" s="30"/>
    </row>
    <row r="709" spans="1:5" x14ac:dyDescent="0.25">
      <c r="A709" s="29"/>
      <c r="B709" s="46"/>
      <c r="C709" s="34"/>
      <c r="D709" s="35"/>
      <c r="E709" s="30"/>
    </row>
    <row r="710" spans="1:5" x14ac:dyDescent="0.25">
      <c r="A710" s="29"/>
      <c r="B710" s="46"/>
      <c r="C710" s="34"/>
      <c r="D710" s="35"/>
      <c r="E710" s="30"/>
    </row>
    <row r="711" spans="1:5" x14ac:dyDescent="0.25">
      <c r="A711" s="29"/>
      <c r="B711" s="32"/>
      <c r="C711" s="34"/>
      <c r="D711" s="35"/>
      <c r="E711" s="30"/>
    </row>
    <row r="712" spans="1:5" x14ac:dyDescent="0.25">
      <c r="A712" s="29"/>
      <c r="B712" s="46"/>
      <c r="C712" s="34"/>
      <c r="D712" s="35"/>
      <c r="E712" s="30"/>
    </row>
    <row r="713" spans="1:5" x14ac:dyDescent="0.25">
      <c r="A713" s="29"/>
      <c r="B713" s="46"/>
      <c r="C713" s="34"/>
      <c r="D713" s="35"/>
      <c r="E713" s="30"/>
    </row>
    <row r="714" spans="1:5" x14ac:dyDescent="0.25">
      <c r="A714" s="29"/>
      <c r="B714" s="46"/>
      <c r="C714" s="34"/>
      <c r="D714" s="35"/>
      <c r="E714" s="30"/>
    </row>
    <row r="715" spans="1:5" x14ac:dyDescent="0.25">
      <c r="A715" s="29"/>
      <c r="B715" s="46"/>
      <c r="C715" s="34"/>
      <c r="D715" s="35"/>
      <c r="E715" s="30"/>
    </row>
    <row r="716" spans="1:5" x14ac:dyDescent="0.25">
      <c r="A716" s="50"/>
      <c r="B716" s="51"/>
      <c r="C716" s="49"/>
      <c r="D716" s="35"/>
      <c r="E716" s="30"/>
    </row>
    <row r="717" spans="1:5" x14ac:dyDescent="0.25">
      <c r="A717" s="50"/>
      <c r="B717" s="46"/>
      <c r="C717" s="49"/>
      <c r="D717" s="35"/>
      <c r="E717" s="30"/>
    </row>
    <row r="718" spans="1:5" x14ac:dyDescent="0.25">
      <c r="A718" s="52"/>
      <c r="B718" s="46"/>
      <c r="C718" s="49"/>
      <c r="D718" s="35"/>
      <c r="E718" s="30"/>
    </row>
    <row r="719" spans="1:5" x14ac:dyDescent="0.25">
      <c r="A719" s="50"/>
      <c r="B719" s="46"/>
      <c r="C719" s="49"/>
      <c r="D719" s="35"/>
      <c r="E719" s="30"/>
    </row>
    <row r="720" spans="1:5" x14ac:dyDescent="0.25">
      <c r="A720" s="50"/>
      <c r="B720" s="46"/>
      <c r="C720" s="49"/>
      <c r="D720" s="35"/>
      <c r="E720" s="30"/>
    </row>
    <row r="721" spans="1:5" x14ac:dyDescent="0.25">
      <c r="A721" s="50"/>
      <c r="B721" s="46"/>
      <c r="C721" s="49"/>
      <c r="D721" s="35"/>
      <c r="E721" s="30"/>
    </row>
    <row r="722" spans="1:5" x14ac:dyDescent="0.25">
      <c r="A722" s="50"/>
      <c r="B722" s="46"/>
      <c r="C722" s="49"/>
      <c r="D722" s="35"/>
      <c r="E722" s="30"/>
    </row>
    <row r="723" spans="1:5" x14ac:dyDescent="0.25">
      <c r="A723" s="50"/>
      <c r="B723" s="46"/>
      <c r="C723" s="49"/>
      <c r="D723" s="35"/>
      <c r="E723" s="30"/>
    </row>
    <row r="724" spans="1:5" x14ac:dyDescent="0.25">
      <c r="A724" s="50"/>
      <c r="B724" s="46"/>
      <c r="C724" s="49"/>
      <c r="D724" s="35"/>
      <c r="E724" s="53"/>
    </row>
    <row r="725" spans="1:5" x14ac:dyDescent="0.25">
      <c r="A725" s="50"/>
      <c r="B725" s="46"/>
      <c r="C725" s="49"/>
      <c r="D725" s="35"/>
      <c r="E725" s="53"/>
    </row>
    <row r="726" spans="1:5" x14ac:dyDescent="0.25">
      <c r="A726" s="50"/>
      <c r="B726" s="46"/>
      <c r="C726" s="49"/>
      <c r="D726" s="35"/>
      <c r="E726" s="53"/>
    </row>
    <row r="727" spans="1:5" x14ac:dyDescent="0.25">
      <c r="A727" s="50"/>
      <c r="B727" s="46"/>
      <c r="C727" s="49"/>
      <c r="D727" s="35"/>
      <c r="E727" s="53"/>
    </row>
    <row r="728" spans="1:5" x14ac:dyDescent="0.25">
      <c r="A728" s="50"/>
      <c r="B728" s="46"/>
      <c r="C728" s="49"/>
      <c r="D728" s="35"/>
      <c r="E728" s="53"/>
    </row>
    <row r="729" spans="1:5" x14ac:dyDescent="0.25">
      <c r="A729" s="50"/>
      <c r="B729" s="46"/>
      <c r="C729" s="49"/>
      <c r="D729" s="35"/>
      <c r="E729" s="53"/>
    </row>
    <row r="730" spans="1:5" x14ac:dyDescent="0.25">
      <c r="A730" s="50"/>
      <c r="B730" s="46"/>
      <c r="C730" s="49"/>
      <c r="D730" s="35"/>
      <c r="E730" s="53"/>
    </row>
    <row r="731" spans="1:5" x14ac:dyDescent="0.25">
      <c r="A731" s="50"/>
      <c r="B731" s="46"/>
      <c r="C731" s="49"/>
      <c r="D731" s="35"/>
      <c r="E731" s="53"/>
    </row>
    <row r="732" spans="1:5" x14ac:dyDescent="0.25">
      <c r="A732" s="50"/>
      <c r="B732" s="46"/>
      <c r="C732" s="49"/>
      <c r="D732" s="35"/>
      <c r="E732" s="53"/>
    </row>
    <row r="733" spans="1:5" x14ac:dyDescent="0.25">
      <c r="A733" s="50"/>
      <c r="B733" s="46"/>
      <c r="C733" s="49"/>
      <c r="D733" s="35"/>
      <c r="E733" s="53"/>
    </row>
    <row r="734" spans="1:5" x14ac:dyDescent="0.25">
      <c r="A734" s="50"/>
      <c r="B734" s="46"/>
      <c r="C734" s="49"/>
      <c r="D734" s="35"/>
      <c r="E734" s="53"/>
    </row>
    <row r="735" spans="1:5" x14ac:dyDescent="0.25">
      <c r="A735" s="50"/>
      <c r="B735" s="46"/>
      <c r="C735" s="49"/>
      <c r="D735" s="35"/>
      <c r="E735" s="53"/>
    </row>
    <row r="736" spans="1:5" x14ac:dyDescent="0.25">
      <c r="A736" s="50"/>
      <c r="B736" s="46"/>
      <c r="C736" s="49"/>
      <c r="D736" s="35"/>
      <c r="E736" s="53"/>
    </row>
    <row r="737" spans="1:5" x14ac:dyDescent="0.25">
      <c r="A737" s="50"/>
      <c r="B737" s="46"/>
      <c r="C737" s="49"/>
      <c r="D737" s="35"/>
      <c r="E737" s="53"/>
    </row>
    <row r="738" spans="1:5" x14ac:dyDescent="0.25">
      <c r="A738" s="50"/>
      <c r="B738" s="46"/>
      <c r="C738" s="49"/>
      <c r="D738" s="35"/>
      <c r="E738" s="53"/>
    </row>
    <row r="739" spans="1:5" x14ac:dyDescent="0.25">
      <c r="A739" s="50"/>
      <c r="B739" s="46"/>
      <c r="C739" s="49"/>
      <c r="D739" s="35"/>
      <c r="E739" s="53"/>
    </row>
    <row r="740" spans="1:5" x14ac:dyDescent="0.25">
      <c r="A740" s="50"/>
      <c r="B740" s="46"/>
      <c r="C740" s="49"/>
      <c r="D740" s="35"/>
      <c r="E740" s="53"/>
    </row>
    <row r="741" spans="1:5" x14ac:dyDescent="0.25">
      <c r="A741" s="50"/>
      <c r="B741" s="46"/>
      <c r="C741" s="49"/>
      <c r="D741" s="35"/>
      <c r="E741" s="53"/>
    </row>
    <row r="742" spans="1:5" x14ac:dyDescent="0.25">
      <c r="A742" s="50"/>
      <c r="B742" s="46"/>
      <c r="C742" s="49"/>
      <c r="D742" s="35"/>
      <c r="E742" s="53"/>
    </row>
    <row r="743" spans="1:5" x14ac:dyDescent="0.25">
      <c r="A743" s="50"/>
      <c r="B743" s="46"/>
      <c r="C743" s="49"/>
      <c r="D743" s="35"/>
      <c r="E743" s="53"/>
    </row>
    <row r="744" spans="1:5" x14ac:dyDescent="0.25">
      <c r="A744" s="50"/>
      <c r="B744" s="46"/>
      <c r="C744" s="49"/>
      <c r="D744" s="35"/>
      <c r="E744" s="53"/>
    </row>
    <row r="745" spans="1:5" x14ac:dyDescent="0.25">
      <c r="A745" s="50"/>
      <c r="B745" s="46"/>
      <c r="C745" s="49"/>
      <c r="D745" s="35"/>
      <c r="E745" s="53"/>
    </row>
    <row r="746" spans="1:5" x14ac:dyDescent="0.25">
      <c r="A746" s="50"/>
      <c r="B746" s="46"/>
      <c r="C746" s="49"/>
      <c r="D746" s="35"/>
      <c r="E746" s="53"/>
    </row>
    <row r="747" spans="1:5" x14ac:dyDescent="0.25">
      <c r="A747" s="50"/>
      <c r="B747" s="46"/>
      <c r="C747" s="49"/>
      <c r="D747" s="35"/>
      <c r="E747" s="53"/>
    </row>
    <row r="748" spans="1:5" x14ac:dyDescent="0.25">
      <c r="A748" s="50"/>
      <c r="B748" s="46"/>
      <c r="C748" s="49"/>
      <c r="D748" s="35"/>
      <c r="E748" s="53"/>
    </row>
    <row r="749" spans="1:5" x14ac:dyDescent="0.25">
      <c r="A749" s="50"/>
      <c r="B749" s="46"/>
      <c r="C749" s="49"/>
      <c r="D749" s="35"/>
      <c r="E749" s="53"/>
    </row>
    <row r="750" spans="1:5" x14ac:dyDescent="0.25">
      <c r="A750" s="50"/>
      <c r="B750" s="46"/>
      <c r="C750" s="49"/>
      <c r="D750" s="35"/>
      <c r="E750" s="53"/>
    </row>
    <row r="751" spans="1:5" x14ac:dyDescent="0.25">
      <c r="A751" s="50"/>
      <c r="B751" s="46"/>
      <c r="C751" s="49"/>
      <c r="D751" s="35"/>
      <c r="E751" s="53"/>
    </row>
    <row r="752" spans="1:5" x14ac:dyDescent="0.25">
      <c r="A752" s="50"/>
      <c r="B752" s="46"/>
      <c r="C752" s="49"/>
      <c r="D752" s="35"/>
      <c r="E752" s="53"/>
    </row>
    <row r="753" spans="1:5" x14ac:dyDescent="0.25">
      <c r="A753" s="50"/>
      <c r="B753" s="46"/>
      <c r="C753" s="49"/>
      <c r="D753" s="35"/>
      <c r="E753" s="53"/>
    </row>
    <row r="754" spans="1:5" x14ac:dyDescent="0.25">
      <c r="A754" s="50"/>
      <c r="B754" s="46"/>
      <c r="C754" s="49"/>
      <c r="D754" s="35"/>
      <c r="E754" s="53"/>
    </row>
    <row r="755" spans="1:5" x14ac:dyDescent="0.25">
      <c r="A755" s="50"/>
      <c r="B755" s="46"/>
      <c r="C755" s="49"/>
      <c r="D755" s="35"/>
      <c r="E755" s="53"/>
    </row>
    <row r="756" spans="1:5" x14ac:dyDescent="0.25">
      <c r="A756" s="50"/>
      <c r="B756" s="46"/>
      <c r="C756" s="49"/>
      <c r="D756" s="35"/>
      <c r="E756" s="53"/>
    </row>
    <row r="757" spans="1:5" x14ac:dyDescent="0.25">
      <c r="A757" s="50"/>
      <c r="B757" s="46"/>
      <c r="C757" s="49"/>
      <c r="D757" s="35"/>
      <c r="E757" s="53"/>
    </row>
    <row r="758" spans="1:5" x14ac:dyDescent="0.25">
      <c r="A758" s="50"/>
      <c r="B758" s="46"/>
      <c r="C758" s="49"/>
      <c r="D758" s="35"/>
      <c r="E758" s="53"/>
    </row>
    <row r="759" spans="1:5" x14ac:dyDescent="0.25">
      <c r="A759" s="50"/>
      <c r="B759" s="46"/>
      <c r="C759" s="49"/>
      <c r="D759" s="35"/>
      <c r="E759" s="53"/>
    </row>
    <row r="760" spans="1:5" x14ac:dyDescent="0.25">
      <c r="A760" s="50"/>
      <c r="B760" s="46"/>
      <c r="C760" s="49"/>
      <c r="D760" s="35"/>
      <c r="E760" s="53"/>
    </row>
    <row r="761" spans="1:5" x14ac:dyDescent="0.25">
      <c r="A761" s="50"/>
      <c r="B761" s="46"/>
      <c r="C761" s="49"/>
      <c r="D761" s="35"/>
      <c r="E761" s="53"/>
    </row>
    <row r="762" spans="1:5" x14ac:dyDescent="0.25">
      <c r="A762" s="50"/>
      <c r="B762" s="46"/>
      <c r="C762" s="49"/>
      <c r="D762" s="35"/>
      <c r="E762" s="53"/>
    </row>
    <row r="763" spans="1:5" x14ac:dyDescent="0.25">
      <c r="A763" s="50"/>
      <c r="B763" s="46"/>
      <c r="C763" s="49"/>
      <c r="D763" s="35"/>
      <c r="E763" s="53"/>
    </row>
    <row r="764" spans="1:5" x14ac:dyDescent="0.25">
      <c r="A764" s="50"/>
      <c r="B764" s="32"/>
      <c r="C764" s="49"/>
      <c r="D764" s="35"/>
      <c r="E764" s="53"/>
    </row>
    <row r="765" spans="1:5" x14ac:dyDescent="0.25">
      <c r="A765" s="50"/>
      <c r="B765" s="46"/>
      <c r="C765" s="49"/>
      <c r="D765" s="35"/>
      <c r="E765" s="53"/>
    </row>
    <row r="766" spans="1:5" x14ac:dyDescent="0.25">
      <c r="A766" s="50"/>
      <c r="B766" s="46"/>
      <c r="C766" s="49"/>
      <c r="D766" s="35"/>
      <c r="E766" s="53"/>
    </row>
    <row r="767" spans="1:5" x14ac:dyDescent="0.25">
      <c r="A767" s="50"/>
      <c r="B767" s="46"/>
      <c r="C767" s="49"/>
      <c r="D767" s="35"/>
      <c r="E767" s="53"/>
    </row>
    <row r="768" spans="1:5" x14ac:dyDescent="0.25">
      <c r="A768" s="54"/>
      <c r="B768" s="55"/>
      <c r="C768" s="56"/>
      <c r="D768" s="35"/>
      <c r="E768" s="53"/>
    </row>
    <row r="769" spans="1:7" ht="47.25" customHeight="1" x14ac:dyDescent="0.25">
      <c r="A769" s="54"/>
      <c r="B769" s="55"/>
      <c r="C769" s="56"/>
      <c r="D769" s="35"/>
      <c r="E769" s="53"/>
    </row>
    <row r="770" spans="1:7" x14ac:dyDescent="0.25">
      <c r="A770" s="54"/>
      <c r="B770" s="55"/>
      <c r="C770" s="56"/>
      <c r="D770" s="35"/>
      <c r="E770" s="53"/>
    </row>
    <row r="771" spans="1:7" x14ac:dyDescent="0.25">
      <c r="A771" s="54"/>
      <c r="B771" s="55"/>
      <c r="C771" s="56"/>
      <c r="D771" s="35"/>
      <c r="E771" s="53"/>
    </row>
    <row r="772" spans="1:7" x14ac:dyDescent="0.25">
      <c r="A772" s="54"/>
      <c r="B772" s="55"/>
      <c r="C772" s="56"/>
      <c r="D772" s="35"/>
      <c r="E772" s="53"/>
    </row>
    <row r="773" spans="1:7" x14ac:dyDescent="0.25">
      <c r="A773" s="54"/>
      <c r="B773" s="55"/>
      <c r="C773" s="56"/>
      <c r="D773" s="35"/>
      <c r="E773" s="53"/>
    </row>
    <row r="774" spans="1:7" x14ac:dyDescent="0.25">
      <c r="A774" s="54"/>
      <c r="B774" s="55"/>
      <c r="C774" s="56"/>
      <c r="D774" s="57"/>
      <c r="E774" s="53"/>
    </row>
    <row r="775" spans="1:7" x14ac:dyDescent="0.25">
      <c r="A775" s="54"/>
      <c r="B775" s="55"/>
      <c r="C775" s="56"/>
      <c r="D775" s="57"/>
      <c r="E775" s="53"/>
    </row>
    <row r="776" spans="1:7" x14ac:dyDescent="0.25">
      <c r="A776" s="54"/>
      <c r="B776" s="55"/>
      <c r="C776" s="56"/>
      <c r="D776" s="57"/>
      <c r="E776" s="58"/>
    </row>
    <row r="777" spans="1:7" x14ac:dyDescent="0.25">
      <c r="A777" s="54"/>
      <c r="B777" s="55"/>
      <c r="C777" s="56"/>
      <c r="D777" s="57"/>
      <c r="E777" s="58"/>
    </row>
    <row r="778" spans="1:7" x14ac:dyDescent="0.25">
      <c r="A778" s="54"/>
      <c r="B778" s="55"/>
      <c r="C778" s="56"/>
      <c r="D778" s="57"/>
      <c r="E778" s="58"/>
    </row>
    <row r="779" spans="1:7" x14ac:dyDescent="0.25">
      <c r="A779" s="54"/>
      <c r="B779" s="55"/>
      <c r="C779" s="56"/>
      <c r="D779" s="57"/>
      <c r="E779" s="58"/>
    </row>
    <row r="780" spans="1:7" x14ac:dyDescent="0.25">
      <c r="A780" s="54"/>
      <c r="B780" s="55"/>
      <c r="C780" s="56"/>
      <c r="D780" s="57"/>
      <c r="E780" s="58"/>
    </row>
    <row r="781" spans="1:7" x14ac:dyDescent="0.25">
      <c r="A781" s="54"/>
      <c r="B781" s="55"/>
      <c r="C781" s="56"/>
      <c r="D781" s="57"/>
      <c r="E781" s="58"/>
      <c r="F781" s="59"/>
    </row>
    <row r="782" spans="1:7" x14ac:dyDescent="0.25">
      <c r="A782" s="54"/>
      <c r="B782" s="55"/>
      <c r="C782" s="56"/>
      <c r="D782" s="57"/>
      <c r="E782" s="58"/>
      <c r="G782" s="59"/>
    </row>
    <row r="783" spans="1:7" x14ac:dyDescent="0.25">
      <c r="A783" s="54"/>
      <c r="B783" s="55"/>
      <c r="C783" s="56"/>
      <c r="D783" s="57"/>
      <c r="E783" s="58"/>
    </row>
    <row r="784" spans="1:7" x14ac:dyDescent="0.25">
      <c r="A784" s="54"/>
      <c r="B784" s="55"/>
      <c r="C784" s="56"/>
      <c r="D784" s="57"/>
      <c r="E784" s="58"/>
    </row>
    <row r="785" spans="1:5" x14ac:dyDescent="0.25">
      <c r="A785" s="54"/>
      <c r="B785" s="55"/>
      <c r="C785" s="56"/>
      <c r="D785" s="57"/>
      <c r="E785" s="58"/>
    </row>
    <row r="786" spans="1:5" x14ac:dyDescent="0.25">
      <c r="A786" s="54"/>
      <c r="B786" s="55"/>
      <c r="C786" s="56"/>
      <c r="D786" s="57"/>
      <c r="E786" s="58"/>
    </row>
    <row r="787" spans="1:5" x14ac:dyDescent="0.25">
      <c r="A787" s="54"/>
      <c r="B787" s="55"/>
      <c r="C787" s="56"/>
      <c r="D787" s="57"/>
      <c r="E787" s="58"/>
    </row>
    <row r="788" spans="1:5" x14ac:dyDescent="0.25">
      <c r="A788" s="54"/>
      <c r="B788" s="55"/>
      <c r="C788" s="56"/>
      <c r="D788" s="57"/>
      <c r="E788" s="58"/>
    </row>
    <row r="789" spans="1:5" x14ac:dyDescent="0.25">
      <c r="A789" s="54"/>
      <c r="B789" s="55"/>
      <c r="C789" s="56"/>
      <c r="D789" s="57"/>
      <c r="E789" s="58"/>
    </row>
    <row r="790" spans="1:5" x14ac:dyDescent="0.25">
      <c r="A790" s="54"/>
      <c r="B790" s="55"/>
      <c r="C790" s="56"/>
      <c r="D790" s="57"/>
      <c r="E790" s="58"/>
    </row>
    <row r="791" spans="1:5" x14ac:dyDescent="0.25">
      <c r="A791" s="54"/>
      <c r="B791" s="55"/>
      <c r="C791" s="56"/>
      <c r="D791" s="57"/>
      <c r="E791" s="58"/>
    </row>
    <row r="792" spans="1:5" x14ac:dyDescent="0.25">
      <c r="A792" s="54"/>
      <c r="B792" s="55"/>
      <c r="C792" s="57"/>
      <c r="D792" s="57"/>
      <c r="E792" s="58"/>
    </row>
    <row r="793" spans="1:5" x14ac:dyDescent="0.25">
      <c r="A793" s="54"/>
      <c r="B793" s="55"/>
      <c r="C793" s="57"/>
      <c r="D793" s="57"/>
      <c r="E793" s="58"/>
    </row>
    <row r="794" spans="1:5" x14ac:dyDescent="0.25">
      <c r="A794" s="54"/>
      <c r="B794" s="55"/>
      <c r="C794" s="57"/>
      <c r="D794" s="57"/>
      <c r="E794" s="58"/>
    </row>
    <row r="795" spans="1:5" x14ac:dyDescent="0.25">
      <c r="A795" s="54"/>
      <c r="B795" s="60"/>
      <c r="C795" s="57"/>
      <c r="D795" s="57"/>
      <c r="E795" s="58"/>
    </row>
    <row r="796" spans="1:5" x14ac:dyDescent="0.25">
      <c r="A796" s="54"/>
      <c r="B796" s="60"/>
      <c r="C796" s="57"/>
      <c r="D796" s="57"/>
      <c r="E796" s="58"/>
    </row>
    <row r="797" spans="1:5" x14ac:dyDescent="0.25">
      <c r="A797" s="54"/>
      <c r="B797" s="55"/>
      <c r="C797" s="57"/>
      <c r="D797" s="57"/>
      <c r="E797" s="58"/>
    </row>
    <row r="798" spans="1:5" x14ac:dyDescent="0.25">
      <c r="A798" s="54"/>
      <c r="B798" s="60"/>
      <c r="C798" s="57"/>
      <c r="D798" s="57"/>
      <c r="E798" s="58"/>
    </row>
    <row r="799" spans="1:5" x14ac:dyDescent="0.25">
      <c r="A799" s="54"/>
      <c r="B799" s="55"/>
      <c r="C799" s="57"/>
      <c r="D799" s="57"/>
      <c r="E799" s="58"/>
    </row>
    <row r="800" spans="1:5" x14ac:dyDescent="0.25">
      <c r="A800" s="54"/>
      <c r="B800" s="55"/>
      <c r="C800" s="57"/>
      <c r="D800" s="57"/>
      <c r="E800" s="53"/>
    </row>
    <row r="801" spans="1:5" x14ac:dyDescent="0.25">
      <c r="A801" s="54"/>
      <c r="B801" s="55"/>
      <c r="C801" s="57"/>
      <c r="D801" s="57"/>
      <c r="E801" s="53"/>
    </row>
    <row r="802" spans="1:5" x14ac:dyDescent="0.25">
      <c r="A802" s="54"/>
      <c r="B802" s="60"/>
      <c r="C802" s="57"/>
      <c r="D802" s="57"/>
      <c r="E802" s="53"/>
    </row>
    <row r="803" spans="1:5" x14ac:dyDescent="0.25">
      <c r="A803" s="54"/>
      <c r="B803" s="55"/>
      <c r="C803" s="57"/>
      <c r="D803" s="57"/>
      <c r="E803" s="53"/>
    </row>
    <row r="804" spans="1:5" x14ac:dyDescent="0.25">
      <c r="A804" s="54"/>
      <c r="B804" s="55"/>
      <c r="C804" s="57"/>
      <c r="D804" s="57"/>
      <c r="E804" s="53"/>
    </row>
    <row r="805" spans="1:5" x14ac:dyDescent="0.25">
      <c r="A805" s="61"/>
      <c r="B805" s="55"/>
      <c r="C805" s="62"/>
      <c r="D805" s="57"/>
      <c r="E805" s="53"/>
    </row>
    <row r="806" spans="1:5" x14ac:dyDescent="0.25">
      <c r="A806" s="61"/>
      <c r="B806" s="55"/>
      <c r="C806" s="62"/>
      <c r="D806" s="57"/>
      <c r="E806" s="53"/>
    </row>
    <row r="807" spans="1:5" x14ac:dyDescent="0.25">
      <c r="A807" s="61"/>
      <c r="B807" s="55"/>
      <c r="C807" s="63"/>
      <c r="D807" s="57"/>
      <c r="E807" s="53"/>
    </row>
    <row r="808" spans="1:5" x14ac:dyDescent="0.25">
      <c r="A808" s="61"/>
      <c r="B808" s="55"/>
      <c r="C808" s="63"/>
      <c r="D808" s="57"/>
      <c r="E808" s="53"/>
    </row>
    <row r="809" spans="1:5" x14ac:dyDescent="0.25">
      <c r="A809" s="61"/>
      <c r="B809" s="55"/>
      <c r="C809" s="63"/>
      <c r="D809" s="57"/>
      <c r="E809" s="53"/>
    </row>
    <row r="810" spans="1:5" x14ac:dyDescent="0.25">
      <c r="A810" s="61"/>
      <c r="B810" s="55"/>
      <c r="C810" s="63"/>
      <c r="D810" s="57"/>
      <c r="E810" s="53"/>
    </row>
    <row r="811" spans="1:5" x14ac:dyDescent="0.25">
      <c r="A811" s="61"/>
      <c r="B811" s="55"/>
      <c r="C811" s="63"/>
      <c r="D811" s="62"/>
      <c r="E811" s="53"/>
    </row>
    <row r="812" spans="1:5" x14ac:dyDescent="0.25">
      <c r="A812" s="61"/>
      <c r="B812" s="55"/>
      <c r="C812" s="63"/>
      <c r="D812" s="62"/>
      <c r="E812" s="53"/>
    </row>
    <row r="813" spans="1:5" x14ac:dyDescent="0.25">
      <c r="A813" s="61"/>
      <c r="B813" s="55"/>
      <c r="C813" s="63"/>
      <c r="D813" s="62"/>
      <c r="E813" s="64"/>
    </row>
    <row r="814" spans="1:5" x14ac:dyDescent="0.25">
      <c r="A814" s="61"/>
      <c r="B814" s="55"/>
      <c r="C814" s="63"/>
      <c r="D814" s="62"/>
      <c r="E814" s="64"/>
    </row>
    <row r="815" spans="1:5" x14ac:dyDescent="0.25">
      <c r="A815" s="61"/>
      <c r="B815" s="55"/>
      <c r="C815" s="63"/>
      <c r="D815" s="62"/>
      <c r="E815" s="64"/>
    </row>
    <row r="816" spans="1:5" x14ac:dyDescent="0.25">
      <c r="A816" s="61"/>
      <c r="B816" s="55"/>
      <c r="C816" s="63"/>
      <c r="D816" s="62"/>
      <c r="E816" s="64"/>
    </row>
    <row r="817" spans="1:5" x14ac:dyDescent="0.25">
      <c r="A817" s="61"/>
      <c r="B817" s="55"/>
      <c r="C817" s="63"/>
      <c r="D817" s="62"/>
      <c r="E817" s="64"/>
    </row>
    <row r="818" spans="1:5" x14ac:dyDescent="0.25">
      <c r="A818" s="54"/>
      <c r="B818" s="55"/>
      <c r="C818" s="56"/>
      <c r="D818" s="62"/>
      <c r="E818" s="64"/>
    </row>
    <row r="819" spans="1:5" x14ac:dyDescent="0.25">
      <c r="A819" s="54"/>
      <c r="B819" s="55"/>
      <c r="C819" s="56"/>
      <c r="D819" s="62"/>
      <c r="E819" s="64"/>
    </row>
    <row r="820" spans="1:5" x14ac:dyDescent="0.25">
      <c r="A820" s="54"/>
      <c r="B820" s="55"/>
      <c r="C820" s="56"/>
      <c r="D820" s="62"/>
      <c r="E820" s="64"/>
    </row>
    <row r="821" spans="1:5" x14ac:dyDescent="0.25">
      <c r="A821" s="54"/>
      <c r="B821" s="55"/>
      <c r="C821" s="56"/>
      <c r="D821" s="62"/>
      <c r="E821" s="64"/>
    </row>
    <row r="822" spans="1:5" x14ac:dyDescent="0.25">
      <c r="A822" s="54"/>
      <c r="B822" s="55"/>
      <c r="C822" s="56"/>
      <c r="D822" s="62"/>
      <c r="E822" s="64"/>
    </row>
    <row r="823" spans="1:5" x14ac:dyDescent="0.25">
      <c r="A823" s="54"/>
      <c r="B823" s="55"/>
      <c r="C823" s="56"/>
      <c r="D823" s="62"/>
      <c r="E823" s="64"/>
    </row>
    <row r="824" spans="1:5" x14ac:dyDescent="0.25">
      <c r="A824" s="54"/>
      <c r="B824" s="55"/>
      <c r="C824" s="56"/>
      <c r="D824" s="62"/>
      <c r="E824" s="64"/>
    </row>
    <row r="825" spans="1:5" x14ac:dyDescent="0.25">
      <c r="A825" s="29"/>
      <c r="B825" s="46"/>
      <c r="C825" s="34"/>
      <c r="D825" s="62"/>
      <c r="E825" s="64"/>
    </row>
    <row r="826" spans="1:5" x14ac:dyDescent="0.25">
      <c r="A826" s="29"/>
      <c r="B826" s="46"/>
      <c r="C826" s="34"/>
      <c r="D826" s="62"/>
      <c r="E826" s="58"/>
    </row>
    <row r="827" spans="1:5" x14ac:dyDescent="0.25">
      <c r="A827" s="29"/>
      <c r="B827" s="46"/>
      <c r="C827" s="34"/>
      <c r="D827" s="62"/>
      <c r="E827" s="58"/>
    </row>
    <row r="828" spans="1:5" x14ac:dyDescent="0.25">
      <c r="A828" s="29"/>
      <c r="B828" s="46"/>
      <c r="C828" s="34"/>
      <c r="D828" s="62"/>
      <c r="E828" s="58"/>
    </row>
    <row r="829" spans="1:5" x14ac:dyDescent="0.25">
      <c r="A829" s="29"/>
      <c r="B829" s="46"/>
      <c r="C829" s="34"/>
      <c r="D829" s="62"/>
      <c r="E829" s="58"/>
    </row>
    <row r="830" spans="1:5" x14ac:dyDescent="0.25">
      <c r="A830" s="29"/>
      <c r="B830" s="46"/>
      <c r="C830" s="34"/>
      <c r="D830" s="62"/>
      <c r="E830" s="58"/>
    </row>
    <row r="831" spans="1:5" x14ac:dyDescent="0.25">
      <c r="A831" s="29"/>
      <c r="B831" s="46"/>
      <c r="C831" s="34"/>
      <c r="D831" s="65"/>
      <c r="E831" s="58"/>
    </row>
    <row r="832" spans="1:5" x14ac:dyDescent="0.25">
      <c r="A832" s="29"/>
      <c r="B832" s="46"/>
      <c r="C832" s="34"/>
      <c r="D832" s="65"/>
      <c r="E832" s="58"/>
    </row>
    <row r="833" spans="1:5" x14ac:dyDescent="0.25">
      <c r="A833" s="29"/>
      <c r="B833" s="46"/>
      <c r="C833" s="34"/>
      <c r="D833" s="65"/>
      <c r="E833" s="58"/>
    </row>
    <row r="834" spans="1:5" x14ac:dyDescent="0.25">
      <c r="A834" s="29"/>
      <c r="B834" s="46"/>
      <c r="C834" s="34"/>
      <c r="D834" s="65"/>
      <c r="E834" s="58"/>
    </row>
    <row r="835" spans="1:5" x14ac:dyDescent="0.25">
      <c r="A835" s="29"/>
      <c r="B835" s="46"/>
      <c r="C835" s="34"/>
      <c r="D835" s="65"/>
      <c r="E835" s="58"/>
    </row>
    <row r="836" spans="1:5" x14ac:dyDescent="0.25">
      <c r="A836" s="29"/>
      <c r="B836" s="46"/>
      <c r="C836" s="34"/>
      <c r="D836" s="65"/>
      <c r="E836" s="58"/>
    </row>
    <row r="837" spans="1:5" x14ac:dyDescent="0.25">
      <c r="A837" s="29"/>
      <c r="B837" s="46"/>
      <c r="C837" s="34"/>
      <c r="D837" s="65"/>
      <c r="E837" s="58"/>
    </row>
    <row r="838" spans="1:5" x14ac:dyDescent="0.25">
      <c r="A838" s="29"/>
      <c r="B838" s="46"/>
      <c r="C838" s="34"/>
      <c r="D838" s="65"/>
      <c r="E838" s="58"/>
    </row>
    <row r="839" spans="1:5" x14ac:dyDescent="0.25">
      <c r="A839" s="29"/>
      <c r="B839" s="46"/>
      <c r="C839" s="34"/>
      <c r="D839" s="65"/>
      <c r="E839" s="58"/>
    </row>
    <row r="840" spans="1:5" x14ac:dyDescent="0.25">
      <c r="A840" s="29"/>
      <c r="B840" s="46"/>
      <c r="C840" s="34"/>
      <c r="D840" s="65"/>
      <c r="E840" s="53"/>
    </row>
    <row r="841" spans="1:5" x14ac:dyDescent="0.25">
      <c r="A841" s="29"/>
      <c r="B841" s="46"/>
      <c r="C841" s="34"/>
      <c r="D841" s="65"/>
      <c r="E841" s="53"/>
    </row>
    <row r="842" spans="1:5" x14ac:dyDescent="0.25">
      <c r="A842" s="29"/>
      <c r="B842" s="46"/>
      <c r="C842" s="34"/>
      <c r="D842" s="65"/>
      <c r="E842" s="53"/>
    </row>
    <row r="843" spans="1:5" x14ac:dyDescent="0.25">
      <c r="A843" s="29"/>
      <c r="B843" s="46"/>
      <c r="C843" s="34"/>
      <c r="D843" s="65"/>
      <c r="E843" s="53"/>
    </row>
    <row r="844" spans="1:5" x14ac:dyDescent="0.25">
      <c r="A844" s="29"/>
      <c r="B844" s="46"/>
      <c r="C844" s="34"/>
      <c r="D844" s="65"/>
      <c r="E844" s="53"/>
    </row>
    <row r="845" spans="1:5" x14ac:dyDescent="0.25">
      <c r="A845" s="29"/>
      <c r="B845" s="47"/>
      <c r="C845" s="34"/>
      <c r="D845" s="65"/>
      <c r="E845" s="53"/>
    </row>
    <row r="846" spans="1:5" x14ac:dyDescent="0.25">
      <c r="A846" s="29"/>
      <c r="B846" s="46"/>
      <c r="C846" s="34"/>
      <c r="D846" s="65"/>
      <c r="E846" s="53"/>
    </row>
    <row r="847" spans="1:5" x14ac:dyDescent="0.25">
      <c r="A847" s="29"/>
      <c r="B847" s="46"/>
      <c r="C847" s="34"/>
      <c r="D847" s="65"/>
      <c r="E847" s="53"/>
    </row>
    <row r="848" spans="1:5" x14ac:dyDescent="0.25">
      <c r="A848" s="29"/>
      <c r="B848" s="46"/>
      <c r="C848" s="34"/>
      <c r="D848" s="65"/>
      <c r="E848" s="53"/>
    </row>
    <row r="849" spans="1:5" x14ac:dyDescent="0.25">
      <c r="A849" s="29"/>
      <c r="B849" s="46"/>
      <c r="C849" s="34"/>
      <c r="D849" s="65"/>
      <c r="E849" s="53"/>
    </row>
    <row r="850" spans="1:5" x14ac:dyDescent="0.25">
      <c r="A850" s="29"/>
      <c r="B850" s="46"/>
      <c r="C850" s="34"/>
      <c r="D850" s="65"/>
      <c r="E850" s="53"/>
    </row>
    <row r="851" spans="1:5" x14ac:dyDescent="0.25">
      <c r="A851" s="29"/>
      <c r="B851" s="46"/>
      <c r="C851" s="34"/>
      <c r="D851" s="65"/>
      <c r="E851" s="53"/>
    </row>
    <row r="852" spans="1:5" x14ac:dyDescent="0.25">
      <c r="A852" s="29"/>
      <c r="B852" s="46"/>
      <c r="C852" s="34"/>
      <c r="D852" s="65"/>
      <c r="E852" s="53"/>
    </row>
    <row r="853" spans="1:5" x14ac:dyDescent="0.25">
      <c r="A853" s="29"/>
      <c r="B853" s="47"/>
      <c r="C853" s="34"/>
      <c r="D853" s="65"/>
      <c r="E853" s="53"/>
    </row>
    <row r="854" spans="1:5" x14ac:dyDescent="0.25">
      <c r="A854" s="29"/>
      <c r="B854" s="46"/>
      <c r="C854" s="34"/>
      <c r="D854" s="65"/>
      <c r="E854" s="53"/>
    </row>
    <row r="855" spans="1:5" x14ac:dyDescent="0.25">
      <c r="A855" s="29"/>
      <c r="B855" s="46"/>
      <c r="C855" s="34"/>
      <c r="D855" s="65"/>
      <c r="E855" s="53"/>
    </row>
    <row r="856" spans="1:5" x14ac:dyDescent="0.25">
      <c r="A856" s="29"/>
      <c r="B856" s="46"/>
      <c r="C856" s="34"/>
      <c r="D856" s="65"/>
      <c r="E856" s="53"/>
    </row>
    <row r="857" spans="1:5" x14ac:dyDescent="0.25">
      <c r="A857" s="29"/>
      <c r="B857" s="46"/>
      <c r="C857" s="34"/>
      <c r="D857" s="65"/>
      <c r="E857" s="53"/>
    </row>
    <row r="858" spans="1:5" x14ac:dyDescent="0.25">
      <c r="A858" s="29"/>
      <c r="B858" s="46"/>
      <c r="C858" s="34"/>
      <c r="D858" s="65"/>
      <c r="E858" s="53"/>
    </row>
    <row r="859" spans="1:5" x14ac:dyDescent="0.25">
      <c r="A859" s="29"/>
      <c r="B859" s="46"/>
      <c r="C859" s="34"/>
      <c r="D859" s="65"/>
      <c r="E859" s="53"/>
    </row>
    <row r="860" spans="1:5" x14ac:dyDescent="0.25">
      <c r="A860" s="29"/>
      <c r="B860" s="46"/>
      <c r="C860" s="34"/>
      <c r="D860" s="65"/>
      <c r="E860" s="53"/>
    </row>
    <row r="861" spans="1:5" x14ac:dyDescent="0.25">
      <c r="A861" s="29"/>
      <c r="B861" s="46"/>
      <c r="C861" s="34"/>
      <c r="D861" s="65"/>
      <c r="E861" s="53"/>
    </row>
    <row r="862" spans="1:5" x14ac:dyDescent="0.25">
      <c r="A862" s="29"/>
      <c r="B862" s="46"/>
      <c r="C862" s="34"/>
      <c r="D862" s="65"/>
      <c r="E862" s="53"/>
    </row>
    <row r="863" spans="1:5" x14ac:dyDescent="0.25">
      <c r="A863" s="50"/>
      <c r="B863" s="66"/>
      <c r="C863" s="49"/>
      <c r="D863" s="65"/>
      <c r="E863" s="53"/>
    </row>
    <row r="864" spans="1:5" x14ac:dyDescent="0.25">
      <c r="A864" s="50"/>
      <c r="B864" s="46"/>
      <c r="C864" s="49"/>
      <c r="D864" s="65"/>
      <c r="E864" s="53"/>
    </row>
    <row r="865" spans="1:5" x14ac:dyDescent="0.25">
      <c r="A865" s="50"/>
      <c r="B865" s="46"/>
      <c r="C865" s="49"/>
      <c r="D865" s="65"/>
      <c r="E865" s="53"/>
    </row>
    <row r="866" spans="1:5" x14ac:dyDescent="0.25">
      <c r="A866" s="50"/>
      <c r="B866" s="46"/>
      <c r="C866" s="49"/>
      <c r="D866" s="65"/>
      <c r="E866" s="53"/>
    </row>
    <row r="867" spans="1:5" x14ac:dyDescent="0.25">
      <c r="A867" s="50"/>
      <c r="B867" s="46"/>
      <c r="C867" s="49"/>
      <c r="D867" s="65"/>
      <c r="E867" s="53"/>
    </row>
    <row r="868" spans="1:5" x14ac:dyDescent="0.25">
      <c r="A868" s="50"/>
      <c r="B868" s="46"/>
      <c r="C868" s="49"/>
      <c r="D868" s="65"/>
      <c r="E868" s="53"/>
    </row>
    <row r="869" spans="1:5" ht="13.5" customHeight="1" x14ac:dyDescent="0.25">
      <c r="A869" s="50"/>
      <c r="B869" s="46"/>
      <c r="C869" s="49"/>
      <c r="D869" s="65"/>
      <c r="E869" s="53"/>
    </row>
    <row r="870" spans="1:5" x14ac:dyDescent="0.25">
      <c r="A870" s="50"/>
      <c r="B870" s="46"/>
      <c r="C870" s="49"/>
      <c r="D870" s="65"/>
      <c r="E870" s="53"/>
    </row>
    <row r="871" spans="1:5" x14ac:dyDescent="0.25">
      <c r="A871" s="50"/>
      <c r="B871" s="46"/>
      <c r="C871" s="49"/>
      <c r="D871" s="65"/>
      <c r="E871" s="53"/>
    </row>
    <row r="872" spans="1:5" x14ac:dyDescent="0.25">
      <c r="A872" s="50"/>
      <c r="B872" s="46"/>
      <c r="C872" s="49"/>
      <c r="D872" s="65"/>
      <c r="E872" s="53"/>
    </row>
    <row r="873" spans="1:5" x14ac:dyDescent="0.25">
      <c r="A873" s="50"/>
      <c r="B873" s="46"/>
      <c r="C873" s="49"/>
      <c r="D873" s="65"/>
      <c r="E873" s="53"/>
    </row>
    <row r="874" spans="1:5" x14ac:dyDescent="0.25">
      <c r="A874" s="50"/>
      <c r="B874" s="51"/>
      <c r="C874" s="49"/>
      <c r="D874" s="65"/>
      <c r="E874" s="53"/>
    </row>
    <row r="875" spans="1:5" x14ac:dyDescent="0.25">
      <c r="A875" s="50"/>
      <c r="B875" s="51"/>
      <c r="C875" s="49"/>
      <c r="D875" s="65"/>
      <c r="E875" s="53"/>
    </row>
    <row r="876" spans="1:5" x14ac:dyDescent="0.25">
      <c r="A876" s="50"/>
      <c r="B876" s="51"/>
      <c r="C876" s="49"/>
      <c r="D876" s="65"/>
      <c r="E876" s="53"/>
    </row>
    <row r="877" spans="1:5" x14ac:dyDescent="0.25">
      <c r="A877" s="50"/>
      <c r="B877" s="51"/>
      <c r="C877" s="49"/>
      <c r="D877" s="65"/>
      <c r="E877" s="53"/>
    </row>
    <row r="878" spans="1:5" x14ac:dyDescent="0.25">
      <c r="A878" s="50"/>
      <c r="B878" s="51"/>
      <c r="C878" s="49"/>
      <c r="D878" s="65"/>
      <c r="E878" s="53"/>
    </row>
    <row r="879" spans="1:5" x14ac:dyDescent="0.25">
      <c r="A879" s="50"/>
      <c r="B879" s="51"/>
      <c r="C879" s="49"/>
      <c r="D879" s="65"/>
      <c r="E879" s="53"/>
    </row>
    <row r="880" spans="1:5" x14ac:dyDescent="0.25">
      <c r="A880" s="50"/>
      <c r="B880" s="51"/>
      <c r="C880" s="49"/>
      <c r="D880" s="65"/>
      <c r="E880" s="53"/>
    </row>
    <row r="881" spans="1:5" x14ac:dyDescent="0.25">
      <c r="A881" s="50"/>
      <c r="B881" s="51"/>
      <c r="C881" s="49"/>
      <c r="D881" s="65"/>
      <c r="E881" s="53"/>
    </row>
    <row r="882" spans="1:5" x14ac:dyDescent="0.25">
      <c r="A882" s="50"/>
      <c r="B882" s="51"/>
      <c r="C882" s="49"/>
      <c r="D882" s="65"/>
      <c r="E882" s="53"/>
    </row>
    <row r="883" spans="1:5" x14ac:dyDescent="0.25">
      <c r="A883" s="50"/>
      <c r="B883" s="51"/>
      <c r="C883" s="49"/>
      <c r="D883" s="65"/>
      <c r="E883" s="53"/>
    </row>
    <row r="884" spans="1:5" x14ac:dyDescent="0.25">
      <c r="A884" s="50"/>
      <c r="B884" s="51"/>
      <c r="C884" s="49"/>
      <c r="D884" s="65"/>
      <c r="E884" s="53"/>
    </row>
    <row r="885" spans="1:5" x14ac:dyDescent="0.25">
      <c r="A885" s="50"/>
      <c r="B885" s="67"/>
      <c r="C885" s="49"/>
      <c r="D885" s="65"/>
      <c r="E885" s="53"/>
    </row>
    <row r="886" spans="1:5" x14ac:dyDescent="0.25">
      <c r="A886" s="50"/>
      <c r="B886" s="66"/>
      <c r="C886" s="49"/>
      <c r="D886" s="65"/>
      <c r="E886" s="53"/>
    </row>
    <row r="887" spans="1:5" x14ac:dyDescent="0.25">
      <c r="A887" s="50"/>
      <c r="B887" s="66"/>
      <c r="C887" s="49"/>
      <c r="D887" s="65"/>
      <c r="E887" s="53"/>
    </row>
    <row r="888" spans="1:5" x14ac:dyDescent="0.25">
      <c r="A888" s="50"/>
      <c r="B888" s="66"/>
      <c r="C888" s="49"/>
      <c r="D888" s="65"/>
      <c r="E888" s="53"/>
    </row>
    <row r="889" spans="1:5" x14ac:dyDescent="0.25">
      <c r="A889" s="50"/>
      <c r="B889" s="66"/>
      <c r="C889" s="49"/>
      <c r="D889" s="65"/>
      <c r="E889" s="53"/>
    </row>
    <row r="890" spans="1:5" x14ac:dyDescent="0.25">
      <c r="A890" s="50"/>
      <c r="B890" s="66"/>
      <c r="C890" s="49"/>
      <c r="D890" s="65"/>
      <c r="E890" s="53"/>
    </row>
    <row r="891" spans="1:5" x14ac:dyDescent="0.25">
      <c r="A891" s="50"/>
      <c r="B891" s="66"/>
      <c r="C891" s="49"/>
      <c r="D891" s="65"/>
      <c r="E891" s="53"/>
    </row>
    <row r="892" spans="1:5" x14ac:dyDescent="0.25">
      <c r="A892" s="50"/>
      <c r="B892" s="66"/>
      <c r="C892" s="49"/>
      <c r="D892" s="65"/>
      <c r="E892" s="53"/>
    </row>
    <row r="893" spans="1:5" x14ac:dyDescent="0.25">
      <c r="A893" s="50"/>
      <c r="B893" s="51"/>
      <c r="C893" s="49"/>
      <c r="D893" s="65"/>
      <c r="E893" s="53"/>
    </row>
    <row r="894" spans="1:5" x14ac:dyDescent="0.25">
      <c r="A894" s="50"/>
      <c r="B894" s="66"/>
      <c r="C894" s="49"/>
      <c r="D894" s="65"/>
      <c r="E894" s="53"/>
    </row>
    <row r="895" spans="1:5" x14ac:dyDescent="0.25">
      <c r="A895" s="50"/>
      <c r="B895" s="66"/>
      <c r="C895" s="49"/>
      <c r="D895" s="65"/>
      <c r="E895" s="53"/>
    </row>
    <row r="896" spans="1:5" x14ac:dyDescent="0.25">
      <c r="A896" s="50"/>
      <c r="B896" s="66"/>
      <c r="C896" s="49"/>
      <c r="D896" s="65"/>
      <c r="E896" s="53"/>
    </row>
    <row r="897" spans="1:8" x14ac:dyDescent="0.25">
      <c r="A897" s="50"/>
      <c r="B897" s="66"/>
      <c r="C897" s="49"/>
      <c r="D897" s="65"/>
      <c r="E897" s="53"/>
    </row>
    <row r="898" spans="1:8" x14ac:dyDescent="0.25">
      <c r="A898" s="50"/>
      <c r="B898" s="66"/>
      <c r="C898" s="49"/>
      <c r="D898" s="65"/>
      <c r="E898" s="53"/>
    </row>
    <row r="899" spans="1:8" x14ac:dyDescent="0.25">
      <c r="A899" s="50"/>
      <c r="B899" s="66"/>
      <c r="C899" s="49"/>
      <c r="D899" s="65"/>
      <c r="E899" s="53"/>
    </row>
    <row r="900" spans="1:8" x14ac:dyDescent="0.25">
      <c r="A900" s="50"/>
      <c r="B900" s="66"/>
      <c r="C900" s="49"/>
      <c r="D900" s="65"/>
      <c r="E900" s="53"/>
    </row>
    <row r="901" spans="1:8" x14ac:dyDescent="0.25">
      <c r="A901" s="50"/>
      <c r="B901" s="66"/>
      <c r="C901" s="49"/>
      <c r="D901" s="65"/>
      <c r="E901" s="53"/>
    </row>
    <row r="902" spans="1:8" x14ac:dyDescent="0.25">
      <c r="A902" s="50"/>
      <c r="B902" s="66"/>
      <c r="C902" s="49"/>
      <c r="D902" s="65"/>
      <c r="E902" s="53"/>
    </row>
    <row r="903" spans="1:8" x14ac:dyDescent="0.25">
      <c r="A903" s="50"/>
      <c r="B903" s="66"/>
      <c r="C903" s="49"/>
      <c r="D903" s="65"/>
      <c r="E903" s="53"/>
    </row>
    <row r="904" spans="1:8" x14ac:dyDescent="0.25">
      <c r="A904" s="50"/>
      <c r="B904" s="66"/>
      <c r="C904" s="49"/>
      <c r="D904" s="65"/>
      <c r="E904" s="53"/>
    </row>
    <row r="905" spans="1:8" x14ac:dyDescent="0.25">
      <c r="A905" s="50"/>
      <c r="B905" s="66"/>
      <c r="C905" s="49"/>
      <c r="D905" s="65"/>
      <c r="E905" s="53"/>
    </row>
    <row r="906" spans="1:8" x14ac:dyDescent="0.25">
      <c r="A906" s="50"/>
      <c r="B906" s="66"/>
      <c r="C906" s="49"/>
      <c r="D906" s="65"/>
      <c r="E906" s="53"/>
    </row>
    <row r="907" spans="1:8" x14ac:dyDescent="0.25">
      <c r="A907" s="50"/>
      <c r="B907" s="66"/>
      <c r="C907" s="49"/>
      <c r="D907" s="65"/>
      <c r="E907" s="53"/>
      <c r="G907" s="59"/>
      <c r="H907" s="59"/>
    </row>
    <row r="908" spans="1:8" x14ac:dyDescent="0.25">
      <c r="A908" s="50"/>
      <c r="B908" s="66"/>
      <c r="C908" s="49"/>
      <c r="D908" s="65"/>
      <c r="E908" s="53"/>
      <c r="G908" s="59"/>
      <c r="H908" s="59"/>
    </row>
    <row r="909" spans="1:8" x14ac:dyDescent="0.25">
      <c r="A909" s="50"/>
      <c r="B909" s="66"/>
      <c r="C909" s="49"/>
      <c r="D909" s="65"/>
      <c r="E909" s="53"/>
      <c r="G909" s="59"/>
      <c r="H909" s="59"/>
    </row>
    <row r="910" spans="1:8" x14ac:dyDescent="0.25">
      <c r="A910" s="50"/>
      <c r="B910" s="51"/>
      <c r="C910" s="49"/>
      <c r="D910" s="65"/>
      <c r="E910" s="53"/>
      <c r="G910" s="59"/>
      <c r="H910" s="59"/>
    </row>
    <row r="911" spans="1:8" x14ac:dyDescent="0.25">
      <c r="A911" s="50"/>
      <c r="B911" s="51"/>
      <c r="C911" s="49"/>
      <c r="D911" s="65"/>
      <c r="E911" s="53"/>
      <c r="G911" s="59"/>
      <c r="H911" s="59"/>
    </row>
    <row r="912" spans="1:8" x14ac:dyDescent="0.25">
      <c r="A912" s="50"/>
      <c r="B912" s="66"/>
      <c r="C912" s="49"/>
      <c r="D912" s="65"/>
      <c r="E912" s="53"/>
      <c r="G912" s="59"/>
      <c r="H912" s="59"/>
    </row>
    <row r="913" spans="1:8" x14ac:dyDescent="0.25">
      <c r="A913" s="50"/>
      <c r="B913" s="51"/>
      <c r="C913" s="49"/>
      <c r="D913" s="65"/>
      <c r="E913" s="53"/>
      <c r="G913" s="59"/>
      <c r="H913" s="59"/>
    </row>
    <row r="914" spans="1:8" x14ac:dyDescent="0.25">
      <c r="A914" s="50"/>
      <c r="B914" s="51"/>
      <c r="C914" s="49"/>
      <c r="D914" s="65"/>
      <c r="E914" s="53"/>
      <c r="G914" s="68"/>
      <c r="H914" s="68"/>
    </row>
    <row r="915" spans="1:8" x14ac:dyDescent="0.25">
      <c r="A915" s="50"/>
      <c r="B915" s="51"/>
      <c r="C915" s="49"/>
      <c r="D915" s="65"/>
      <c r="E915" s="53"/>
      <c r="H915" s="59"/>
    </row>
    <row r="916" spans="1:8" x14ac:dyDescent="0.25">
      <c r="A916" s="50"/>
      <c r="B916" s="51"/>
      <c r="C916" s="49"/>
      <c r="D916" s="65"/>
      <c r="E916" s="53"/>
    </row>
    <row r="917" spans="1:8" x14ac:dyDescent="0.25">
      <c r="A917" s="50"/>
      <c r="B917" s="51"/>
      <c r="C917" s="49"/>
      <c r="D917" s="65"/>
      <c r="E917" s="53"/>
      <c r="H917" s="69"/>
    </row>
    <row r="918" spans="1:8" x14ac:dyDescent="0.25">
      <c r="A918" s="50"/>
      <c r="B918" s="51"/>
      <c r="C918" s="49"/>
      <c r="D918" s="65"/>
      <c r="E918" s="53"/>
      <c r="H918" s="69"/>
    </row>
    <row r="919" spans="1:8" x14ac:dyDescent="0.25">
      <c r="A919" s="50"/>
      <c r="B919" s="51"/>
      <c r="C919" s="49"/>
      <c r="D919" s="65"/>
      <c r="E919" s="53"/>
      <c r="H919" s="69"/>
    </row>
    <row r="920" spans="1:8" x14ac:dyDescent="0.25">
      <c r="A920" s="50"/>
      <c r="B920" s="51"/>
      <c r="C920" s="49"/>
      <c r="D920" s="65"/>
      <c r="E920" s="53"/>
    </row>
    <row r="921" spans="1:8" x14ac:dyDescent="0.25">
      <c r="A921" s="50"/>
      <c r="B921" s="51"/>
      <c r="C921" s="49"/>
      <c r="D921" s="65"/>
      <c r="E921" s="53"/>
    </row>
    <row r="922" spans="1:8" x14ac:dyDescent="0.25">
      <c r="A922" s="50"/>
      <c r="B922" s="51"/>
      <c r="C922" s="49"/>
      <c r="D922" s="65"/>
      <c r="E922" s="53"/>
    </row>
    <row r="923" spans="1:8" x14ac:dyDescent="0.25">
      <c r="A923" s="67"/>
      <c r="B923" s="51"/>
      <c r="C923" s="49"/>
      <c r="D923" s="65"/>
      <c r="E923" s="53"/>
    </row>
    <row r="924" spans="1:8" x14ac:dyDescent="0.25">
      <c r="A924" s="50"/>
      <c r="B924" s="51"/>
      <c r="C924" s="49"/>
      <c r="D924" s="65"/>
      <c r="E924" s="53"/>
    </row>
    <row r="925" spans="1:8" x14ac:dyDescent="0.25">
      <c r="A925" s="50"/>
      <c r="B925" s="51"/>
      <c r="C925" s="49"/>
      <c r="D925" s="65"/>
      <c r="E925" s="53"/>
    </row>
    <row r="926" spans="1:8" x14ac:dyDescent="0.25">
      <c r="A926" s="50"/>
      <c r="B926" s="51"/>
      <c r="C926" s="49"/>
      <c r="D926" s="65"/>
      <c r="E926" s="53"/>
    </row>
    <row r="927" spans="1:8" x14ac:dyDescent="0.25">
      <c r="A927" s="50"/>
      <c r="B927" s="51"/>
      <c r="C927" s="49"/>
      <c r="D927" s="65"/>
      <c r="E927" s="53"/>
    </row>
    <row r="928" spans="1:8" x14ac:dyDescent="0.25">
      <c r="A928" s="50"/>
      <c r="B928" s="51"/>
      <c r="C928" s="49"/>
      <c r="D928" s="65"/>
      <c r="E928" s="53"/>
    </row>
    <row r="929" spans="1:5" x14ac:dyDescent="0.25">
      <c r="A929" s="50"/>
      <c r="B929" s="67"/>
      <c r="C929" s="49"/>
      <c r="D929" s="65"/>
      <c r="E929" s="53"/>
    </row>
    <row r="930" spans="1:5" x14ac:dyDescent="0.25">
      <c r="A930" s="50"/>
      <c r="B930" s="51"/>
      <c r="C930" s="49"/>
      <c r="D930" s="65"/>
      <c r="E930" s="53"/>
    </row>
    <row r="931" spans="1:5" x14ac:dyDescent="0.25">
      <c r="A931" s="50"/>
      <c r="B931" s="51"/>
      <c r="C931" s="49"/>
      <c r="D931" s="65"/>
      <c r="E931" s="53"/>
    </row>
    <row r="932" spans="1:5" x14ac:dyDescent="0.25">
      <c r="A932" s="50"/>
      <c r="B932" s="51"/>
      <c r="C932" s="49"/>
      <c r="D932" s="65"/>
      <c r="E932" s="53"/>
    </row>
    <row r="933" spans="1:5" x14ac:dyDescent="0.25">
      <c r="A933" s="50"/>
      <c r="B933" s="51"/>
      <c r="C933" s="49"/>
      <c r="D933" s="65"/>
      <c r="E933" s="53"/>
    </row>
    <row r="934" spans="1:5" x14ac:dyDescent="0.25">
      <c r="A934" s="50"/>
      <c r="B934" s="51"/>
      <c r="C934" s="49"/>
      <c r="D934" s="65"/>
      <c r="E934" s="53"/>
    </row>
    <row r="935" spans="1:5" x14ac:dyDescent="0.25">
      <c r="A935" s="50"/>
      <c r="B935" s="51"/>
      <c r="C935" s="49"/>
      <c r="D935" s="65"/>
      <c r="E935" s="53"/>
    </row>
    <row r="936" spans="1:5" x14ac:dyDescent="0.25">
      <c r="A936" s="50"/>
      <c r="B936" s="51"/>
      <c r="C936" s="49"/>
      <c r="D936" s="65"/>
      <c r="E936" s="53"/>
    </row>
    <row r="937" spans="1:5" x14ac:dyDescent="0.25">
      <c r="A937" s="50"/>
      <c r="B937" s="51"/>
      <c r="C937" s="49"/>
      <c r="D937" s="65"/>
      <c r="E937" s="53"/>
    </row>
    <row r="938" spans="1:5" x14ac:dyDescent="0.25">
      <c r="A938" s="50"/>
      <c r="B938" s="51"/>
      <c r="C938" s="49"/>
      <c r="D938" s="65"/>
      <c r="E938" s="53"/>
    </row>
    <row r="939" spans="1:5" x14ac:dyDescent="0.25">
      <c r="A939" s="50"/>
      <c r="B939" s="51"/>
      <c r="C939" s="49"/>
      <c r="D939" s="65"/>
      <c r="E939" s="53"/>
    </row>
    <row r="940" spans="1:5" x14ac:dyDescent="0.25">
      <c r="A940" s="50"/>
      <c r="B940" s="51"/>
      <c r="C940" s="49"/>
      <c r="D940" s="65"/>
      <c r="E940" s="53"/>
    </row>
    <row r="941" spans="1:5" x14ac:dyDescent="0.25">
      <c r="A941" s="50"/>
      <c r="B941" s="51"/>
      <c r="C941" s="49"/>
      <c r="D941" s="65"/>
      <c r="E941" s="53"/>
    </row>
    <row r="942" spans="1:5" x14ac:dyDescent="0.25">
      <c r="A942" s="50"/>
      <c r="B942" s="51"/>
      <c r="C942" s="49"/>
      <c r="D942" s="65"/>
      <c r="E942" s="53"/>
    </row>
    <row r="943" spans="1:5" x14ac:dyDescent="0.25">
      <c r="A943" s="50"/>
      <c r="B943" s="51"/>
      <c r="C943" s="49"/>
      <c r="D943" s="65"/>
      <c r="E943" s="53"/>
    </row>
    <row r="944" spans="1:5" x14ac:dyDescent="0.25">
      <c r="A944" s="70"/>
      <c r="B944" s="51"/>
      <c r="C944" s="49"/>
      <c r="D944" s="65"/>
      <c r="E944" s="53"/>
    </row>
    <row r="945" spans="1:5" x14ac:dyDescent="0.25">
      <c r="A945" s="50"/>
      <c r="B945" s="51"/>
      <c r="C945" s="49"/>
      <c r="D945" s="65"/>
      <c r="E945" s="53"/>
    </row>
    <row r="946" spans="1:5" x14ac:dyDescent="0.25">
      <c r="A946" s="50"/>
      <c r="B946" s="51"/>
      <c r="C946" s="49"/>
      <c r="D946" s="65"/>
      <c r="E946" s="53"/>
    </row>
    <row r="947" spans="1:5" x14ac:dyDescent="0.25">
      <c r="A947" s="50"/>
      <c r="B947" s="51"/>
      <c r="C947" s="49"/>
      <c r="D947" s="65"/>
      <c r="E947" s="53"/>
    </row>
    <row r="948" spans="1:5" x14ac:dyDescent="0.25">
      <c r="A948" s="50"/>
      <c r="B948" s="51"/>
      <c r="C948" s="49"/>
      <c r="D948" s="65"/>
      <c r="E948" s="53"/>
    </row>
    <row r="949" spans="1:5" x14ac:dyDescent="0.25">
      <c r="A949" s="50"/>
      <c r="B949" s="51"/>
      <c r="C949" s="49"/>
      <c r="D949" s="65"/>
      <c r="E949" s="53"/>
    </row>
    <row r="950" spans="1:5" x14ac:dyDescent="0.25">
      <c r="A950" s="50"/>
      <c r="B950" s="51"/>
      <c r="C950" s="49"/>
      <c r="D950" s="65"/>
      <c r="E950" s="53"/>
    </row>
    <row r="951" spans="1:5" x14ac:dyDescent="0.25">
      <c r="A951" s="50"/>
      <c r="B951" s="51"/>
      <c r="C951" s="49"/>
      <c r="D951" s="65"/>
      <c r="E951" s="53"/>
    </row>
    <row r="952" spans="1:5" x14ac:dyDescent="0.25">
      <c r="A952" s="50"/>
      <c r="B952" s="51"/>
      <c r="C952" s="49"/>
      <c r="D952" s="65"/>
      <c r="E952" s="53"/>
    </row>
    <row r="953" spans="1:5" x14ac:dyDescent="0.25">
      <c r="A953" s="50"/>
      <c r="B953" s="51"/>
      <c r="C953" s="49"/>
      <c r="D953" s="65"/>
      <c r="E953" s="53"/>
    </row>
    <row r="954" spans="1:5" x14ac:dyDescent="0.25">
      <c r="A954" s="50"/>
      <c r="B954" s="51"/>
      <c r="C954" s="49"/>
      <c r="D954" s="65"/>
      <c r="E954" s="53"/>
    </row>
    <row r="955" spans="1:5" x14ac:dyDescent="0.25">
      <c r="A955" s="50"/>
      <c r="B955" s="51"/>
      <c r="C955" s="49"/>
      <c r="D955" s="65"/>
      <c r="E955" s="53"/>
    </row>
    <row r="956" spans="1:5" x14ac:dyDescent="0.25">
      <c r="A956" s="50"/>
      <c r="B956" s="51"/>
      <c r="C956" s="49"/>
      <c r="D956" s="65"/>
      <c r="E956" s="53"/>
    </row>
    <row r="957" spans="1:5" x14ac:dyDescent="0.25">
      <c r="A957" s="50"/>
      <c r="B957" s="51"/>
      <c r="C957" s="49"/>
      <c r="D957" s="65"/>
      <c r="E957" s="53"/>
    </row>
    <row r="958" spans="1:5" x14ac:dyDescent="0.25">
      <c r="A958" s="50"/>
      <c r="B958" s="51"/>
      <c r="C958" s="49"/>
      <c r="D958" s="65"/>
      <c r="E958" s="53"/>
    </row>
    <row r="959" spans="1:5" x14ac:dyDescent="0.25">
      <c r="A959" s="50"/>
      <c r="B959" s="51"/>
      <c r="C959" s="49"/>
      <c r="D959" s="65"/>
      <c r="E959" s="53"/>
    </row>
    <row r="960" spans="1:5" x14ac:dyDescent="0.25">
      <c r="A960" s="50"/>
      <c r="B960" s="51"/>
      <c r="C960" s="49"/>
      <c r="D960" s="65"/>
      <c r="E960" s="53"/>
    </row>
    <row r="961" spans="1:5" x14ac:dyDescent="0.25">
      <c r="A961" s="50"/>
      <c r="B961" s="51"/>
      <c r="C961" s="49"/>
      <c r="D961" s="65"/>
      <c r="E961" s="53"/>
    </row>
    <row r="962" spans="1:5" x14ac:dyDescent="0.25">
      <c r="A962" s="50"/>
      <c r="B962" s="51"/>
      <c r="C962" s="49"/>
      <c r="D962" s="65"/>
      <c r="E962" s="53"/>
    </row>
    <row r="963" spans="1:5" x14ac:dyDescent="0.25">
      <c r="A963" s="50"/>
      <c r="B963" s="51"/>
      <c r="C963" s="49"/>
      <c r="D963" s="65"/>
      <c r="E963" s="53"/>
    </row>
    <row r="964" spans="1:5" x14ac:dyDescent="0.25">
      <c r="A964" s="50"/>
      <c r="B964" s="51"/>
      <c r="C964" s="49"/>
      <c r="D964" s="65"/>
      <c r="E964" s="53"/>
    </row>
    <row r="965" spans="1:5" x14ac:dyDescent="0.25">
      <c r="A965" s="50"/>
      <c r="B965" s="51"/>
      <c r="C965" s="49"/>
      <c r="D965" s="65"/>
      <c r="E965" s="53"/>
    </row>
    <row r="966" spans="1:5" x14ac:dyDescent="0.25">
      <c r="A966" s="50"/>
      <c r="B966" s="51"/>
      <c r="C966" s="49"/>
      <c r="D966" s="65"/>
      <c r="E966" s="53"/>
    </row>
    <row r="967" spans="1:5" x14ac:dyDescent="0.25">
      <c r="A967" s="50"/>
      <c r="B967" s="51"/>
      <c r="C967" s="49"/>
      <c r="D967" s="65"/>
      <c r="E967" s="53"/>
    </row>
    <row r="968" spans="1:5" x14ac:dyDescent="0.25">
      <c r="A968" s="50"/>
      <c r="B968" s="51"/>
      <c r="C968" s="49"/>
      <c r="D968" s="65"/>
      <c r="E968" s="53"/>
    </row>
    <row r="969" spans="1:5" x14ac:dyDescent="0.25">
      <c r="A969" s="50"/>
      <c r="B969" s="51"/>
      <c r="C969" s="49"/>
      <c r="D969" s="65"/>
      <c r="E969" s="53"/>
    </row>
    <row r="970" spans="1:5" x14ac:dyDescent="0.25">
      <c r="A970" s="50"/>
      <c r="B970" s="51"/>
      <c r="C970" s="49"/>
      <c r="D970" s="65"/>
      <c r="E970" s="53"/>
    </row>
    <row r="971" spans="1:5" x14ac:dyDescent="0.25">
      <c r="A971" s="50"/>
      <c r="B971" s="51"/>
      <c r="C971" s="49"/>
      <c r="D971" s="65"/>
      <c r="E971" s="53"/>
    </row>
    <row r="972" spans="1:5" x14ac:dyDescent="0.25">
      <c r="A972" s="50"/>
      <c r="B972" s="51"/>
      <c r="C972" s="49"/>
      <c r="D972" s="65"/>
      <c r="E972" s="53"/>
    </row>
    <row r="973" spans="1:5" x14ac:dyDescent="0.25">
      <c r="A973" s="50"/>
      <c r="B973" s="51"/>
      <c r="C973" s="49"/>
      <c r="D973" s="65"/>
      <c r="E973" s="53"/>
    </row>
    <row r="974" spans="1:5" x14ac:dyDescent="0.25">
      <c r="A974" s="50"/>
      <c r="B974" s="51"/>
      <c r="C974" s="49"/>
      <c r="D974" s="65"/>
      <c r="E974" s="53"/>
    </row>
    <row r="975" spans="1:5" x14ac:dyDescent="0.25">
      <c r="A975" s="50"/>
      <c r="B975" s="51"/>
      <c r="C975" s="49"/>
      <c r="D975" s="65"/>
      <c r="E975" s="53"/>
    </row>
    <row r="976" spans="1:5" x14ac:dyDescent="0.25">
      <c r="A976" s="50"/>
      <c r="B976" s="51"/>
      <c r="C976" s="49"/>
      <c r="D976" s="65"/>
      <c r="E976" s="53"/>
    </row>
    <row r="977" spans="1:5" x14ac:dyDescent="0.25">
      <c r="A977" s="50"/>
      <c r="B977" s="51"/>
      <c r="C977" s="49"/>
      <c r="D977" s="65"/>
      <c r="E977" s="53"/>
    </row>
    <row r="978" spans="1:5" x14ac:dyDescent="0.25">
      <c r="A978" s="50"/>
      <c r="B978" s="51"/>
      <c r="C978" s="49"/>
      <c r="D978" s="65"/>
      <c r="E978" s="53"/>
    </row>
    <row r="979" spans="1:5" x14ac:dyDescent="0.25">
      <c r="A979" s="50"/>
      <c r="B979" s="51"/>
      <c r="C979" s="49"/>
      <c r="D979" s="65"/>
      <c r="E979" s="53"/>
    </row>
    <row r="980" spans="1:5" x14ac:dyDescent="0.25">
      <c r="A980" s="50"/>
      <c r="B980" s="51"/>
      <c r="C980" s="49"/>
      <c r="D980" s="65"/>
      <c r="E980" s="53"/>
    </row>
    <row r="981" spans="1:5" x14ac:dyDescent="0.25">
      <c r="A981" s="50"/>
      <c r="B981" s="51"/>
      <c r="C981" s="49"/>
      <c r="D981" s="65"/>
      <c r="E981" s="53"/>
    </row>
    <row r="982" spans="1:5" x14ac:dyDescent="0.25">
      <c r="A982" s="50"/>
      <c r="B982" s="51"/>
      <c r="C982" s="49"/>
      <c r="D982" s="65"/>
      <c r="E982" s="53"/>
    </row>
    <row r="983" spans="1:5" x14ac:dyDescent="0.25">
      <c r="A983" s="50"/>
      <c r="B983" s="51"/>
      <c r="C983" s="49"/>
      <c r="D983" s="65"/>
      <c r="E983" s="53"/>
    </row>
    <row r="984" spans="1:5" x14ac:dyDescent="0.25">
      <c r="A984" s="50"/>
      <c r="B984" s="51"/>
      <c r="C984" s="49"/>
      <c r="D984" s="65"/>
      <c r="E984" s="53"/>
    </row>
    <row r="985" spans="1:5" x14ac:dyDescent="0.25">
      <c r="A985" s="50"/>
      <c r="B985" s="51"/>
      <c r="C985" s="49"/>
      <c r="D985" s="65"/>
      <c r="E985" s="53"/>
    </row>
    <row r="986" spans="1:5" x14ac:dyDescent="0.25">
      <c r="A986" s="50"/>
      <c r="B986" s="51"/>
      <c r="C986" s="49"/>
      <c r="D986" s="65"/>
      <c r="E986" s="53"/>
    </row>
    <row r="987" spans="1:5" x14ac:dyDescent="0.25">
      <c r="A987" s="50"/>
      <c r="B987" s="51"/>
      <c r="C987" s="49"/>
      <c r="D987" s="65"/>
      <c r="E987" s="53"/>
    </row>
    <row r="988" spans="1:5" x14ac:dyDescent="0.25">
      <c r="A988" s="50"/>
      <c r="B988" s="51"/>
      <c r="C988" s="49"/>
      <c r="D988" s="65"/>
      <c r="E988" s="53"/>
    </row>
    <row r="989" spans="1:5" x14ac:dyDescent="0.25">
      <c r="A989" s="50"/>
      <c r="B989" s="51"/>
      <c r="C989" s="49"/>
      <c r="D989" s="65"/>
      <c r="E989" s="53"/>
    </row>
    <row r="990" spans="1:5" x14ac:dyDescent="0.25">
      <c r="A990" s="50"/>
      <c r="B990" s="51"/>
      <c r="C990" s="49"/>
      <c r="D990" s="65"/>
      <c r="E990" s="53"/>
    </row>
    <row r="991" spans="1:5" x14ac:dyDescent="0.25">
      <c r="A991" s="50"/>
      <c r="B991" s="51"/>
      <c r="C991" s="49"/>
      <c r="D991" s="65"/>
      <c r="E991" s="53"/>
    </row>
    <row r="992" spans="1:5" x14ac:dyDescent="0.25">
      <c r="A992" s="50"/>
      <c r="B992" s="51"/>
      <c r="C992" s="49"/>
      <c r="D992" s="65"/>
      <c r="E992" s="53"/>
    </row>
    <row r="993" spans="1:5" x14ac:dyDescent="0.25">
      <c r="A993" s="50"/>
      <c r="B993" s="51"/>
      <c r="C993" s="49"/>
      <c r="D993" s="65"/>
      <c r="E993" s="53"/>
    </row>
    <row r="994" spans="1:5" x14ac:dyDescent="0.25">
      <c r="A994" s="50"/>
      <c r="B994" s="51"/>
      <c r="C994" s="49"/>
      <c r="D994" s="65"/>
      <c r="E994" s="53"/>
    </row>
    <row r="995" spans="1:5" x14ac:dyDescent="0.25">
      <c r="A995" s="50"/>
      <c r="B995" s="51"/>
      <c r="C995" s="49"/>
      <c r="D995" s="65"/>
      <c r="E995" s="53"/>
    </row>
    <row r="996" spans="1:5" x14ac:dyDescent="0.25">
      <c r="A996" s="50"/>
      <c r="B996" s="51"/>
      <c r="C996" s="49"/>
      <c r="D996" s="65"/>
      <c r="E996" s="53"/>
    </row>
    <row r="997" spans="1:5" x14ac:dyDescent="0.25">
      <c r="A997" s="50"/>
      <c r="B997" s="51"/>
      <c r="C997" s="49"/>
      <c r="D997" s="65"/>
      <c r="E997" s="53"/>
    </row>
    <row r="998" spans="1:5" x14ac:dyDescent="0.25">
      <c r="A998" s="50"/>
      <c r="B998" s="51"/>
      <c r="C998" s="49"/>
      <c r="D998" s="65"/>
      <c r="E998" s="53"/>
    </row>
    <row r="999" spans="1:5" x14ac:dyDescent="0.25">
      <c r="A999" s="50"/>
      <c r="B999" s="51"/>
      <c r="C999" s="49"/>
      <c r="D999" s="65"/>
      <c r="E999" s="53"/>
    </row>
    <row r="1000" spans="1:5" x14ac:dyDescent="0.25">
      <c r="A1000" s="50"/>
      <c r="B1000" s="51"/>
      <c r="C1000" s="49"/>
      <c r="D1000" s="65"/>
      <c r="E1000" s="53"/>
    </row>
    <row r="1001" spans="1:5" x14ac:dyDescent="0.25">
      <c r="A1001" s="50"/>
      <c r="B1001" s="51"/>
      <c r="C1001" s="49"/>
      <c r="D1001" s="65"/>
      <c r="E1001" s="53"/>
    </row>
    <row r="1002" spans="1:5" x14ac:dyDescent="0.25">
      <c r="A1002" s="50"/>
      <c r="B1002" s="51"/>
      <c r="C1002" s="49"/>
      <c r="D1002" s="65"/>
      <c r="E1002" s="53"/>
    </row>
    <row r="1003" spans="1:5" x14ac:dyDescent="0.25">
      <c r="A1003" s="50"/>
      <c r="B1003" s="51"/>
      <c r="C1003" s="49"/>
      <c r="D1003" s="65"/>
      <c r="E1003" s="53"/>
    </row>
    <row r="1004" spans="1:5" x14ac:dyDescent="0.25">
      <c r="A1004" s="50"/>
      <c r="B1004" s="51"/>
      <c r="C1004" s="49"/>
      <c r="D1004" s="65"/>
      <c r="E1004" s="53"/>
    </row>
    <row r="1005" spans="1:5" x14ac:dyDescent="0.25">
      <c r="A1005" s="50"/>
      <c r="B1005" s="51"/>
      <c r="C1005" s="49"/>
      <c r="D1005" s="65"/>
      <c r="E1005" s="53"/>
    </row>
    <row r="1006" spans="1:5" x14ac:dyDescent="0.25">
      <c r="A1006" s="50"/>
      <c r="B1006" s="51"/>
      <c r="C1006" s="49"/>
      <c r="D1006" s="65"/>
      <c r="E1006" s="53"/>
    </row>
    <row r="1007" spans="1:5" x14ac:dyDescent="0.25">
      <c r="A1007" s="50"/>
      <c r="B1007" s="51"/>
      <c r="C1007" s="49"/>
      <c r="D1007" s="65"/>
      <c r="E1007" s="53"/>
    </row>
    <row r="1008" spans="1:5" x14ac:dyDescent="0.25">
      <c r="A1008" s="50"/>
      <c r="B1008" s="51"/>
      <c r="C1008" s="49"/>
      <c r="D1008" s="65"/>
      <c r="E1008" s="53"/>
    </row>
    <row r="1009" spans="1:5" x14ac:dyDescent="0.25">
      <c r="A1009" s="50"/>
      <c r="B1009" s="51"/>
      <c r="C1009" s="49"/>
      <c r="D1009" s="65"/>
      <c r="E1009" s="53"/>
    </row>
    <row r="1010" spans="1:5" x14ac:dyDescent="0.25">
      <c r="A1010" s="50"/>
      <c r="B1010" s="51"/>
      <c r="C1010" s="49"/>
      <c r="D1010" s="65"/>
      <c r="E1010" s="53"/>
    </row>
    <row r="1011" spans="1:5" x14ac:dyDescent="0.25">
      <c r="A1011" s="50"/>
      <c r="B1011" s="51"/>
      <c r="C1011" s="49"/>
      <c r="D1011" s="65"/>
      <c r="E1011" s="53"/>
    </row>
    <row r="1012" spans="1:5" x14ac:dyDescent="0.25">
      <c r="A1012" s="50"/>
      <c r="B1012" s="51"/>
      <c r="C1012" s="49"/>
      <c r="D1012" s="65"/>
      <c r="E1012" s="53"/>
    </row>
    <row r="1013" spans="1:5" x14ac:dyDescent="0.25">
      <c r="A1013" s="50"/>
      <c r="B1013" s="51"/>
      <c r="C1013" s="49"/>
      <c r="D1013" s="65"/>
      <c r="E1013" s="53"/>
    </row>
    <row r="1014" spans="1:5" x14ac:dyDescent="0.25">
      <c r="A1014" s="50"/>
      <c r="B1014" s="51"/>
      <c r="C1014" s="49"/>
      <c r="D1014" s="65"/>
      <c r="E1014" s="53"/>
    </row>
    <row r="1015" spans="1:5" x14ac:dyDescent="0.25">
      <c r="A1015" s="50"/>
      <c r="B1015" s="51"/>
      <c r="C1015" s="49"/>
      <c r="D1015" s="65"/>
      <c r="E1015" s="53"/>
    </row>
    <row r="1016" spans="1:5" x14ac:dyDescent="0.25">
      <c r="A1016" s="50"/>
      <c r="B1016" s="51"/>
      <c r="C1016" s="49"/>
      <c r="D1016" s="65"/>
      <c r="E1016" s="53"/>
    </row>
    <row r="1017" spans="1:5" x14ac:dyDescent="0.25">
      <c r="A1017" s="50"/>
      <c r="B1017" s="51"/>
      <c r="C1017" s="49"/>
      <c r="D1017" s="65"/>
      <c r="E1017" s="53"/>
    </row>
    <row r="1018" spans="1:5" x14ac:dyDescent="0.25">
      <c r="A1018" s="50"/>
      <c r="B1018" s="51"/>
      <c r="C1018" s="49"/>
      <c r="D1018" s="65"/>
      <c r="E1018" s="53"/>
    </row>
    <row r="1019" spans="1:5" x14ac:dyDescent="0.25">
      <c r="A1019" s="50"/>
      <c r="B1019" s="71"/>
      <c r="C1019" s="49"/>
      <c r="D1019" s="65"/>
      <c r="E1019" s="53"/>
    </row>
    <row r="1020" spans="1:5" x14ac:dyDescent="0.25">
      <c r="A1020" s="50"/>
      <c r="B1020" s="51"/>
      <c r="C1020" s="49"/>
      <c r="D1020" s="65"/>
      <c r="E1020" s="53"/>
    </row>
    <row r="1021" spans="1:5" x14ac:dyDescent="0.25">
      <c r="A1021" s="50"/>
      <c r="B1021" s="51"/>
      <c r="C1021" s="49"/>
      <c r="D1021" s="65"/>
      <c r="E1021" s="53"/>
    </row>
    <row r="1022" spans="1:5" x14ac:dyDescent="0.25">
      <c r="A1022" s="50"/>
      <c r="B1022" s="51"/>
      <c r="C1022" s="49"/>
      <c r="D1022" s="65"/>
      <c r="E1022" s="53"/>
    </row>
    <row r="1023" spans="1:5" x14ac:dyDescent="0.25">
      <c r="A1023" s="50"/>
      <c r="B1023" s="51"/>
      <c r="C1023" s="49"/>
      <c r="D1023" s="65"/>
      <c r="E1023" s="53"/>
    </row>
    <row r="1024" spans="1:5" x14ac:dyDescent="0.25">
      <c r="A1024" s="50"/>
      <c r="B1024" s="51"/>
      <c r="C1024" s="49"/>
      <c r="D1024" s="65"/>
      <c r="E1024" s="53"/>
    </row>
    <row r="1025" spans="1:7" x14ac:dyDescent="0.25">
      <c r="A1025" s="50"/>
      <c r="B1025" s="51"/>
      <c r="C1025" s="49"/>
      <c r="D1025" s="65"/>
      <c r="E1025" s="53"/>
    </row>
    <row r="1026" spans="1:7" x14ac:dyDescent="0.25">
      <c r="A1026" s="50"/>
      <c r="B1026" s="51"/>
      <c r="C1026" s="49"/>
      <c r="D1026" s="65"/>
      <c r="E1026" s="53"/>
    </row>
    <row r="1027" spans="1:7" x14ac:dyDescent="0.25">
      <c r="A1027" s="50"/>
      <c r="B1027" s="51"/>
      <c r="C1027" s="49"/>
      <c r="D1027" s="65"/>
      <c r="E1027" s="53"/>
    </row>
    <row r="1028" spans="1:7" x14ac:dyDescent="0.25">
      <c r="A1028" s="50"/>
      <c r="B1028" s="51"/>
      <c r="C1028" s="49"/>
      <c r="D1028" s="65"/>
      <c r="E1028" s="53"/>
    </row>
    <row r="1029" spans="1:7" x14ac:dyDescent="0.25">
      <c r="A1029" s="50"/>
      <c r="B1029" s="51"/>
      <c r="C1029" s="49"/>
      <c r="D1029" s="65"/>
      <c r="E1029" s="53"/>
    </row>
    <row r="1030" spans="1:7" x14ac:dyDescent="0.25">
      <c r="A1030" s="50"/>
      <c r="B1030" s="51"/>
      <c r="C1030" s="49"/>
      <c r="D1030" s="65"/>
      <c r="E1030" s="53"/>
    </row>
    <row r="1031" spans="1:7" x14ac:dyDescent="0.25">
      <c r="A1031" s="50"/>
      <c r="B1031" s="51"/>
      <c r="C1031" s="49"/>
      <c r="D1031" s="65"/>
      <c r="E1031" s="53"/>
    </row>
    <row r="1032" spans="1:7" x14ac:dyDescent="0.25">
      <c r="A1032" s="50"/>
      <c r="B1032" s="51"/>
      <c r="C1032" s="49"/>
      <c r="D1032" s="65"/>
      <c r="E1032" s="53"/>
    </row>
    <row r="1033" spans="1:7" x14ac:dyDescent="0.25">
      <c r="A1033" s="50"/>
      <c r="B1033" s="51"/>
      <c r="C1033" s="49"/>
      <c r="D1033" s="65"/>
      <c r="E1033" s="53"/>
    </row>
    <row r="1034" spans="1:7" x14ac:dyDescent="0.25">
      <c r="A1034" s="50"/>
      <c r="B1034" s="51"/>
      <c r="C1034" s="49"/>
      <c r="D1034" s="65"/>
      <c r="E1034" s="53"/>
    </row>
    <row r="1035" spans="1:7" x14ac:dyDescent="0.25">
      <c r="A1035" s="50"/>
      <c r="B1035" s="51"/>
      <c r="C1035" s="49"/>
      <c r="D1035" s="65"/>
      <c r="E1035" s="53"/>
    </row>
    <row r="1036" spans="1:7" x14ac:dyDescent="0.25">
      <c r="A1036" s="50"/>
      <c r="B1036" s="51"/>
      <c r="C1036" s="49"/>
      <c r="D1036" s="65"/>
      <c r="E1036" s="53"/>
    </row>
    <row r="1037" spans="1:7" x14ac:dyDescent="0.25">
      <c r="A1037" s="50"/>
      <c r="B1037" s="51"/>
      <c r="C1037" s="49"/>
      <c r="D1037" s="65"/>
      <c r="E1037" s="53"/>
    </row>
    <row r="1038" spans="1:7" x14ac:dyDescent="0.25">
      <c r="A1038" s="50"/>
      <c r="B1038" s="51"/>
      <c r="C1038" s="49"/>
      <c r="D1038" s="65"/>
      <c r="E1038" s="53"/>
      <c r="G1038" s="69"/>
    </row>
    <row r="1039" spans="1:7" x14ac:dyDescent="0.25">
      <c r="A1039" s="50"/>
      <c r="B1039" s="51"/>
      <c r="C1039" s="49"/>
      <c r="D1039" s="65"/>
      <c r="E1039" s="53"/>
      <c r="G1039" s="72"/>
    </row>
    <row r="1040" spans="1:7" x14ac:dyDescent="0.25">
      <c r="A1040" s="50"/>
      <c r="B1040" s="51"/>
      <c r="C1040" s="49"/>
      <c r="D1040" s="65"/>
      <c r="E1040" s="53"/>
      <c r="G1040" s="72"/>
    </row>
    <row r="1041" spans="1:8" x14ac:dyDescent="0.25">
      <c r="A1041" s="50"/>
      <c r="B1041" s="51"/>
      <c r="C1041" s="49"/>
      <c r="D1041" s="65"/>
      <c r="E1041" s="53"/>
      <c r="G1041" s="73"/>
    </row>
    <row r="1042" spans="1:8" x14ac:dyDescent="0.25">
      <c r="A1042" s="50"/>
      <c r="B1042" s="51"/>
      <c r="C1042" s="49"/>
      <c r="D1042" s="65"/>
      <c r="E1042" s="53"/>
      <c r="G1042" s="73"/>
    </row>
    <row r="1043" spans="1:8" x14ac:dyDescent="0.25">
      <c r="A1043" s="50"/>
      <c r="B1043" s="51"/>
      <c r="C1043" s="49"/>
      <c r="D1043" s="65"/>
      <c r="E1043" s="53"/>
      <c r="G1043" s="72"/>
    </row>
    <row r="1044" spans="1:8" x14ac:dyDescent="0.25">
      <c r="A1044" s="50"/>
      <c r="B1044" s="51"/>
      <c r="C1044" s="49"/>
      <c r="D1044" s="65"/>
      <c r="E1044" s="53"/>
      <c r="G1044" s="59"/>
    </row>
    <row r="1045" spans="1:8" x14ac:dyDescent="0.25">
      <c r="A1045" s="50"/>
      <c r="B1045" s="51"/>
      <c r="C1045" s="49"/>
      <c r="D1045" s="65"/>
      <c r="E1045" s="53"/>
      <c r="G1045" s="59"/>
    </row>
    <row r="1046" spans="1:8" x14ac:dyDescent="0.25">
      <c r="A1046" s="50"/>
      <c r="B1046" s="51"/>
      <c r="C1046" s="49"/>
      <c r="D1046" s="65"/>
      <c r="E1046" s="53"/>
      <c r="G1046" s="59"/>
    </row>
    <row r="1047" spans="1:8" x14ac:dyDescent="0.25">
      <c r="A1047" s="50"/>
      <c r="B1047" s="51"/>
      <c r="C1047" s="49"/>
      <c r="D1047" s="65"/>
      <c r="E1047" s="53"/>
      <c r="G1047" s="59"/>
    </row>
    <row r="1048" spans="1:8" x14ac:dyDescent="0.25">
      <c r="A1048" s="50"/>
      <c r="B1048" s="51"/>
      <c r="C1048" s="49"/>
      <c r="D1048" s="65"/>
      <c r="E1048" s="53"/>
      <c r="G1048" s="59"/>
    </row>
    <row r="1049" spans="1:8" x14ac:dyDescent="0.25">
      <c r="A1049" s="50"/>
      <c r="B1049" s="51"/>
      <c r="C1049" s="49"/>
      <c r="D1049" s="65"/>
      <c r="E1049" s="53"/>
      <c r="G1049" s="59"/>
    </row>
    <row r="1050" spans="1:8" x14ac:dyDescent="0.25">
      <c r="A1050" s="50"/>
      <c r="B1050" s="51"/>
      <c r="C1050" s="49"/>
      <c r="D1050" s="65"/>
      <c r="E1050" s="53"/>
      <c r="G1050" s="59"/>
    </row>
    <row r="1051" spans="1:8" x14ac:dyDescent="0.25">
      <c r="A1051" s="50"/>
      <c r="B1051" s="51"/>
      <c r="C1051" s="49"/>
      <c r="D1051" s="65"/>
      <c r="E1051" s="53"/>
      <c r="G1051" s="59"/>
    </row>
    <row r="1052" spans="1:8" x14ac:dyDescent="0.25">
      <c r="A1052" s="50"/>
      <c r="B1052" s="51"/>
      <c r="C1052" s="49"/>
      <c r="D1052" s="65"/>
      <c r="E1052" s="53"/>
      <c r="G1052" s="59"/>
    </row>
    <row r="1053" spans="1:8" x14ac:dyDescent="0.25">
      <c r="A1053" s="50"/>
      <c r="B1053" s="51"/>
      <c r="C1053" s="49"/>
      <c r="D1053" s="65"/>
      <c r="E1053" s="53"/>
    </row>
    <row r="1054" spans="1:8" x14ac:dyDescent="0.25">
      <c r="A1054" s="50"/>
      <c r="B1054" s="51"/>
      <c r="C1054" s="49"/>
      <c r="D1054" s="65"/>
      <c r="E1054" s="53"/>
    </row>
    <row r="1055" spans="1:8" x14ac:dyDescent="0.25">
      <c r="A1055" s="50"/>
      <c r="B1055" s="51"/>
      <c r="C1055" s="49"/>
      <c r="D1055" s="65"/>
      <c r="E1055" s="53"/>
    </row>
    <row r="1056" spans="1:8" x14ac:dyDescent="0.25">
      <c r="A1056" s="50"/>
      <c r="B1056" s="66"/>
      <c r="C1056" s="49"/>
      <c r="D1056" s="65"/>
      <c r="E1056" s="53"/>
      <c r="H1056" s="59"/>
    </row>
    <row r="1057" spans="1:5" x14ac:dyDescent="0.25">
      <c r="A1057" s="50"/>
      <c r="B1057" s="51"/>
      <c r="C1057" s="49"/>
      <c r="D1057" s="65"/>
      <c r="E1057" s="53"/>
    </row>
    <row r="1058" spans="1:5" x14ac:dyDescent="0.25">
      <c r="A1058" s="50"/>
      <c r="B1058" s="51"/>
      <c r="C1058" s="49"/>
      <c r="D1058" s="65"/>
      <c r="E1058" s="53"/>
    </row>
    <row r="1059" spans="1:5" x14ac:dyDescent="0.25">
      <c r="A1059" s="50"/>
      <c r="B1059" s="51"/>
      <c r="C1059" s="49"/>
      <c r="D1059" s="65"/>
      <c r="E1059" s="53"/>
    </row>
    <row r="1060" spans="1:5" x14ac:dyDescent="0.25">
      <c r="A1060" s="50"/>
      <c r="B1060" s="51"/>
      <c r="C1060" s="49"/>
      <c r="D1060" s="65"/>
      <c r="E1060" s="53"/>
    </row>
    <row r="1061" spans="1:5" x14ac:dyDescent="0.25">
      <c r="A1061" s="50"/>
      <c r="B1061" s="51"/>
      <c r="C1061" s="49"/>
      <c r="D1061" s="65"/>
      <c r="E1061" s="53"/>
    </row>
    <row r="1062" spans="1:5" x14ac:dyDescent="0.25">
      <c r="A1062" s="50"/>
      <c r="B1062" s="51"/>
      <c r="C1062" s="49"/>
      <c r="D1062" s="65"/>
      <c r="E1062" s="53"/>
    </row>
    <row r="1063" spans="1:5" x14ac:dyDescent="0.25">
      <c r="A1063" s="50"/>
      <c r="B1063" s="51"/>
      <c r="C1063" s="49"/>
      <c r="D1063" s="65"/>
      <c r="E1063" s="53"/>
    </row>
    <row r="1064" spans="1:5" x14ac:dyDescent="0.25">
      <c r="A1064" s="50"/>
      <c r="B1064" s="51"/>
      <c r="C1064" s="49"/>
      <c r="D1064" s="65"/>
      <c r="E1064" s="53"/>
    </row>
    <row r="1065" spans="1:5" x14ac:dyDescent="0.25">
      <c r="A1065" s="50"/>
      <c r="B1065" s="51"/>
      <c r="C1065" s="49"/>
      <c r="D1065" s="65"/>
      <c r="E1065" s="53"/>
    </row>
    <row r="1066" spans="1:5" x14ac:dyDescent="0.25">
      <c r="A1066" s="50"/>
      <c r="B1066" s="51"/>
      <c r="C1066" s="49"/>
      <c r="D1066" s="65"/>
      <c r="E1066" s="53"/>
    </row>
    <row r="1067" spans="1:5" x14ac:dyDescent="0.25">
      <c r="A1067" s="50"/>
      <c r="B1067" s="51"/>
      <c r="C1067" s="49"/>
      <c r="D1067" s="65"/>
      <c r="E1067" s="53"/>
    </row>
    <row r="1068" spans="1:5" x14ac:dyDescent="0.25">
      <c r="A1068" s="50"/>
      <c r="B1068" s="51"/>
      <c r="C1068" s="49"/>
      <c r="D1068" s="65"/>
      <c r="E1068" s="53"/>
    </row>
    <row r="1069" spans="1:5" x14ac:dyDescent="0.25">
      <c r="A1069" s="50"/>
      <c r="B1069" s="51"/>
      <c r="C1069" s="49"/>
      <c r="D1069" s="65"/>
      <c r="E1069" s="53"/>
    </row>
    <row r="1070" spans="1:5" x14ac:dyDescent="0.25">
      <c r="A1070" s="50"/>
      <c r="B1070" s="51"/>
      <c r="C1070" s="49"/>
      <c r="D1070" s="65"/>
      <c r="E1070" s="53"/>
    </row>
    <row r="1071" spans="1:5" x14ac:dyDescent="0.25">
      <c r="A1071" s="50"/>
      <c r="B1071" s="51"/>
      <c r="C1071" s="49"/>
      <c r="D1071" s="65"/>
      <c r="E1071" s="53"/>
    </row>
    <row r="1072" spans="1:5" x14ac:dyDescent="0.25">
      <c r="A1072" s="50"/>
      <c r="B1072" s="51"/>
      <c r="C1072" s="49"/>
      <c r="D1072" s="65"/>
      <c r="E1072" s="53"/>
    </row>
    <row r="1073" spans="1:7" x14ac:dyDescent="0.25">
      <c r="A1073" s="50"/>
      <c r="B1073" s="51"/>
      <c r="C1073" s="49"/>
      <c r="D1073" s="65"/>
      <c r="E1073" s="53"/>
    </row>
    <row r="1074" spans="1:7" x14ac:dyDescent="0.25">
      <c r="A1074" s="50"/>
      <c r="B1074" s="51"/>
      <c r="C1074" s="49"/>
      <c r="D1074" s="65"/>
      <c r="E1074" s="53"/>
    </row>
    <row r="1075" spans="1:7" x14ac:dyDescent="0.25">
      <c r="A1075" s="50"/>
      <c r="B1075" s="51"/>
      <c r="C1075" s="49"/>
      <c r="D1075" s="65"/>
      <c r="E1075" s="53"/>
    </row>
    <row r="1076" spans="1:7" x14ac:dyDescent="0.25">
      <c r="A1076" s="50"/>
      <c r="B1076" s="51"/>
      <c r="C1076" s="49"/>
      <c r="D1076" s="65"/>
      <c r="E1076" s="53"/>
    </row>
    <row r="1077" spans="1:7" x14ac:dyDescent="0.25">
      <c r="A1077" s="50"/>
      <c r="B1077" s="51"/>
      <c r="C1077" s="49"/>
      <c r="D1077" s="65"/>
      <c r="E1077" s="53"/>
    </row>
    <row r="1078" spans="1:7" x14ac:dyDescent="0.25">
      <c r="A1078" s="50"/>
      <c r="B1078" s="51"/>
      <c r="C1078" s="49"/>
      <c r="D1078" s="65"/>
      <c r="E1078" s="53"/>
    </row>
    <row r="1079" spans="1:7" x14ac:dyDescent="0.25">
      <c r="A1079" s="50"/>
      <c r="B1079" s="51"/>
      <c r="C1079" s="49"/>
      <c r="D1079" s="65"/>
      <c r="E1079" s="53"/>
    </row>
    <row r="1080" spans="1:7" x14ac:dyDescent="0.25">
      <c r="A1080" s="50"/>
      <c r="B1080" s="51"/>
      <c r="C1080" s="49"/>
      <c r="D1080" s="65"/>
      <c r="E1080" s="53"/>
    </row>
    <row r="1081" spans="1:7" x14ac:dyDescent="0.25">
      <c r="A1081" s="50"/>
      <c r="B1081" s="51"/>
      <c r="C1081" s="49"/>
      <c r="D1081" s="65"/>
      <c r="E1081" s="53"/>
    </row>
    <row r="1082" spans="1:7" x14ac:dyDescent="0.25">
      <c r="A1082" s="50"/>
      <c r="B1082" s="51"/>
      <c r="C1082" s="49"/>
      <c r="D1082" s="65"/>
      <c r="E1082" s="53"/>
    </row>
    <row r="1083" spans="1:7" x14ac:dyDescent="0.25">
      <c r="A1083" s="50"/>
      <c r="B1083" s="66"/>
      <c r="C1083" s="49"/>
      <c r="D1083" s="65"/>
      <c r="E1083" s="53"/>
    </row>
    <row r="1084" spans="1:7" x14ac:dyDescent="0.25">
      <c r="A1084" s="50"/>
      <c r="B1084" s="66"/>
      <c r="C1084" s="49"/>
      <c r="D1084" s="65"/>
      <c r="E1084" s="53"/>
      <c r="G1084" s="59"/>
    </row>
    <row r="1085" spans="1:7" x14ac:dyDescent="0.25">
      <c r="A1085" s="50"/>
      <c r="B1085" s="66"/>
      <c r="C1085" s="49"/>
      <c r="D1085" s="65"/>
      <c r="E1085" s="53"/>
    </row>
    <row r="1086" spans="1:7" x14ac:dyDescent="0.25">
      <c r="A1086" s="50"/>
      <c r="B1086" s="66"/>
      <c r="C1086" s="49"/>
      <c r="D1086" s="65"/>
      <c r="E1086" s="53"/>
    </row>
    <row r="1087" spans="1:7" x14ac:dyDescent="0.25">
      <c r="A1087" s="50"/>
      <c r="B1087" s="66"/>
      <c r="C1087" s="49"/>
      <c r="D1087" s="65"/>
      <c r="E1087" s="53"/>
    </row>
    <row r="1088" spans="1:7" x14ac:dyDescent="0.25">
      <c r="A1088" s="50"/>
      <c r="B1088" s="66"/>
      <c r="C1088" s="49"/>
      <c r="D1088" s="65"/>
      <c r="E1088" s="53"/>
    </row>
    <row r="1089" spans="1:5" x14ac:dyDescent="0.25">
      <c r="A1089" s="50"/>
      <c r="B1089" s="66"/>
      <c r="C1089" s="49"/>
      <c r="D1089" s="65"/>
      <c r="E1089" s="53"/>
    </row>
    <row r="1090" spans="1:5" x14ac:dyDescent="0.25">
      <c r="A1090" s="50"/>
      <c r="B1090" s="66"/>
      <c r="C1090" s="49"/>
      <c r="D1090" s="65"/>
      <c r="E1090" s="53"/>
    </row>
    <row r="1091" spans="1:5" x14ac:dyDescent="0.25">
      <c r="A1091" s="50"/>
      <c r="B1091" s="66"/>
      <c r="C1091" s="49"/>
      <c r="D1091" s="65"/>
      <c r="E1091" s="53"/>
    </row>
    <row r="1092" spans="1:5" x14ac:dyDescent="0.25">
      <c r="A1092" s="50"/>
      <c r="B1092" s="66"/>
      <c r="C1092" s="49"/>
      <c r="D1092" s="65"/>
      <c r="E1092" s="53"/>
    </row>
    <row r="1093" spans="1:5" x14ac:dyDescent="0.25">
      <c r="A1093" s="50"/>
      <c r="B1093" s="66"/>
      <c r="C1093" s="49"/>
      <c r="D1093" s="65"/>
      <c r="E1093" s="53"/>
    </row>
    <row r="1094" spans="1:5" x14ac:dyDescent="0.25">
      <c r="A1094" s="50"/>
      <c r="B1094" s="66"/>
      <c r="C1094" s="49"/>
      <c r="D1094" s="65"/>
      <c r="E1094" s="53"/>
    </row>
    <row r="1095" spans="1:5" x14ac:dyDescent="0.25">
      <c r="A1095" s="50"/>
      <c r="B1095" s="66"/>
      <c r="C1095" s="49"/>
      <c r="D1095" s="65"/>
      <c r="E1095" s="53"/>
    </row>
    <row r="1096" spans="1:5" x14ac:dyDescent="0.25">
      <c r="A1096" s="50"/>
      <c r="B1096" s="66"/>
      <c r="C1096" s="49"/>
      <c r="D1096" s="65"/>
      <c r="E1096" s="53"/>
    </row>
    <row r="1097" spans="1:5" x14ac:dyDescent="0.25">
      <c r="A1097" s="50"/>
      <c r="B1097" s="66"/>
      <c r="C1097" s="49"/>
      <c r="D1097" s="65"/>
      <c r="E1097" s="53"/>
    </row>
    <row r="1098" spans="1:5" x14ac:dyDescent="0.25">
      <c r="A1098" s="50"/>
      <c r="B1098" s="66"/>
      <c r="C1098" s="49"/>
      <c r="D1098" s="65"/>
      <c r="E1098" s="53"/>
    </row>
    <row r="1099" spans="1:5" x14ac:dyDescent="0.25">
      <c r="A1099" s="50"/>
      <c r="B1099" s="66"/>
      <c r="C1099" s="49"/>
      <c r="D1099" s="65"/>
      <c r="E1099" s="53"/>
    </row>
    <row r="1100" spans="1:5" x14ac:dyDescent="0.25">
      <c r="A1100" s="50"/>
      <c r="B1100" s="66"/>
      <c r="C1100" s="49"/>
      <c r="D1100" s="65"/>
      <c r="E1100" s="53"/>
    </row>
    <row r="1101" spans="1:5" x14ac:dyDescent="0.25">
      <c r="A1101" s="50"/>
      <c r="B1101" s="66"/>
      <c r="C1101" s="49"/>
      <c r="D1101" s="65"/>
      <c r="E1101" s="53"/>
    </row>
    <row r="1102" spans="1:5" x14ac:dyDescent="0.25">
      <c r="A1102" s="50"/>
      <c r="B1102" s="66"/>
      <c r="C1102" s="49"/>
      <c r="D1102" s="65"/>
      <c r="E1102" s="53"/>
    </row>
    <row r="1103" spans="1:5" x14ac:dyDescent="0.25">
      <c r="A1103" s="50"/>
      <c r="B1103" s="66"/>
      <c r="C1103" s="49"/>
      <c r="D1103" s="65"/>
      <c r="E1103" s="74"/>
    </row>
    <row r="1104" spans="1:5" x14ac:dyDescent="0.25">
      <c r="A1104" s="50"/>
      <c r="B1104" s="66"/>
      <c r="C1104" s="49"/>
      <c r="D1104" s="65"/>
      <c r="E1104" s="53"/>
    </row>
    <row r="1105" spans="1:5" x14ac:dyDescent="0.25">
      <c r="A1105" s="50"/>
      <c r="B1105" s="66"/>
      <c r="C1105" s="49"/>
      <c r="D1105" s="65"/>
      <c r="E1105" s="53"/>
    </row>
    <row r="1106" spans="1:5" x14ac:dyDescent="0.25">
      <c r="A1106" s="50"/>
      <c r="B1106" s="66"/>
      <c r="C1106" s="49"/>
      <c r="D1106" s="65"/>
      <c r="E1106" s="74"/>
    </row>
    <row r="1107" spans="1:5" x14ac:dyDescent="0.25">
      <c r="A1107" s="50"/>
      <c r="B1107" s="66"/>
      <c r="C1107" s="49"/>
      <c r="D1107" s="65"/>
      <c r="E1107" s="53"/>
    </row>
    <row r="1108" spans="1:5" x14ac:dyDescent="0.25">
      <c r="A1108" s="50"/>
      <c r="B1108" s="66"/>
      <c r="C1108" s="49"/>
      <c r="D1108" s="65"/>
      <c r="E1108" s="53"/>
    </row>
    <row r="1109" spans="1:5" x14ac:dyDescent="0.25">
      <c r="A1109" s="50"/>
      <c r="B1109" s="66"/>
      <c r="C1109" s="49"/>
      <c r="D1109" s="65"/>
      <c r="E1109" s="53"/>
    </row>
    <row r="1110" spans="1:5" x14ac:dyDescent="0.25">
      <c r="A1110" s="50"/>
      <c r="B1110" s="66"/>
      <c r="C1110" s="49"/>
      <c r="D1110" s="65"/>
      <c r="E1110" s="53"/>
    </row>
    <row r="1111" spans="1:5" x14ac:dyDescent="0.25">
      <c r="A1111" s="50"/>
      <c r="B1111" s="66"/>
      <c r="C1111" s="49"/>
      <c r="D1111" s="65"/>
      <c r="E1111" s="53"/>
    </row>
    <row r="1112" spans="1:5" x14ac:dyDescent="0.25">
      <c r="A1112" s="50"/>
      <c r="B1112" s="66"/>
      <c r="C1112" s="49"/>
      <c r="D1112" s="65"/>
      <c r="E1112" s="53"/>
    </row>
    <row r="1113" spans="1:5" x14ac:dyDescent="0.25">
      <c r="A1113" s="50"/>
      <c r="B1113" s="66"/>
      <c r="C1113" s="49"/>
      <c r="D1113" s="65"/>
      <c r="E1113" s="53"/>
    </row>
    <row r="1114" spans="1:5" x14ac:dyDescent="0.25">
      <c r="A1114" s="50"/>
      <c r="B1114" s="66"/>
      <c r="C1114" s="49"/>
      <c r="D1114" s="65"/>
      <c r="E1114" s="53"/>
    </row>
    <row r="1115" spans="1:5" x14ac:dyDescent="0.25">
      <c r="A1115" s="50"/>
      <c r="B1115" s="66"/>
      <c r="C1115" s="49"/>
      <c r="D1115" s="65"/>
      <c r="E1115" s="53"/>
    </row>
    <row r="1116" spans="1:5" x14ac:dyDescent="0.25">
      <c r="A1116" s="50"/>
      <c r="B1116" s="66"/>
      <c r="C1116" s="49"/>
      <c r="D1116" s="65"/>
      <c r="E1116" s="53"/>
    </row>
    <row r="1117" spans="1:5" x14ac:dyDescent="0.25">
      <c r="A1117" s="50"/>
      <c r="B1117" s="66"/>
      <c r="C1117" s="49"/>
      <c r="D1117" s="65"/>
      <c r="E1117" s="53"/>
    </row>
    <row r="1118" spans="1:5" x14ac:dyDescent="0.25">
      <c r="A1118" s="50"/>
      <c r="B1118" s="66"/>
      <c r="C1118" s="49"/>
      <c r="D1118" s="65"/>
      <c r="E1118" s="53"/>
    </row>
    <row r="1119" spans="1:5" x14ac:dyDescent="0.25">
      <c r="A1119" s="50"/>
      <c r="B1119" s="66"/>
      <c r="C1119" s="49"/>
      <c r="D1119" s="65"/>
      <c r="E1119" s="53"/>
    </row>
    <row r="1120" spans="1:5" x14ac:dyDescent="0.25">
      <c r="A1120" s="50"/>
      <c r="B1120" s="66"/>
      <c r="C1120" s="49"/>
      <c r="D1120" s="65"/>
      <c r="E1120" s="53"/>
    </row>
    <row r="1121" spans="1:5" x14ac:dyDescent="0.25">
      <c r="A1121" s="50"/>
      <c r="B1121" s="51"/>
      <c r="C1121" s="49"/>
      <c r="D1121" s="65"/>
      <c r="E1121" s="53"/>
    </row>
    <row r="1122" spans="1:5" x14ac:dyDescent="0.25">
      <c r="A1122" s="50"/>
      <c r="B1122" s="66"/>
      <c r="C1122" s="49"/>
      <c r="D1122" s="65"/>
      <c r="E1122" s="53"/>
    </row>
    <row r="1123" spans="1:5" x14ac:dyDescent="0.25">
      <c r="A1123" s="50"/>
      <c r="B1123" s="66"/>
      <c r="C1123" s="49"/>
      <c r="D1123" s="65"/>
      <c r="E1123" s="53"/>
    </row>
    <row r="1124" spans="1:5" x14ac:dyDescent="0.25">
      <c r="A1124" s="50"/>
      <c r="B1124" s="66"/>
      <c r="C1124" s="49"/>
      <c r="D1124" s="65"/>
      <c r="E1124" s="53"/>
    </row>
    <row r="1125" spans="1:5" x14ac:dyDescent="0.25">
      <c r="A1125" s="50"/>
      <c r="B1125" s="66"/>
      <c r="C1125" s="49"/>
      <c r="D1125" s="65"/>
      <c r="E1125" s="53"/>
    </row>
    <row r="1126" spans="1:5" x14ac:dyDescent="0.25">
      <c r="A1126" s="50"/>
      <c r="B1126" s="66"/>
      <c r="C1126" s="49"/>
      <c r="D1126" s="65"/>
      <c r="E1126" s="53"/>
    </row>
    <row r="1127" spans="1:5" x14ac:dyDescent="0.25">
      <c r="A1127" s="50"/>
      <c r="B1127" s="66"/>
      <c r="C1127" s="49"/>
      <c r="D1127" s="65"/>
      <c r="E1127" s="53"/>
    </row>
    <row r="1128" spans="1:5" x14ac:dyDescent="0.25">
      <c r="A1128" s="50"/>
      <c r="B1128" s="66"/>
      <c r="C1128" s="49"/>
      <c r="D1128" s="65"/>
      <c r="E1128" s="53"/>
    </row>
    <row r="1129" spans="1:5" x14ac:dyDescent="0.25">
      <c r="A1129" s="50"/>
      <c r="B1129" s="66"/>
      <c r="C1129" s="49"/>
      <c r="D1129" s="65"/>
      <c r="E1129" s="53"/>
    </row>
    <row r="1130" spans="1:5" x14ac:dyDescent="0.25">
      <c r="A1130" s="50"/>
      <c r="B1130" s="66"/>
      <c r="C1130" s="49"/>
      <c r="D1130" s="65"/>
      <c r="E1130" s="53"/>
    </row>
    <row r="1131" spans="1:5" x14ac:dyDescent="0.25">
      <c r="A1131" s="50"/>
      <c r="B1131" s="66"/>
      <c r="C1131" s="49"/>
      <c r="D1131" s="65"/>
      <c r="E1131" s="53"/>
    </row>
    <row r="1132" spans="1:5" x14ac:dyDescent="0.25">
      <c r="A1132" s="50"/>
      <c r="B1132" s="66"/>
      <c r="C1132" s="49"/>
      <c r="D1132" s="65"/>
      <c r="E1132" s="53"/>
    </row>
    <row r="1133" spans="1:5" x14ac:dyDescent="0.25">
      <c r="A1133" s="50"/>
      <c r="B1133" s="66"/>
      <c r="C1133" s="49"/>
      <c r="D1133" s="65"/>
      <c r="E1133" s="53"/>
    </row>
    <row r="1134" spans="1:5" x14ac:dyDescent="0.25">
      <c r="A1134" s="50"/>
      <c r="B1134" s="66"/>
      <c r="C1134" s="49"/>
      <c r="D1134" s="65"/>
      <c r="E1134" s="53"/>
    </row>
    <row r="1135" spans="1:5" x14ac:dyDescent="0.25">
      <c r="A1135" s="50"/>
      <c r="B1135" s="66"/>
      <c r="C1135" s="49"/>
      <c r="D1135" s="65"/>
      <c r="E1135" s="53"/>
    </row>
    <row r="1136" spans="1:5" x14ac:dyDescent="0.25">
      <c r="A1136" s="50"/>
      <c r="B1136" s="51"/>
      <c r="C1136" s="49"/>
      <c r="D1136" s="65"/>
      <c r="E1136" s="53"/>
    </row>
    <row r="1137" spans="1:8" x14ac:dyDescent="0.25">
      <c r="A1137" s="50"/>
      <c r="B1137" s="51"/>
      <c r="C1137" s="49"/>
      <c r="D1137" s="65"/>
      <c r="E1137" s="53"/>
    </row>
    <row r="1138" spans="1:8" x14ac:dyDescent="0.25">
      <c r="A1138" s="50"/>
      <c r="B1138" s="51"/>
      <c r="C1138" s="49"/>
      <c r="D1138" s="65"/>
      <c r="E1138" s="53"/>
    </row>
    <row r="1139" spans="1:8" x14ac:dyDescent="0.25">
      <c r="A1139" s="50"/>
      <c r="B1139" s="51"/>
      <c r="C1139" s="49"/>
      <c r="D1139" s="65"/>
      <c r="E1139" s="53"/>
    </row>
    <row r="1140" spans="1:8" x14ac:dyDescent="0.25">
      <c r="A1140" s="50"/>
      <c r="B1140" s="51"/>
      <c r="C1140" s="49"/>
      <c r="D1140" s="65"/>
      <c r="E1140" s="53"/>
      <c r="H1140" s="75"/>
    </row>
    <row r="1141" spans="1:8" x14ac:dyDescent="0.25">
      <c r="A1141" s="50"/>
      <c r="B1141" s="51"/>
      <c r="C1141" s="49"/>
      <c r="D1141" s="65"/>
      <c r="E1141" s="53"/>
    </row>
    <row r="1142" spans="1:8" x14ac:dyDescent="0.25">
      <c r="A1142" s="50"/>
      <c r="B1142" s="51"/>
      <c r="C1142" s="49"/>
      <c r="D1142" s="65"/>
      <c r="E1142" s="53"/>
    </row>
    <row r="1143" spans="1:8" x14ac:dyDescent="0.25">
      <c r="A1143" s="50"/>
      <c r="B1143" s="51"/>
      <c r="C1143" s="49"/>
      <c r="D1143" s="65"/>
      <c r="E1143" s="53"/>
    </row>
    <row r="1144" spans="1:8" x14ac:dyDescent="0.25">
      <c r="A1144" s="50"/>
      <c r="B1144" s="51"/>
      <c r="C1144" s="49"/>
      <c r="D1144" s="65"/>
      <c r="E1144" s="53"/>
    </row>
    <row r="1145" spans="1:8" x14ac:dyDescent="0.25">
      <c r="A1145" s="50"/>
      <c r="B1145" s="51"/>
      <c r="C1145" s="49"/>
      <c r="D1145" s="65"/>
      <c r="E1145" s="53"/>
    </row>
    <row r="1146" spans="1:8" x14ac:dyDescent="0.25">
      <c r="A1146" s="50"/>
      <c r="B1146" s="51"/>
      <c r="C1146" s="49"/>
      <c r="D1146" s="65"/>
      <c r="E1146" s="53"/>
    </row>
    <row r="1147" spans="1:8" x14ac:dyDescent="0.25">
      <c r="A1147" s="50"/>
      <c r="B1147" s="51"/>
      <c r="C1147" s="49"/>
      <c r="D1147" s="65"/>
      <c r="E1147" s="53"/>
    </row>
    <row r="1148" spans="1:8" x14ac:dyDescent="0.25">
      <c r="A1148" s="50"/>
      <c r="B1148" s="51"/>
      <c r="C1148" s="49"/>
      <c r="D1148" s="65"/>
      <c r="E1148" s="53"/>
    </row>
    <row r="1149" spans="1:8" x14ac:dyDescent="0.25">
      <c r="A1149" s="50"/>
      <c r="B1149" s="51"/>
      <c r="C1149" s="49"/>
      <c r="D1149" s="65"/>
      <c r="E1149" s="53"/>
    </row>
    <row r="1150" spans="1:8" x14ac:dyDescent="0.25">
      <c r="A1150" s="50"/>
      <c r="B1150" s="51"/>
      <c r="C1150" s="49"/>
      <c r="D1150" s="65"/>
      <c r="E1150" s="53"/>
    </row>
    <row r="1151" spans="1:8" x14ac:dyDescent="0.25">
      <c r="A1151" s="50"/>
      <c r="B1151" s="51"/>
      <c r="C1151" s="49"/>
      <c r="D1151" s="65"/>
      <c r="E1151" s="53"/>
    </row>
    <row r="1152" spans="1:8" x14ac:dyDescent="0.25">
      <c r="A1152" s="50"/>
      <c r="B1152" s="51"/>
      <c r="C1152" s="49"/>
      <c r="D1152" s="65"/>
      <c r="E1152" s="53"/>
    </row>
    <row r="1153" spans="1:5" x14ac:dyDescent="0.25">
      <c r="A1153" s="50"/>
      <c r="B1153" s="51"/>
      <c r="C1153" s="49"/>
      <c r="D1153" s="65"/>
      <c r="E1153" s="53"/>
    </row>
    <row r="1154" spans="1:5" x14ac:dyDescent="0.25">
      <c r="A1154" s="50"/>
      <c r="B1154" s="51"/>
      <c r="C1154" s="49"/>
      <c r="D1154" s="65"/>
      <c r="E1154" s="53"/>
    </row>
    <row r="1155" spans="1:5" x14ac:dyDescent="0.25">
      <c r="A1155" s="76"/>
      <c r="B1155" s="51"/>
      <c r="C1155" s="49"/>
      <c r="D1155" s="65"/>
      <c r="E1155" s="53"/>
    </row>
    <row r="1156" spans="1:5" x14ac:dyDescent="0.25">
      <c r="A1156" s="50"/>
      <c r="B1156" s="51"/>
      <c r="C1156" s="49"/>
      <c r="D1156" s="65"/>
      <c r="E1156" s="53"/>
    </row>
    <row r="1157" spans="1:5" x14ac:dyDescent="0.25">
      <c r="A1157" s="50"/>
      <c r="B1157" s="51"/>
      <c r="C1157" s="49"/>
      <c r="D1157" s="65"/>
      <c r="E1157" s="53"/>
    </row>
    <row r="1158" spans="1:5" x14ac:dyDescent="0.25">
      <c r="A1158" s="50"/>
      <c r="B1158" s="51"/>
      <c r="C1158" s="49"/>
      <c r="D1158" s="65"/>
      <c r="E1158" s="53"/>
    </row>
    <row r="1159" spans="1:5" x14ac:dyDescent="0.25">
      <c r="A1159" s="50"/>
      <c r="B1159" s="51"/>
      <c r="C1159" s="49"/>
      <c r="D1159" s="65"/>
      <c r="E1159" s="53"/>
    </row>
    <row r="1160" spans="1:5" x14ac:dyDescent="0.25">
      <c r="A1160" s="50"/>
      <c r="B1160" s="66"/>
      <c r="C1160" s="49"/>
      <c r="D1160" s="65"/>
      <c r="E1160" s="53"/>
    </row>
    <row r="1161" spans="1:5" x14ac:dyDescent="0.25">
      <c r="A1161" s="50"/>
      <c r="B1161" s="66"/>
      <c r="C1161" s="49"/>
      <c r="D1161" s="65"/>
      <c r="E1161" s="53"/>
    </row>
    <row r="1162" spans="1:5" x14ac:dyDescent="0.25">
      <c r="A1162" s="50"/>
      <c r="B1162" s="66"/>
      <c r="C1162" s="49"/>
      <c r="D1162" s="65"/>
      <c r="E1162" s="53"/>
    </row>
    <row r="1163" spans="1:5" x14ac:dyDescent="0.25">
      <c r="A1163" s="50"/>
      <c r="B1163" s="66"/>
      <c r="C1163" s="49"/>
      <c r="D1163" s="65"/>
      <c r="E1163" s="53"/>
    </row>
    <row r="1164" spans="1:5" x14ac:dyDescent="0.25">
      <c r="A1164" s="50"/>
      <c r="B1164" s="66"/>
      <c r="C1164" s="49"/>
      <c r="D1164" s="65"/>
      <c r="E1164" s="53"/>
    </row>
    <row r="1165" spans="1:5" x14ac:dyDescent="0.25">
      <c r="A1165" s="50"/>
      <c r="B1165" s="66"/>
      <c r="C1165" s="49"/>
      <c r="D1165" s="65"/>
      <c r="E1165" s="53"/>
    </row>
    <row r="1166" spans="1:5" x14ac:dyDescent="0.25">
      <c r="A1166" s="50"/>
      <c r="B1166" s="66"/>
      <c r="C1166" s="49"/>
      <c r="D1166" s="65"/>
      <c r="E1166" s="53"/>
    </row>
    <row r="1167" spans="1:5" x14ac:dyDescent="0.25">
      <c r="A1167" s="50"/>
      <c r="B1167" s="66"/>
      <c r="C1167" s="49"/>
      <c r="D1167" s="65"/>
      <c r="E1167" s="53"/>
    </row>
    <row r="1168" spans="1:5" x14ac:dyDescent="0.25">
      <c r="A1168" s="50"/>
      <c r="B1168" s="66"/>
      <c r="C1168" s="49"/>
      <c r="D1168" s="65"/>
      <c r="E1168" s="53"/>
    </row>
    <row r="1169" spans="1:5" x14ac:dyDescent="0.25">
      <c r="A1169" s="50"/>
      <c r="B1169" s="66"/>
      <c r="C1169" s="49"/>
      <c r="D1169" s="65"/>
      <c r="E1169" s="53"/>
    </row>
    <row r="1170" spans="1:5" x14ac:dyDescent="0.25">
      <c r="A1170" s="50"/>
      <c r="B1170" s="66"/>
      <c r="C1170" s="49"/>
      <c r="D1170" s="65"/>
      <c r="E1170" s="53"/>
    </row>
    <row r="1171" spans="1:5" x14ac:dyDescent="0.25">
      <c r="A1171" s="50"/>
      <c r="B1171" s="66"/>
      <c r="C1171" s="49"/>
      <c r="D1171" s="65"/>
      <c r="E1171" s="53"/>
    </row>
    <row r="1172" spans="1:5" x14ac:dyDescent="0.25">
      <c r="A1172" s="50"/>
      <c r="B1172" s="51"/>
      <c r="C1172" s="49"/>
      <c r="D1172" s="65"/>
      <c r="E1172" s="53"/>
    </row>
    <row r="1173" spans="1:5" x14ac:dyDescent="0.25">
      <c r="A1173" s="50"/>
      <c r="B1173" s="66"/>
      <c r="C1173" s="49"/>
      <c r="D1173" s="65"/>
      <c r="E1173" s="53"/>
    </row>
    <row r="1174" spans="1:5" x14ac:dyDescent="0.25">
      <c r="A1174" s="50"/>
      <c r="B1174" s="66"/>
      <c r="C1174" s="49"/>
      <c r="D1174" s="65"/>
      <c r="E1174" s="53"/>
    </row>
    <row r="1175" spans="1:5" x14ac:dyDescent="0.25">
      <c r="A1175" s="50"/>
      <c r="B1175" s="66"/>
      <c r="C1175" s="49"/>
      <c r="D1175" s="65"/>
      <c r="E1175" s="53"/>
    </row>
    <row r="1176" spans="1:5" x14ac:dyDescent="0.25">
      <c r="A1176" s="50"/>
      <c r="B1176" s="66"/>
      <c r="C1176" s="49"/>
      <c r="D1176" s="65"/>
      <c r="E1176" s="53"/>
    </row>
    <row r="1177" spans="1:5" x14ac:dyDescent="0.25">
      <c r="A1177" s="50"/>
      <c r="B1177" s="66"/>
      <c r="C1177" s="49"/>
      <c r="D1177" s="65"/>
      <c r="E1177" s="53"/>
    </row>
    <row r="1178" spans="1:5" x14ac:dyDescent="0.25">
      <c r="A1178" s="50"/>
      <c r="B1178" s="66"/>
      <c r="C1178" s="49"/>
      <c r="D1178" s="65"/>
      <c r="E1178" s="53"/>
    </row>
    <row r="1179" spans="1:5" x14ac:dyDescent="0.25">
      <c r="A1179" s="50"/>
      <c r="B1179" s="66"/>
      <c r="C1179" s="49"/>
      <c r="D1179" s="65"/>
      <c r="E1179" s="53"/>
    </row>
    <row r="1180" spans="1:5" x14ac:dyDescent="0.25">
      <c r="A1180" s="50"/>
      <c r="B1180" s="66"/>
      <c r="C1180" s="49"/>
      <c r="D1180" s="65"/>
      <c r="E1180" s="53"/>
    </row>
    <row r="1181" spans="1:5" x14ac:dyDescent="0.25">
      <c r="A1181" s="50"/>
      <c r="B1181" s="66"/>
      <c r="C1181" s="49"/>
      <c r="D1181" s="65"/>
      <c r="E1181" s="53"/>
    </row>
    <row r="1182" spans="1:5" x14ac:dyDescent="0.25">
      <c r="A1182" s="50"/>
      <c r="B1182" s="66"/>
      <c r="C1182" s="49"/>
      <c r="D1182" s="65"/>
      <c r="E1182" s="53"/>
    </row>
    <row r="1183" spans="1:5" x14ac:dyDescent="0.25">
      <c r="A1183" s="50"/>
      <c r="B1183" s="66"/>
      <c r="C1183" s="49"/>
      <c r="D1183" s="65"/>
      <c r="E1183" s="53"/>
    </row>
    <row r="1184" spans="1:5" x14ac:dyDescent="0.25">
      <c r="A1184" s="50"/>
      <c r="B1184" s="66"/>
      <c r="C1184" s="49"/>
      <c r="D1184" s="65"/>
      <c r="E1184" s="53"/>
    </row>
    <row r="1185" spans="1:5" x14ac:dyDescent="0.25">
      <c r="A1185" s="50"/>
      <c r="B1185" s="66"/>
      <c r="C1185" s="49"/>
      <c r="D1185" s="65"/>
      <c r="E1185" s="53"/>
    </row>
    <row r="1186" spans="1:5" x14ac:dyDescent="0.25">
      <c r="A1186" s="50"/>
      <c r="B1186" s="66"/>
      <c r="C1186" s="49"/>
      <c r="D1186" s="65"/>
      <c r="E1186" s="53"/>
    </row>
    <row r="1187" spans="1:5" x14ac:dyDescent="0.25">
      <c r="A1187" s="50"/>
      <c r="B1187" s="66"/>
      <c r="C1187" s="49"/>
      <c r="D1187" s="65"/>
      <c r="E1187" s="53"/>
    </row>
    <row r="1188" spans="1:5" x14ac:dyDescent="0.25">
      <c r="A1188" s="50"/>
      <c r="B1188" s="66"/>
      <c r="C1188" s="49"/>
      <c r="D1188" s="65"/>
      <c r="E1188" s="53"/>
    </row>
    <row r="1189" spans="1:5" x14ac:dyDescent="0.25">
      <c r="A1189" s="50"/>
      <c r="B1189" s="66"/>
      <c r="C1189" s="49"/>
      <c r="D1189" s="65"/>
      <c r="E1189" s="53"/>
    </row>
    <row r="1190" spans="1:5" x14ac:dyDescent="0.25">
      <c r="A1190" s="50"/>
      <c r="B1190" s="66"/>
      <c r="C1190" s="49"/>
      <c r="D1190" s="65"/>
      <c r="E1190" s="53"/>
    </row>
    <row r="1191" spans="1:5" x14ac:dyDescent="0.25">
      <c r="A1191" s="50"/>
      <c r="B1191" s="66"/>
      <c r="C1191" s="49"/>
      <c r="D1191" s="65"/>
      <c r="E1191" s="53"/>
    </row>
    <row r="1192" spans="1:5" x14ac:dyDescent="0.25">
      <c r="A1192" s="50"/>
      <c r="B1192" s="51"/>
      <c r="C1192" s="49"/>
      <c r="D1192" s="65"/>
      <c r="E1192" s="53"/>
    </row>
    <row r="1193" spans="1:5" x14ac:dyDescent="0.25">
      <c r="A1193" s="50"/>
      <c r="B1193" s="51"/>
      <c r="C1193" s="49"/>
      <c r="D1193" s="65"/>
      <c r="E1193" s="53"/>
    </row>
    <row r="1194" spans="1:5" x14ac:dyDescent="0.25">
      <c r="A1194" s="50"/>
      <c r="B1194" s="51"/>
      <c r="C1194" s="49"/>
      <c r="D1194" s="65"/>
      <c r="E1194" s="53"/>
    </row>
    <row r="1195" spans="1:5" x14ac:dyDescent="0.25">
      <c r="A1195" s="50"/>
      <c r="B1195" s="51"/>
      <c r="C1195" s="49"/>
      <c r="D1195" s="65"/>
      <c r="E1195" s="53"/>
    </row>
    <row r="1196" spans="1:5" x14ac:dyDescent="0.25">
      <c r="A1196" s="50"/>
      <c r="B1196" s="51"/>
      <c r="C1196" s="49"/>
      <c r="D1196" s="65"/>
      <c r="E1196" s="53"/>
    </row>
    <row r="1197" spans="1:5" x14ac:dyDescent="0.25">
      <c r="A1197" s="50"/>
      <c r="B1197" s="51"/>
      <c r="C1197" s="49"/>
      <c r="D1197" s="65"/>
      <c r="E1197" s="53"/>
    </row>
    <row r="1198" spans="1:5" x14ac:dyDescent="0.25">
      <c r="A1198" s="50"/>
      <c r="B1198" s="51"/>
      <c r="C1198" s="49"/>
      <c r="D1198" s="65"/>
      <c r="E1198" s="53"/>
    </row>
    <row r="1199" spans="1:5" x14ac:dyDescent="0.25">
      <c r="A1199" s="50"/>
      <c r="B1199" s="51"/>
      <c r="C1199" s="49"/>
      <c r="D1199" s="65"/>
      <c r="E1199" s="53"/>
    </row>
    <row r="1200" spans="1:5" x14ac:dyDescent="0.25">
      <c r="A1200" s="50"/>
      <c r="B1200" s="51"/>
      <c r="C1200" s="49"/>
      <c r="D1200" s="65"/>
      <c r="E1200" s="53"/>
    </row>
    <row r="1201" spans="1:5" x14ac:dyDescent="0.25">
      <c r="A1201" s="50"/>
      <c r="B1201" s="51"/>
      <c r="C1201" s="49"/>
      <c r="D1201" s="65"/>
      <c r="E1201" s="53"/>
    </row>
    <row r="1202" spans="1:5" x14ac:dyDescent="0.25">
      <c r="A1202" s="50"/>
      <c r="B1202" s="51"/>
      <c r="C1202" s="49"/>
      <c r="D1202" s="65"/>
      <c r="E1202" s="53"/>
    </row>
    <row r="1203" spans="1:5" x14ac:dyDescent="0.25">
      <c r="A1203" s="50"/>
      <c r="B1203" s="51"/>
      <c r="C1203" s="49"/>
      <c r="D1203" s="65"/>
      <c r="E1203" s="53"/>
    </row>
    <row r="1204" spans="1:5" x14ac:dyDescent="0.25">
      <c r="A1204" s="50"/>
      <c r="B1204" s="51"/>
      <c r="C1204" s="49"/>
      <c r="D1204" s="65"/>
      <c r="E1204" s="53"/>
    </row>
    <row r="1205" spans="1:5" x14ac:dyDescent="0.25">
      <c r="A1205" s="50"/>
      <c r="B1205" s="51"/>
      <c r="C1205" s="49"/>
      <c r="D1205" s="65"/>
      <c r="E1205" s="53"/>
    </row>
    <row r="1206" spans="1:5" x14ac:dyDescent="0.25">
      <c r="A1206" s="50"/>
      <c r="B1206" s="51"/>
      <c r="C1206" s="77"/>
      <c r="D1206" s="65"/>
      <c r="E1206" s="53"/>
    </row>
    <row r="1207" spans="1:5" x14ac:dyDescent="0.25">
      <c r="A1207" s="50"/>
      <c r="B1207" s="51"/>
      <c r="C1207" s="77"/>
      <c r="D1207" s="65"/>
      <c r="E1207" s="53"/>
    </row>
    <row r="1208" spans="1:5" x14ac:dyDescent="0.25">
      <c r="A1208" s="50"/>
      <c r="B1208" s="51"/>
      <c r="C1208" s="77"/>
      <c r="D1208" s="65"/>
      <c r="E1208" s="53"/>
    </row>
    <row r="1209" spans="1:5" x14ac:dyDescent="0.25">
      <c r="A1209" s="50"/>
      <c r="B1209" s="51"/>
      <c r="C1209" s="77"/>
      <c r="D1209" s="65"/>
      <c r="E1209" s="53"/>
    </row>
    <row r="1210" spans="1:5" x14ac:dyDescent="0.25">
      <c r="A1210" s="50"/>
      <c r="B1210" s="51"/>
      <c r="C1210" s="77"/>
      <c r="D1210" s="65"/>
      <c r="E1210" s="53"/>
    </row>
    <row r="1211" spans="1:5" x14ac:dyDescent="0.25">
      <c r="A1211" s="50"/>
      <c r="B1211" s="51"/>
      <c r="C1211" s="77"/>
      <c r="D1211" s="65"/>
      <c r="E1211" s="53"/>
    </row>
    <row r="1212" spans="1:5" x14ac:dyDescent="0.25">
      <c r="A1212" s="50"/>
      <c r="B1212" s="51"/>
      <c r="C1212" s="77"/>
      <c r="D1212" s="65"/>
      <c r="E1212" s="53"/>
    </row>
    <row r="1213" spans="1:5" x14ac:dyDescent="0.25">
      <c r="A1213" s="50"/>
      <c r="B1213" s="51"/>
      <c r="C1213" s="77"/>
      <c r="D1213" s="65"/>
      <c r="E1213" s="53"/>
    </row>
    <row r="1214" spans="1:5" x14ac:dyDescent="0.25">
      <c r="A1214" s="50"/>
      <c r="B1214" s="51"/>
      <c r="C1214" s="77"/>
      <c r="D1214" s="65"/>
      <c r="E1214" s="53"/>
    </row>
    <row r="1215" spans="1:5" x14ac:dyDescent="0.25">
      <c r="A1215" s="50"/>
      <c r="B1215" s="51"/>
      <c r="C1215" s="77"/>
      <c r="D1215" s="65"/>
      <c r="E1215" s="53"/>
    </row>
    <row r="1216" spans="1:5" x14ac:dyDescent="0.25">
      <c r="A1216" s="50"/>
      <c r="B1216" s="51"/>
      <c r="C1216" s="49"/>
      <c r="D1216" s="65"/>
      <c r="E1216" s="53"/>
    </row>
    <row r="1217" spans="1:5" x14ac:dyDescent="0.25">
      <c r="A1217" s="50"/>
      <c r="B1217" s="51"/>
      <c r="C1217" s="49"/>
      <c r="D1217" s="65"/>
      <c r="E1217" s="53"/>
    </row>
    <row r="1218" spans="1:5" x14ac:dyDescent="0.25">
      <c r="A1218" s="50"/>
      <c r="B1218" s="51"/>
      <c r="C1218" s="77"/>
      <c r="D1218" s="65"/>
      <c r="E1218" s="53"/>
    </row>
    <row r="1219" spans="1:5" x14ac:dyDescent="0.25">
      <c r="A1219" s="50"/>
      <c r="B1219" s="51"/>
      <c r="C1219" s="77"/>
      <c r="D1219" s="65"/>
      <c r="E1219" s="53"/>
    </row>
    <row r="1220" spans="1:5" x14ac:dyDescent="0.25">
      <c r="A1220" s="50"/>
      <c r="B1220" s="51"/>
      <c r="C1220" s="77"/>
      <c r="D1220" s="65"/>
      <c r="E1220" s="53"/>
    </row>
    <row r="1221" spans="1:5" x14ac:dyDescent="0.25">
      <c r="A1221" s="50"/>
      <c r="B1221" s="51"/>
      <c r="C1221" s="49"/>
      <c r="D1221" s="65"/>
      <c r="E1221" s="53"/>
    </row>
    <row r="1222" spans="1:5" x14ac:dyDescent="0.25">
      <c r="A1222" s="50"/>
      <c r="B1222" s="51"/>
      <c r="C1222" s="49"/>
      <c r="D1222" s="65"/>
      <c r="E1222" s="53"/>
    </row>
    <row r="1223" spans="1:5" x14ac:dyDescent="0.25">
      <c r="A1223" s="50"/>
      <c r="B1223" s="51"/>
      <c r="C1223" s="49"/>
      <c r="D1223" s="65"/>
      <c r="E1223" s="53"/>
    </row>
    <row r="1224" spans="1:5" x14ac:dyDescent="0.25">
      <c r="A1224" s="50"/>
      <c r="B1224" s="51"/>
      <c r="C1224" s="49"/>
      <c r="D1224" s="65"/>
      <c r="E1224" s="53"/>
    </row>
    <row r="1225" spans="1:5" x14ac:dyDescent="0.25">
      <c r="A1225" s="50"/>
      <c r="B1225" s="51"/>
      <c r="C1225" s="49"/>
      <c r="D1225" s="65"/>
      <c r="E1225" s="53"/>
    </row>
    <row r="1226" spans="1:5" x14ac:dyDescent="0.25">
      <c r="A1226" s="50"/>
      <c r="B1226" s="51"/>
      <c r="C1226" s="49"/>
      <c r="D1226" s="65"/>
      <c r="E1226" s="53"/>
    </row>
    <row r="1227" spans="1:5" x14ac:dyDescent="0.25">
      <c r="A1227" s="50"/>
      <c r="B1227" s="51"/>
      <c r="C1227" s="49"/>
      <c r="D1227" s="65"/>
      <c r="E1227" s="53"/>
    </row>
    <row r="1228" spans="1:5" x14ac:dyDescent="0.25">
      <c r="A1228" s="50"/>
      <c r="B1228" s="51"/>
      <c r="C1228" s="49"/>
      <c r="D1228" s="65"/>
      <c r="E1228" s="53"/>
    </row>
    <row r="1229" spans="1:5" x14ac:dyDescent="0.25">
      <c r="A1229" s="50"/>
      <c r="B1229" s="51"/>
      <c r="C1229" s="49"/>
      <c r="D1229" s="65"/>
      <c r="E1229" s="53"/>
    </row>
    <row r="1230" spans="1:5" x14ac:dyDescent="0.25">
      <c r="A1230" s="50"/>
      <c r="B1230" s="51"/>
      <c r="C1230" s="49"/>
      <c r="D1230" s="65"/>
      <c r="E1230" s="53"/>
    </row>
    <row r="1231" spans="1:5" x14ac:dyDescent="0.25">
      <c r="A1231" s="50"/>
      <c r="B1231" s="51"/>
      <c r="C1231" s="49"/>
      <c r="D1231" s="65"/>
      <c r="E1231" s="53"/>
    </row>
    <row r="1232" spans="1:5" x14ac:dyDescent="0.25">
      <c r="A1232" s="50"/>
      <c r="B1232" s="51"/>
      <c r="C1232" s="49"/>
      <c r="D1232" s="65"/>
      <c r="E1232" s="53"/>
    </row>
    <row r="1233" spans="1:5" x14ac:dyDescent="0.25">
      <c r="A1233" s="50"/>
      <c r="B1233" s="51"/>
      <c r="C1233" s="49"/>
      <c r="D1233" s="65"/>
      <c r="E1233" s="53"/>
    </row>
    <row r="1234" spans="1:5" x14ac:dyDescent="0.25">
      <c r="A1234" s="50"/>
      <c r="B1234" s="51"/>
      <c r="C1234" s="49"/>
      <c r="D1234" s="65"/>
      <c r="E1234" s="53"/>
    </row>
    <row r="1235" spans="1:5" x14ac:dyDescent="0.25">
      <c r="A1235" s="50"/>
      <c r="B1235" s="51"/>
      <c r="C1235" s="49"/>
      <c r="D1235" s="65"/>
      <c r="E1235" s="53"/>
    </row>
    <row r="1236" spans="1:5" x14ac:dyDescent="0.25">
      <c r="A1236" s="50"/>
      <c r="B1236" s="51"/>
      <c r="C1236" s="49"/>
      <c r="D1236" s="65"/>
      <c r="E1236" s="53"/>
    </row>
    <row r="1237" spans="1:5" x14ac:dyDescent="0.25">
      <c r="D1237" s="65"/>
      <c r="E1237" s="53"/>
    </row>
    <row r="1238" spans="1:5" x14ac:dyDescent="0.25">
      <c r="D1238" s="65"/>
      <c r="E1238" s="53"/>
    </row>
    <row r="1239" spans="1:5" x14ac:dyDescent="0.25">
      <c r="D1239" s="65"/>
      <c r="E1239" s="53"/>
    </row>
    <row r="1240" spans="1:5" x14ac:dyDescent="0.25">
      <c r="D1240" s="65"/>
      <c r="E1240" s="53"/>
    </row>
    <row r="1241" spans="1:5" x14ac:dyDescent="0.25">
      <c r="D1241" s="65"/>
      <c r="E1241" s="53"/>
    </row>
    <row r="1242" spans="1:5" x14ac:dyDescent="0.25">
      <c r="D1242" s="65"/>
      <c r="E1242" s="53"/>
    </row>
    <row r="1243" spans="1:5" x14ac:dyDescent="0.25">
      <c r="E1243" s="53"/>
    </row>
    <row r="1244" spans="1:5" x14ac:dyDescent="0.25">
      <c r="E1244" s="53"/>
    </row>
  </sheetData>
  <dataConsolidate/>
  <mergeCells count="5">
    <mergeCell ref="B31:E31"/>
    <mergeCell ref="A4:E4"/>
    <mergeCell ref="D2:E2"/>
    <mergeCell ref="D3:E3"/>
    <mergeCell ref="B30:E30"/>
  </mergeCells>
  <phoneticPr fontId="0" type="noConversion"/>
  <printOptions horizontalCentered="1"/>
  <pageMargins left="0.37" right="0.26" top="1.74" bottom="1" header="0.5" footer="0.5"/>
  <pageSetup scale="91" orientation="portrait" r:id="rId1"/>
  <headerFooter scaleWithDoc="0">
    <oddHeader>&amp;L&amp;G</oddHeader>
    <oddFooter xml:space="preserve">&amp;L&amp;"Times New Roman,Regular"&amp;9&amp;F
&amp;D
</oddFooter>
  </headerFooter>
  <rowBreaks count="2" manualBreakCount="2">
    <brk id="37" max="65535" man="1"/>
    <brk id="68" max="65535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6"/>
    </sheetView>
  </sheetViews>
  <sheetFormatPr defaultRowHeight="1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PTTYCSH</vt:lpstr>
      <vt:lpstr>Sheet1</vt:lpstr>
      <vt:lpstr>PTTYCSH!Print_Area</vt:lpstr>
      <vt:lpstr>PTTYCSH!Print_Titles</vt:lpstr>
    </vt:vector>
  </TitlesOfParts>
  <Company>Lieberman Management Services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Darlene Prochnow</dc:creator>
  <cp:lastModifiedBy>Lisette</cp:lastModifiedBy>
  <cp:lastPrinted>2013-03-26T18:41:31Z</cp:lastPrinted>
  <dcterms:created xsi:type="dcterms:W3CDTF">1999-09-20T14:11:44Z</dcterms:created>
  <dcterms:modified xsi:type="dcterms:W3CDTF">2013-03-26T18:42:02Z</dcterms:modified>
</cp:coreProperties>
</file>