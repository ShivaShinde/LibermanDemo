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8415" windowHeight="11595" activeTab="3"/>
  </bookViews>
  <sheets>
    <sheet name="LU" sheetId="2" r:id="rId1"/>
    <sheet name="Operating Main Budget" sheetId="3" r:id="rId2"/>
    <sheet name="Reserve Budget Main" sheetId="4" r:id="rId3"/>
    <sheet name="Operating Upload" sheetId="5" r:id="rId4"/>
    <sheet name="Reserve Upload" sheetId="6" r:id="rId5"/>
  </sheets>
  <definedNames>
    <definedName name="_xlnm._FilterDatabase" localSheetId="1" hidden="1">'Operating Main Budget'!$A$1:$T$73</definedName>
    <definedName name="_xlnm._FilterDatabase" localSheetId="3" hidden="1">'Operating Upload'!$A$1:$N$31</definedName>
    <definedName name="_xlnm._FilterDatabase" localSheetId="2" hidden="1">'Reserve Budget Main'!$A$1:$F$1</definedName>
    <definedName name="gllu">LU!$A$1:$B$838</definedName>
  </definedNames>
  <calcPr calcId="145621"/>
</workbook>
</file>

<file path=xl/calcChain.xml><?xml version="1.0" encoding="utf-8"?>
<calcChain xmlns="http://schemas.openxmlformats.org/spreadsheetml/2006/main">
  <c r="N25" i="6" l="1"/>
  <c r="M25" i="6"/>
  <c r="L25" i="6"/>
  <c r="K25" i="6"/>
  <c r="J25" i="6"/>
  <c r="I25" i="6"/>
  <c r="H25" i="6"/>
  <c r="G25" i="6"/>
  <c r="F25" i="6"/>
  <c r="E25" i="6"/>
  <c r="D25" i="6"/>
  <c r="C25" i="6"/>
  <c r="N24" i="6"/>
  <c r="M24" i="6"/>
  <c r="L24" i="6"/>
  <c r="K24" i="6"/>
  <c r="J24" i="6"/>
  <c r="I24" i="6"/>
  <c r="H24" i="6"/>
  <c r="G24" i="6"/>
  <c r="F24" i="6"/>
  <c r="E24" i="6"/>
  <c r="D24" i="6"/>
  <c r="C24" i="6"/>
  <c r="N23" i="6"/>
  <c r="M23" i="6"/>
  <c r="L23" i="6"/>
  <c r="K23" i="6"/>
  <c r="J23" i="6"/>
  <c r="I23" i="6"/>
  <c r="H23" i="6"/>
  <c r="G23" i="6"/>
  <c r="F23" i="6"/>
  <c r="E23" i="6"/>
  <c r="D23" i="6"/>
  <c r="C23" i="6"/>
  <c r="N22" i="6"/>
  <c r="M22" i="6"/>
  <c r="L22" i="6"/>
  <c r="K22" i="6"/>
  <c r="J22" i="6"/>
  <c r="I22" i="6"/>
  <c r="H22" i="6"/>
  <c r="G22" i="6"/>
  <c r="F22" i="6"/>
  <c r="E22" i="6"/>
  <c r="D22" i="6"/>
  <c r="C22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S23" i="4"/>
  <c r="R23" i="4"/>
  <c r="Q23" i="4"/>
  <c r="P23" i="4"/>
  <c r="O23" i="4"/>
  <c r="N23" i="4"/>
  <c r="M23" i="4"/>
  <c r="L23" i="4"/>
  <c r="K23" i="4"/>
  <c r="J23" i="4"/>
  <c r="I23" i="4"/>
  <c r="H23" i="4"/>
  <c r="T23" i="4" s="1"/>
  <c r="S22" i="4"/>
  <c r="R22" i="4"/>
  <c r="Q22" i="4"/>
  <c r="P22" i="4"/>
  <c r="O22" i="4"/>
  <c r="N22" i="4"/>
  <c r="M22" i="4"/>
  <c r="L22" i="4"/>
  <c r="K22" i="4"/>
  <c r="J22" i="4"/>
  <c r="I22" i="4"/>
  <c r="H22" i="4"/>
  <c r="T22" i="4" s="1"/>
  <c r="S21" i="4"/>
  <c r="R21" i="4"/>
  <c r="Q21" i="4"/>
  <c r="P21" i="4"/>
  <c r="O21" i="4"/>
  <c r="N21" i="4"/>
  <c r="M21" i="4"/>
  <c r="L21" i="4"/>
  <c r="K21" i="4"/>
  <c r="J21" i="4"/>
  <c r="I21" i="4"/>
  <c r="H21" i="4"/>
  <c r="T21" i="4" s="1"/>
  <c r="E25" i="4"/>
  <c r="D23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D22" i="4"/>
  <c r="D21" i="4"/>
  <c r="D20" i="4"/>
  <c r="N21" i="6" l="1"/>
  <c r="M21" i="6"/>
  <c r="L21" i="6"/>
  <c r="K21" i="6"/>
  <c r="J21" i="6"/>
  <c r="I21" i="6"/>
  <c r="H21" i="6"/>
  <c r="G21" i="6"/>
  <c r="F21" i="6"/>
  <c r="E21" i="6"/>
  <c r="D21" i="6"/>
  <c r="C21" i="6"/>
  <c r="N20" i="6"/>
  <c r="M20" i="6"/>
  <c r="L20" i="6"/>
  <c r="K20" i="6"/>
  <c r="J20" i="6"/>
  <c r="I20" i="6"/>
  <c r="H20" i="6"/>
  <c r="G20" i="6"/>
  <c r="F20" i="6"/>
  <c r="E20" i="6"/>
  <c r="D20" i="6"/>
  <c r="C20" i="6"/>
  <c r="N19" i="6"/>
  <c r="M19" i="6"/>
  <c r="L19" i="6"/>
  <c r="K19" i="6"/>
  <c r="J19" i="6"/>
  <c r="I19" i="6"/>
  <c r="H19" i="6"/>
  <c r="G19" i="6"/>
  <c r="F19" i="6"/>
  <c r="E19" i="6"/>
  <c r="D19" i="6"/>
  <c r="C19" i="6"/>
  <c r="N18" i="6"/>
  <c r="M18" i="6"/>
  <c r="L18" i="6"/>
  <c r="K18" i="6"/>
  <c r="J18" i="6"/>
  <c r="I18" i="6"/>
  <c r="H18" i="6"/>
  <c r="G18" i="6"/>
  <c r="F18" i="6"/>
  <c r="E18" i="6"/>
  <c r="D18" i="6"/>
  <c r="C18" i="6"/>
  <c r="N17" i="6"/>
  <c r="M17" i="6"/>
  <c r="L17" i="6"/>
  <c r="K17" i="6"/>
  <c r="J17" i="6"/>
  <c r="I17" i="6"/>
  <c r="H17" i="6"/>
  <c r="G17" i="6"/>
  <c r="F17" i="6"/>
  <c r="E17" i="6"/>
  <c r="D17" i="6"/>
  <c r="C17" i="6"/>
  <c r="N16" i="6"/>
  <c r="M16" i="6"/>
  <c r="L16" i="6"/>
  <c r="K16" i="6"/>
  <c r="J16" i="6"/>
  <c r="I16" i="6"/>
  <c r="H16" i="6"/>
  <c r="G16" i="6"/>
  <c r="F16" i="6"/>
  <c r="E16" i="6"/>
  <c r="D16" i="6"/>
  <c r="C16" i="6"/>
  <c r="N15" i="6"/>
  <c r="M15" i="6"/>
  <c r="L15" i="6"/>
  <c r="K15" i="6"/>
  <c r="J15" i="6"/>
  <c r="I15" i="6"/>
  <c r="H15" i="6"/>
  <c r="G15" i="6"/>
  <c r="F15" i="6"/>
  <c r="E15" i="6"/>
  <c r="D15" i="6"/>
  <c r="C15" i="6"/>
  <c r="N14" i="6"/>
  <c r="M14" i="6"/>
  <c r="L14" i="6"/>
  <c r="K14" i="6"/>
  <c r="J14" i="6"/>
  <c r="I14" i="6"/>
  <c r="H14" i="6"/>
  <c r="G14" i="6"/>
  <c r="F14" i="6"/>
  <c r="E14" i="6"/>
  <c r="D14" i="6"/>
  <c r="C14" i="6"/>
  <c r="N13" i="6"/>
  <c r="M13" i="6"/>
  <c r="L13" i="6"/>
  <c r="K13" i="6"/>
  <c r="J13" i="6"/>
  <c r="I13" i="6"/>
  <c r="H13" i="6"/>
  <c r="G13" i="6"/>
  <c r="F13" i="6"/>
  <c r="E13" i="6"/>
  <c r="D13" i="6"/>
  <c r="C13" i="6"/>
  <c r="N12" i="6"/>
  <c r="M12" i="6"/>
  <c r="L12" i="6"/>
  <c r="K12" i="6"/>
  <c r="J12" i="6"/>
  <c r="I12" i="6"/>
  <c r="H12" i="6"/>
  <c r="G12" i="6"/>
  <c r="F12" i="6"/>
  <c r="E12" i="6"/>
  <c r="D12" i="6"/>
  <c r="C12" i="6"/>
  <c r="N11" i="6"/>
  <c r="M11" i="6"/>
  <c r="L11" i="6"/>
  <c r="K11" i="6"/>
  <c r="J11" i="6"/>
  <c r="I11" i="6"/>
  <c r="H11" i="6"/>
  <c r="G11" i="6"/>
  <c r="F11" i="6"/>
  <c r="E11" i="6"/>
  <c r="D11" i="6"/>
  <c r="C11" i="6"/>
  <c r="N10" i="6"/>
  <c r="M10" i="6"/>
  <c r="L10" i="6"/>
  <c r="K10" i="6"/>
  <c r="J10" i="6"/>
  <c r="I10" i="6"/>
  <c r="H10" i="6"/>
  <c r="G10" i="6"/>
  <c r="F10" i="6"/>
  <c r="E10" i="6"/>
  <c r="D10" i="6"/>
  <c r="C10" i="6"/>
  <c r="N9" i="6"/>
  <c r="M9" i="6"/>
  <c r="L9" i="6"/>
  <c r="K9" i="6"/>
  <c r="J9" i="6"/>
  <c r="I9" i="6"/>
  <c r="H9" i="6"/>
  <c r="G9" i="6"/>
  <c r="F9" i="6"/>
  <c r="E9" i="6"/>
  <c r="D9" i="6"/>
  <c r="C9" i="6"/>
  <c r="N8" i="6"/>
  <c r="M8" i="6"/>
  <c r="L8" i="6"/>
  <c r="K8" i="6"/>
  <c r="J8" i="6"/>
  <c r="I8" i="6"/>
  <c r="H8" i="6"/>
  <c r="G8" i="6"/>
  <c r="F8" i="6"/>
  <c r="E8" i="6"/>
  <c r="D8" i="6"/>
  <c r="C8" i="6"/>
  <c r="N7" i="6"/>
  <c r="M7" i="6"/>
  <c r="L7" i="6"/>
  <c r="K7" i="6"/>
  <c r="J7" i="6"/>
  <c r="I7" i="6"/>
  <c r="H7" i="6"/>
  <c r="G7" i="6"/>
  <c r="F7" i="6"/>
  <c r="E7" i="6"/>
  <c r="D7" i="6"/>
  <c r="C7" i="6"/>
  <c r="N6" i="6"/>
  <c r="M6" i="6"/>
  <c r="L6" i="6"/>
  <c r="K6" i="6"/>
  <c r="J6" i="6"/>
  <c r="I6" i="6"/>
  <c r="H6" i="6"/>
  <c r="G6" i="6"/>
  <c r="F6" i="6"/>
  <c r="E6" i="6"/>
  <c r="D6" i="6"/>
  <c r="C6" i="6"/>
  <c r="N5" i="6"/>
  <c r="M5" i="6"/>
  <c r="L5" i="6"/>
  <c r="K5" i="6"/>
  <c r="J5" i="6"/>
  <c r="I5" i="6"/>
  <c r="H5" i="6"/>
  <c r="G5" i="6"/>
  <c r="F5" i="6"/>
  <c r="E5" i="6"/>
  <c r="D5" i="6"/>
  <c r="C5" i="6"/>
  <c r="N4" i="6"/>
  <c r="M4" i="6"/>
  <c r="L4" i="6"/>
  <c r="K4" i="6"/>
  <c r="J4" i="6"/>
  <c r="I4" i="6"/>
  <c r="H4" i="6"/>
  <c r="G4" i="6"/>
  <c r="F4" i="6"/>
  <c r="E4" i="6"/>
  <c r="D4" i="6"/>
  <c r="C4" i="6"/>
  <c r="S19" i="4"/>
  <c r="R19" i="4"/>
  <c r="Q19" i="4"/>
  <c r="P19" i="4"/>
  <c r="O19" i="4"/>
  <c r="N19" i="4"/>
  <c r="M19" i="4"/>
  <c r="L19" i="4"/>
  <c r="K19" i="4"/>
  <c r="J19" i="4"/>
  <c r="I19" i="4"/>
  <c r="H19" i="4"/>
  <c r="S18" i="4"/>
  <c r="R18" i="4"/>
  <c r="Q18" i="4"/>
  <c r="P18" i="4"/>
  <c r="O18" i="4"/>
  <c r="N18" i="4"/>
  <c r="M18" i="4"/>
  <c r="L18" i="4"/>
  <c r="K18" i="4"/>
  <c r="J18" i="4"/>
  <c r="I18" i="4"/>
  <c r="H18" i="4"/>
  <c r="S17" i="4"/>
  <c r="R17" i="4"/>
  <c r="Q17" i="4"/>
  <c r="P17" i="4"/>
  <c r="O17" i="4"/>
  <c r="N17" i="4"/>
  <c r="M17" i="4"/>
  <c r="L17" i="4"/>
  <c r="K17" i="4"/>
  <c r="J17" i="4"/>
  <c r="I17" i="4"/>
  <c r="H17" i="4"/>
  <c r="S16" i="4"/>
  <c r="R16" i="4"/>
  <c r="Q16" i="4"/>
  <c r="P16" i="4"/>
  <c r="O16" i="4"/>
  <c r="N16" i="4"/>
  <c r="M16" i="4"/>
  <c r="L16" i="4"/>
  <c r="K16" i="4"/>
  <c r="J16" i="4"/>
  <c r="I16" i="4"/>
  <c r="H16" i="4"/>
  <c r="S15" i="4"/>
  <c r="R15" i="4"/>
  <c r="Q15" i="4"/>
  <c r="P15" i="4"/>
  <c r="O15" i="4"/>
  <c r="N15" i="4"/>
  <c r="M15" i="4"/>
  <c r="L15" i="4"/>
  <c r="K15" i="4"/>
  <c r="J15" i="4"/>
  <c r="I15" i="4"/>
  <c r="H15" i="4"/>
  <c r="S14" i="4"/>
  <c r="R14" i="4"/>
  <c r="Q14" i="4"/>
  <c r="P14" i="4"/>
  <c r="O14" i="4"/>
  <c r="N14" i="4"/>
  <c r="M14" i="4"/>
  <c r="L14" i="4"/>
  <c r="K14" i="4"/>
  <c r="J14" i="4"/>
  <c r="I14" i="4"/>
  <c r="H14" i="4"/>
  <c r="S13" i="4"/>
  <c r="R13" i="4"/>
  <c r="Q13" i="4"/>
  <c r="P13" i="4"/>
  <c r="O13" i="4"/>
  <c r="N13" i="4"/>
  <c r="M13" i="4"/>
  <c r="L13" i="4"/>
  <c r="K13" i="4"/>
  <c r="J13" i="4"/>
  <c r="I13" i="4"/>
  <c r="H13" i="4"/>
  <c r="S12" i="4"/>
  <c r="R12" i="4"/>
  <c r="Q12" i="4"/>
  <c r="P12" i="4"/>
  <c r="O12" i="4"/>
  <c r="N12" i="4"/>
  <c r="M12" i="4"/>
  <c r="L12" i="4"/>
  <c r="K12" i="4"/>
  <c r="J12" i="4"/>
  <c r="I12" i="4"/>
  <c r="H12" i="4"/>
  <c r="S11" i="4"/>
  <c r="R11" i="4"/>
  <c r="Q11" i="4"/>
  <c r="P11" i="4"/>
  <c r="O11" i="4"/>
  <c r="N11" i="4"/>
  <c r="M11" i="4"/>
  <c r="L11" i="4"/>
  <c r="K11" i="4"/>
  <c r="J11" i="4"/>
  <c r="I11" i="4"/>
  <c r="H11" i="4"/>
  <c r="S10" i="4"/>
  <c r="R10" i="4"/>
  <c r="Q10" i="4"/>
  <c r="P10" i="4"/>
  <c r="O10" i="4"/>
  <c r="N10" i="4"/>
  <c r="M10" i="4"/>
  <c r="L10" i="4"/>
  <c r="K10" i="4"/>
  <c r="J10" i="4"/>
  <c r="I10" i="4"/>
  <c r="H10" i="4"/>
  <c r="S9" i="4"/>
  <c r="R9" i="4"/>
  <c r="Q9" i="4"/>
  <c r="P9" i="4"/>
  <c r="O9" i="4"/>
  <c r="N9" i="4"/>
  <c r="M9" i="4"/>
  <c r="L9" i="4"/>
  <c r="K9" i="4"/>
  <c r="J9" i="4"/>
  <c r="I9" i="4"/>
  <c r="H9" i="4"/>
  <c r="S8" i="4"/>
  <c r="R8" i="4"/>
  <c r="Q8" i="4"/>
  <c r="P8" i="4"/>
  <c r="O8" i="4"/>
  <c r="N8" i="4"/>
  <c r="M8" i="4"/>
  <c r="L8" i="4"/>
  <c r="K8" i="4"/>
  <c r="J8" i="4"/>
  <c r="I8" i="4"/>
  <c r="H8" i="4"/>
  <c r="S7" i="4"/>
  <c r="R7" i="4"/>
  <c r="Q7" i="4"/>
  <c r="P7" i="4"/>
  <c r="O7" i="4"/>
  <c r="N7" i="4"/>
  <c r="M7" i="4"/>
  <c r="L7" i="4"/>
  <c r="K7" i="4"/>
  <c r="J7" i="4"/>
  <c r="I7" i="4"/>
  <c r="H7" i="4"/>
  <c r="S6" i="4"/>
  <c r="R6" i="4"/>
  <c r="Q6" i="4"/>
  <c r="P6" i="4"/>
  <c r="O6" i="4"/>
  <c r="N6" i="4"/>
  <c r="M6" i="4"/>
  <c r="L6" i="4"/>
  <c r="K6" i="4"/>
  <c r="J6" i="4"/>
  <c r="I6" i="4"/>
  <c r="H6" i="4"/>
  <c r="S5" i="4"/>
  <c r="R5" i="4"/>
  <c r="Q5" i="4"/>
  <c r="P5" i="4"/>
  <c r="O5" i="4"/>
  <c r="N5" i="4"/>
  <c r="M5" i="4"/>
  <c r="L5" i="4"/>
  <c r="K5" i="4"/>
  <c r="J5" i="4"/>
  <c r="I5" i="4"/>
  <c r="H5" i="4"/>
  <c r="S4" i="4"/>
  <c r="R4" i="4"/>
  <c r="Q4" i="4"/>
  <c r="P4" i="4"/>
  <c r="O4" i="4"/>
  <c r="N4" i="4"/>
  <c r="M4" i="4"/>
  <c r="L4" i="4"/>
  <c r="K4" i="4"/>
  <c r="J4" i="4"/>
  <c r="I4" i="4"/>
  <c r="H4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H75" i="3"/>
  <c r="C77" i="5" s="1"/>
  <c r="I75" i="3"/>
  <c r="D77" i="5" s="1"/>
  <c r="J75" i="3"/>
  <c r="E77" i="5" s="1"/>
  <c r="K75" i="3"/>
  <c r="F77" i="5" s="1"/>
  <c r="L75" i="3"/>
  <c r="G77" i="5" s="1"/>
  <c r="M75" i="3"/>
  <c r="H77" i="5" s="1"/>
  <c r="N75" i="3"/>
  <c r="I77" i="5" s="1"/>
  <c r="O75" i="3"/>
  <c r="J77" i="5" s="1"/>
  <c r="P75" i="3"/>
  <c r="K77" i="5" s="1"/>
  <c r="Q75" i="3"/>
  <c r="L77" i="5" s="1"/>
  <c r="R75" i="3"/>
  <c r="M77" i="5" s="1"/>
  <c r="S75" i="3"/>
  <c r="N77" i="5" s="1"/>
  <c r="T75" i="3"/>
  <c r="H74" i="3"/>
  <c r="C76" i="5" s="1"/>
  <c r="I74" i="3"/>
  <c r="D76" i="5" s="1"/>
  <c r="J74" i="3"/>
  <c r="E76" i="5" s="1"/>
  <c r="K74" i="3"/>
  <c r="F76" i="5" s="1"/>
  <c r="L74" i="3"/>
  <c r="G76" i="5" s="1"/>
  <c r="M74" i="3"/>
  <c r="H76" i="5" s="1"/>
  <c r="N74" i="3"/>
  <c r="I76" i="5" s="1"/>
  <c r="O74" i="3"/>
  <c r="J76" i="5" s="1"/>
  <c r="P74" i="3"/>
  <c r="K76" i="5" s="1"/>
  <c r="Q74" i="3"/>
  <c r="L76" i="5" s="1"/>
  <c r="R74" i="3"/>
  <c r="M76" i="5" s="1"/>
  <c r="S74" i="3"/>
  <c r="N76" i="5" s="1"/>
  <c r="D75" i="3"/>
  <c r="D74" i="3"/>
  <c r="S76" i="3"/>
  <c r="N78" i="5" s="1"/>
  <c r="R76" i="3"/>
  <c r="M78" i="5" s="1"/>
  <c r="Q76" i="3"/>
  <c r="L78" i="5" s="1"/>
  <c r="P76" i="3"/>
  <c r="K78" i="5" s="1"/>
  <c r="O76" i="3"/>
  <c r="J78" i="5" s="1"/>
  <c r="N76" i="3"/>
  <c r="I78" i="5" s="1"/>
  <c r="M76" i="3"/>
  <c r="H78" i="5" s="1"/>
  <c r="L76" i="3"/>
  <c r="G78" i="5" s="1"/>
  <c r="K76" i="3"/>
  <c r="F78" i="5" s="1"/>
  <c r="J76" i="3"/>
  <c r="E78" i="5" s="1"/>
  <c r="I76" i="3"/>
  <c r="D78" i="5" s="1"/>
  <c r="H76" i="3"/>
  <c r="D76" i="3"/>
  <c r="S73" i="3"/>
  <c r="N75" i="5" s="1"/>
  <c r="R73" i="3"/>
  <c r="M75" i="5" s="1"/>
  <c r="Q73" i="3"/>
  <c r="L75" i="5" s="1"/>
  <c r="P73" i="3"/>
  <c r="K75" i="5" s="1"/>
  <c r="O73" i="3"/>
  <c r="J75" i="5" s="1"/>
  <c r="N73" i="3"/>
  <c r="I75" i="5" s="1"/>
  <c r="M73" i="3"/>
  <c r="H75" i="5" s="1"/>
  <c r="L73" i="3"/>
  <c r="G75" i="5" s="1"/>
  <c r="K73" i="3"/>
  <c r="F75" i="5" s="1"/>
  <c r="J73" i="3"/>
  <c r="E75" i="5" s="1"/>
  <c r="I73" i="3"/>
  <c r="D75" i="5" s="1"/>
  <c r="H73" i="3"/>
  <c r="C75" i="5" s="1"/>
  <c r="S72" i="3"/>
  <c r="N74" i="5" s="1"/>
  <c r="R72" i="3"/>
  <c r="M74" i="5" s="1"/>
  <c r="Q72" i="3"/>
  <c r="L74" i="5" s="1"/>
  <c r="P72" i="3"/>
  <c r="K74" i="5" s="1"/>
  <c r="O72" i="3"/>
  <c r="J74" i="5" s="1"/>
  <c r="N72" i="3"/>
  <c r="I74" i="5" s="1"/>
  <c r="M72" i="3"/>
  <c r="H74" i="5" s="1"/>
  <c r="L72" i="3"/>
  <c r="G74" i="5" s="1"/>
  <c r="K72" i="3"/>
  <c r="F74" i="5" s="1"/>
  <c r="J72" i="3"/>
  <c r="E74" i="5" s="1"/>
  <c r="I72" i="3"/>
  <c r="D74" i="5" s="1"/>
  <c r="H72" i="3"/>
  <c r="C74" i="5" s="1"/>
  <c r="S71" i="3"/>
  <c r="N73" i="5" s="1"/>
  <c r="R71" i="3"/>
  <c r="M73" i="5" s="1"/>
  <c r="Q71" i="3"/>
  <c r="L73" i="5" s="1"/>
  <c r="P71" i="3"/>
  <c r="K73" i="5" s="1"/>
  <c r="O71" i="3"/>
  <c r="J73" i="5" s="1"/>
  <c r="N71" i="3"/>
  <c r="I73" i="5" s="1"/>
  <c r="M71" i="3"/>
  <c r="H73" i="5" s="1"/>
  <c r="L71" i="3"/>
  <c r="G73" i="5" s="1"/>
  <c r="K71" i="3"/>
  <c r="F73" i="5" s="1"/>
  <c r="J71" i="3"/>
  <c r="E73" i="5" s="1"/>
  <c r="I71" i="3"/>
  <c r="D73" i="5" s="1"/>
  <c r="H71" i="3"/>
  <c r="C73" i="5" s="1"/>
  <c r="S70" i="3"/>
  <c r="N72" i="5" s="1"/>
  <c r="R70" i="3"/>
  <c r="M72" i="5" s="1"/>
  <c r="Q70" i="3"/>
  <c r="L72" i="5" s="1"/>
  <c r="P70" i="3"/>
  <c r="K72" i="5" s="1"/>
  <c r="O70" i="3"/>
  <c r="J72" i="5" s="1"/>
  <c r="N70" i="3"/>
  <c r="I72" i="5" s="1"/>
  <c r="M70" i="3"/>
  <c r="H72" i="5" s="1"/>
  <c r="L70" i="3"/>
  <c r="G72" i="5" s="1"/>
  <c r="K70" i="3"/>
  <c r="F72" i="5" s="1"/>
  <c r="J70" i="3"/>
  <c r="E72" i="5" s="1"/>
  <c r="I70" i="3"/>
  <c r="D72" i="5" s="1"/>
  <c r="H70" i="3"/>
  <c r="C72" i="5" s="1"/>
  <c r="S69" i="3"/>
  <c r="N71" i="5" s="1"/>
  <c r="R69" i="3"/>
  <c r="M71" i="5" s="1"/>
  <c r="Q69" i="3"/>
  <c r="L71" i="5" s="1"/>
  <c r="P69" i="3"/>
  <c r="K71" i="5" s="1"/>
  <c r="O69" i="3"/>
  <c r="J71" i="5" s="1"/>
  <c r="N69" i="3"/>
  <c r="I71" i="5" s="1"/>
  <c r="M69" i="3"/>
  <c r="H71" i="5" s="1"/>
  <c r="L69" i="3"/>
  <c r="G71" i="5" s="1"/>
  <c r="K69" i="3"/>
  <c r="F71" i="5" s="1"/>
  <c r="J69" i="3"/>
  <c r="E71" i="5" s="1"/>
  <c r="I69" i="3"/>
  <c r="D71" i="5" s="1"/>
  <c r="H69" i="3"/>
  <c r="C71" i="5" s="1"/>
  <c r="S68" i="3"/>
  <c r="N70" i="5" s="1"/>
  <c r="R68" i="3"/>
  <c r="M70" i="5" s="1"/>
  <c r="Q68" i="3"/>
  <c r="L70" i="5" s="1"/>
  <c r="P68" i="3"/>
  <c r="K70" i="5" s="1"/>
  <c r="O68" i="3"/>
  <c r="J70" i="5" s="1"/>
  <c r="N68" i="3"/>
  <c r="I70" i="5" s="1"/>
  <c r="M68" i="3"/>
  <c r="H70" i="5" s="1"/>
  <c r="L68" i="3"/>
  <c r="G70" i="5" s="1"/>
  <c r="K68" i="3"/>
  <c r="F70" i="5" s="1"/>
  <c r="J68" i="3"/>
  <c r="E70" i="5" s="1"/>
  <c r="I68" i="3"/>
  <c r="D70" i="5" s="1"/>
  <c r="H68" i="3"/>
  <c r="C70" i="5" s="1"/>
  <c r="S67" i="3"/>
  <c r="N69" i="5" s="1"/>
  <c r="R67" i="3"/>
  <c r="M69" i="5" s="1"/>
  <c r="Q67" i="3"/>
  <c r="L69" i="5" s="1"/>
  <c r="P67" i="3"/>
  <c r="K69" i="5" s="1"/>
  <c r="O67" i="3"/>
  <c r="J69" i="5" s="1"/>
  <c r="N67" i="3"/>
  <c r="I69" i="5" s="1"/>
  <c r="M67" i="3"/>
  <c r="H69" i="5" s="1"/>
  <c r="L67" i="3"/>
  <c r="G69" i="5" s="1"/>
  <c r="K67" i="3"/>
  <c r="F69" i="5" s="1"/>
  <c r="J67" i="3"/>
  <c r="E69" i="5" s="1"/>
  <c r="I67" i="3"/>
  <c r="D69" i="5" s="1"/>
  <c r="H67" i="3"/>
  <c r="C69" i="5" s="1"/>
  <c r="S66" i="3"/>
  <c r="N68" i="5" s="1"/>
  <c r="R66" i="3"/>
  <c r="M68" i="5" s="1"/>
  <c r="Q66" i="3"/>
  <c r="L68" i="5" s="1"/>
  <c r="P66" i="3"/>
  <c r="K68" i="5" s="1"/>
  <c r="O66" i="3"/>
  <c r="J68" i="5" s="1"/>
  <c r="N66" i="3"/>
  <c r="I68" i="5" s="1"/>
  <c r="M66" i="3"/>
  <c r="H68" i="5" s="1"/>
  <c r="L66" i="3"/>
  <c r="G68" i="5" s="1"/>
  <c r="K66" i="3"/>
  <c r="F68" i="5" s="1"/>
  <c r="J66" i="3"/>
  <c r="E68" i="5" s="1"/>
  <c r="I66" i="3"/>
  <c r="D68" i="5" s="1"/>
  <c r="H66" i="3"/>
  <c r="C68" i="5" s="1"/>
  <c r="S65" i="3"/>
  <c r="N67" i="5" s="1"/>
  <c r="R65" i="3"/>
  <c r="M67" i="5" s="1"/>
  <c r="Q65" i="3"/>
  <c r="L67" i="5" s="1"/>
  <c r="P65" i="3"/>
  <c r="K67" i="5" s="1"/>
  <c r="O65" i="3"/>
  <c r="J67" i="5" s="1"/>
  <c r="N65" i="3"/>
  <c r="I67" i="5" s="1"/>
  <c r="M65" i="3"/>
  <c r="H67" i="5" s="1"/>
  <c r="L65" i="3"/>
  <c r="G67" i="5" s="1"/>
  <c r="K65" i="3"/>
  <c r="F67" i="5" s="1"/>
  <c r="J65" i="3"/>
  <c r="E67" i="5" s="1"/>
  <c r="I65" i="3"/>
  <c r="D67" i="5" s="1"/>
  <c r="H65" i="3"/>
  <c r="C67" i="5" s="1"/>
  <c r="S64" i="3"/>
  <c r="N66" i="5" s="1"/>
  <c r="R64" i="3"/>
  <c r="M66" i="5" s="1"/>
  <c r="Q64" i="3"/>
  <c r="L66" i="5" s="1"/>
  <c r="P64" i="3"/>
  <c r="K66" i="5" s="1"/>
  <c r="O64" i="3"/>
  <c r="J66" i="5" s="1"/>
  <c r="N64" i="3"/>
  <c r="I66" i="5" s="1"/>
  <c r="M64" i="3"/>
  <c r="H66" i="5" s="1"/>
  <c r="L64" i="3"/>
  <c r="G66" i="5" s="1"/>
  <c r="K64" i="3"/>
  <c r="F66" i="5" s="1"/>
  <c r="J64" i="3"/>
  <c r="E66" i="5" s="1"/>
  <c r="I64" i="3"/>
  <c r="D66" i="5" s="1"/>
  <c r="H64" i="3"/>
  <c r="C66" i="5" s="1"/>
  <c r="S63" i="3"/>
  <c r="N65" i="5" s="1"/>
  <c r="R63" i="3"/>
  <c r="M65" i="5" s="1"/>
  <c r="Q63" i="3"/>
  <c r="L65" i="5" s="1"/>
  <c r="P63" i="3"/>
  <c r="K65" i="5" s="1"/>
  <c r="O63" i="3"/>
  <c r="J65" i="5" s="1"/>
  <c r="N63" i="3"/>
  <c r="I65" i="5" s="1"/>
  <c r="M63" i="3"/>
  <c r="H65" i="5" s="1"/>
  <c r="L63" i="3"/>
  <c r="G65" i="5" s="1"/>
  <c r="K63" i="3"/>
  <c r="F65" i="5" s="1"/>
  <c r="J63" i="3"/>
  <c r="E65" i="5" s="1"/>
  <c r="I63" i="3"/>
  <c r="D65" i="5" s="1"/>
  <c r="H63" i="3"/>
  <c r="C65" i="5" s="1"/>
  <c r="S62" i="3"/>
  <c r="N64" i="5" s="1"/>
  <c r="R62" i="3"/>
  <c r="M64" i="5" s="1"/>
  <c r="Q62" i="3"/>
  <c r="L64" i="5" s="1"/>
  <c r="P62" i="3"/>
  <c r="K64" i="5" s="1"/>
  <c r="O62" i="3"/>
  <c r="J64" i="5" s="1"/>
  <c r="N62" i="3"/>
  <c r="I64" i="5" s="1"/>
  <c r="M62" i="3"/>
  <c r="H64" i="5" s="1"/>
  <c r="L62" i="3"/>
  <c r="G64" i="5" s="1"/>
  <c r="K62" i="3"/>
  <c r="F64" i="5" s="1"/>
  <c r="J62" i="3"/>
  <c r="E64" i="5" s="1"/>
  <c r="I62" i="3"/>
  <c r="D64" i="5" s="1"/>
  <c r="H62" i="3"/>
  <c r="C64" i="5" s="1"/>
  <c r="S61" i="3"/>
  <c r="N63" i="5" s="1"/>
  <c r="R61" i="3"/>
  <c r="M63" i="5" s="1"/>
  <c r="Q61" i="3"/>
  <c r="L63" i="5" s="1"/>
  <c r="P61" i="3"/>
  <c r="K63" i="5" s="1"/>
  <c r="O61" i="3"/>
  <c r="J63" i="5" s="1"/>
  <c r="N61" i="3"/>
  <c r="I63" i="5" s="1"/>
  <c r="M61" i="3"/>
  <c r="H63" i="5" s="1"/>
  <c r="L61" i="3"/>
  <c r="G63" i="5" s="1"/>
  <c r="K61" i="3"/>
  <c r="F63" i="5" s="1"/>
  <c r="J61" i="3"/>
  <c r="E63" i="5" s="1"/>
  <c r="I61" i="3"/>
  <c r="D63" i="5" s="1"/>
  <c r="H61" i="3"/>
  <c r="C63" i="5" s="1"/>
  <c r="S60" i="3"/>
  <c r="N62" i="5" s="1"/>
  <c r="R60" i="3"/>
  <c r="M62" i="5" s="1"/>
  <c r="Q60" i="3"/>
  <c r="L62" i="5" s="1"/>
  <c r="P60" i="3"/>
  <c r="K62" i="5" s="1"/>
  <c r="O60" i="3"/>
  <c r="J62" i="5" s="1"/>
  <c r="N60" i="3"/>
  <c r="I62" i="5" s="1"/>
  <c r="M60" i="3"/>
  <c r="H62" i="5" s="1"/>
  <c r="L60" i="3"/>
  <c r="G62" i="5" s="1"/>
  <c r="K60" i="3"/>
  <c r="F62" i="5" s="1"/>
  <c r="J60" i="3"/>
  <c r="E62" i="5" s="1"/>
  <c r="I60" i="3"/>
  <c r="D62" i="5" s="1"/>
  <c r="H60" i="3"/>
  <c r="C62" i="5" s="1"/>
  <c r="S59" i="3"/>
  <c r="N61" i="5" s="1"/>
  <c r="R59" i="3"/>
  <c r="M61" i="5" s="1"/>
  <c r="Q59" i="3"/>
  <c r="L61" i="5" s="1"/>
  <c r="P59" i="3"/>
  <c r="K61" i="5" s="1"/>
  <c r="O59" i="3"/>
  <c r="J61" i="5" s="1"/>
  <c r="N59" i="3"/>
  <c r="I61" i="5" s="1"/>
  <c r="M59" i="3"/>
  <c r="H61" i="5" s="1"/>
  <c r="L59" i="3"/>
  <c r="G61" i="5" s="1"/>
  <c r="K59" i="3"/>
  <c r="F61" i="5" s="1"/>
  <c r="J59" i="3"/>
  <c r="E61" i="5" s="1"/>
  <c r="I59" i="3"/>
  <c r="D61" i="5" s="1"/>
  <c r="H59" i="3"/>
  <c r="C61" i="5" s="1"/>
  <c r="S58" i="3"/>
  <c r="N60" i="5" s="1"/>
  <c r="R58" i="3"/>
  <c r="M60" i="5" s="1"/>
  <c r="Q58" i="3"/>
  <c r="L60" i="5" s="1"/>
  <c r="P58" i="3"/>
  <c r="K60" i="5" s="1"/>
  <c r="O58" i="3"/>
  <c r="J60" i="5" s="1"/>
  <c r="N58" i="3"/>
  <c r="I60" i="5" s="1"/>
  <c r="M58" i="3"/>
  <c r="H60" i="5" s="1"/>
  <c r="L58" i="3"/>
  <c r="G60" i="5" s="1"/>
  <c r="K58" i="3"/>
  <c r="F60" i="5" s="1"/>
  <c r="J58" i="3"/>
  <c r="E60" i="5" s="1"/>
  <c r="I58" i="3"/>
  <c r="D60" i="5" s="1"/>
  <c r="H58" i="3"/>
  <c r="C60" i="5" s="1"/>
  <c r="S57" i="3"/>
  <c r="N59" i="5" s="1"/>
  <c r="R57" i="3"/>
  <c r="M59" i="5" s="1"/>
  <c r="Q57" i="3"/>
  <c r="L59" i="5" s="1"/>
  <c r="P57" i="3"/>
  <c r="K59" i="5" s="1"/>
  <c r="O57" i="3"/>
  <c r="J59" i="5" s="1"/>
  <c r="N57" i="3"/>
  <c r="I59" i="5" s="1"/>
  <c r="M57" i="3"/>
  <c r="H59" i="5" s="1"/>
  <c r="L57" i="3"/>
  <c r="G59" i="5" s="1"/>
  <c r="K57" i="3"/>
  <c r="F59" i="5" s="1"/>
  <c r="J57" i="3"/>
  <c r="E59" i="5" s="1"/>
  <c r="I57" i="3"/>
  <c r="D59" i="5" s="1"/>
  <c r="H57" i="3"/>
  <c r="C59" i="5" s="1"/>
  <c r="S56" i="3"/>
  <c r="N58" i="5" s="1"/>
  <c r="R56" i="3"/>
  <c r="M58" i="5" s="1"/>
  <c r="Q56" i="3"/>
  <c r="L58" i="5" s="1"/>
  <c r="P56" i="3"/>
  <c r="K58" i="5" s="1"/>
  <c r="O56" i="3"/>
  <c r="J58" i="5" s="1"/>
  <c r="N56" i="3"/>
  <c r="I58" i="5" s="1"/>
  <c r="M56" i="3"/>
  <c r="H58" i="5" s="1"/>
  <c r="L56" i="3"/>
  <c r="G58" i="5" s="1"/>
  <c r="K56" i="3"/>
  <c r="F58" i="5" s="1"/>
  <c r="J56" i="3"/>
  <c r="E58" i="5" s="1"/>
  <c r="I56" i="3"/>
  <c r="D58" i="5" s="1"/>
  <c r="H56" i="3"/>
  <c r="C58" i="5" s="1"/>
  <c r="S55" i="3"/>
  <c r="N57" i="5" s="1"/>
  <c r="R55" i="3"/>
  <c r="M57" i="5" s="1"/>
  <c r="Q55" i="3"/>
  <c r="L57" i="5" s="1"/>
  <c r="P55" i="3"/>
  <c r="K57" i="5" s="1"/>
  <c r="O55" i="3"/>
  <c r="J57" i="5" s="1"/>
  <c r="N55" i="3"/>
  <c r="I57" i="5" s="1"/>
  <c r="M55" i="3"/>
  <c r="H57" i="5" s="1"/>
  <c r="L55" i="3"/>
  <c r="G57" i="5" s="1"/>
  <c r="K55" i="3"/>
  <c r="F57" i="5" s="1"/>
  <c r="J55" i="3"/>
  <c r="E57" i="5" s="1"/>
  <c r="I55" i="3"/>
  <c r="D57" i="5" s="1"/>
  <c r="H55" i="3"/>
  <c r="C57" i="5" s="1"/>
  <c r="S54" i="3"/>
  <c r="N56" i="5" s="1"/>
  <c r="R54" i="3"/>
  <c r="M56" i="5" s="1"/>
  <c r="Q54" i="3"/>
  <c r="L56" i="5" s="1"/>
  <c r="P54" i="3"/>
  <c r="K56" i="5" s="1"/>
  <c r="O54" i="3"/>
  <c r="J56" i="5" s="1"/>
  <c r="N54" i="3"/>
  <c r="I56" i="5" s="1"/>
  <c r="M54" i="3"/>
  <c r="H56" i="5" s="1"/>
  <c r="L54" i="3"/>
  <c r="G56" i="5" s="1"/>
  <c r="K54" i="3"/>
  <c r="F56" i="5" s="1"/>
  <c r="J54" i="3"/>
  <c r="E56" i="5" s="1"/>
  <c r="I54" i="3"/>
  <c r="D56" i="5" s="1"/>
  <c r="H54" i="3"/>
  <c r="C56" i="5" s="1"/>
  <c r="S53" i="3"/>
  <c r="N55" i="5" s="1"/>
  <c r="R53" i="3"/>
  <c r="M55" i="5" s="1"/>
  <c r="Q53" i="3"/>
  <c r="L55" i="5" s="1"/>
  <c r="P53" i="3"/>
  <c r="K55" i="5" s="1"/>
  <c r="O53" i="3"/>
  <c r="J55" i="5" s="1"/>
  <c r="N53" i="3"/>
  <c r="I55" i="5" s="1"/>
  <c r="M53" i="3"/>
  <c r="H55" i="5" s="1"/>
  <c r="L53" i="3"/>
  <c r="G55" i="5" s="1"/>
  <c r="K53" i="3"/>
  <c r="F55" i="5" s="1"/>
  <c r="J53" i="3"/>
  <c r="E55" i="5" s="1"/>
  <c r="I53" i="3"/>
  <c r="D55" i="5" s="1"/>
  <c r="H53" i="3"/>
  <c r="C55" i="5" s="1"/>
  <c r="S52" i="3"/>
  <c r="N54" i="5" s="1"/>
  <c r="R52" i="3"/>
  <c r="M54" i="5" s="1"/>
  <c r="Q52" i="3"/>
  <c r="L54" i="5" s="1"/>
  <c r="P52" i="3"/>
  <c r="K54" i="5" s="1"/>
  <c r="O52" i="3"/>
  <c r="J54" i="5" s="1"/>
  <c r="N52" i="3"/>
  <c r="I54" i="5" s="1"/>
  <c r="M52" i="3"/>
  <c r="H54" i="5" s="1"/>
  <c r="L52" i="3"/>
  <c r="G54" i="5" s="1"/>
  <c r="K52" i="3"/>
  <c r="F54" i="5" s="1"/>
  <c r="J52" i="3"/>
  <c r="E54" i="5" s="1"/>
  <c r="I52" i="3"/>
  <c r="D54" i="5" s="1"/>
  <c r="H52" i="3"/>
  <c r="C54" i="5" s="1"/>
  <c r="S51" i="3"/>
  <c r="N53" i="5" s="1"/>
  <c r="R51" i="3"/>
  <c r="M53" i="5" s="1"/>
  <c r="Q51" i="3"/>
  <c r="L53" i="5" s="1"/>
  <c r="P51" i="3"/>
  <c r="K53" i="5" s="1"/>
  <c r="O51" i="3"/>
  <c r="J53" i="5" s="1"/>
  <c r="N51" i="3"/>
  <c r="I53" i="5" s="1"/>
  <c r="M51" i="3"/>
  <c r="H53" i="5" s="1"/>
  <c r="L51" i="3"/>
  <c r="G53" i="5" s="1"/>
  <c r="K51" i="3"/>
  <c r="F53" i="5" s="1"/>
  <c r="J51" i="3"/>
  <c r="E53" i="5" s="1"/>
  <c r="I51" i="3"/>
  <c r="D53" i="5" s="1"/>
  <c r="H51" i="3"/>
  <c r="C53" i="5" s="1"/>
  <c r="S50" i="3"/>
  <c r="N52" i="5" s="1"/>
  <c r="R50" i="3"/>
  <c r="M52" i="5" s="1"/>
  <c r="Q50" i="3"/>
  <c r="L52" i="5" s="1"/>
  <c r="P50" i="3"/>
  <c r="K52" i="5" s="1"/>
  <c r="O50" i="3"/>
  <c r="J52" i="5" s="1"/>
  <c r="N50" i="3"/>
  <c r="I52" i="5" s="1"/>
  <c r="M50" i="3"/>
  <c r="H52" i="5" s="1"/>
  <c r="L50" i="3"/>
  <c r="G52" i="5" s="1"/>
  <c r="K50" i="3"/>
  <c r="F52" i="5" s="1"/>
  <c r="J50" i="3"/>
  <c r="E52" i="5" s="1"/>
  <c r="I50" i="3"/>
  <c r="D52" i="5" s="1"/>
  <c r="H50" i="3"/>
  <c r="C52" i="5" s="1"/>
  <c r="S49" i="3"/>
  <c r="N51" i="5" s="1"/>
  <c r="R49" i="3"/>
  <c r="M51" i="5" s="1"/>
  <c r="Q49" i="3"/>
  <c r="L51" i="5" s="1"/>
  <c r="P49" i="3"/>
  <c r="K51" i="5" s="1"/>
  <c r="O49" i="3"/>
  <c r="J51" i="5" s="1"/>
  <c r="N49" i="3"/>
  <c r="I51" i="5" s="1"/>
  <c r="M49" i="3"/>
  <c r="H51" i="5" s="1"/>
  <c r="L49" i="3"/>
  <c r="G51" i="5" s="1"/>
  <c r="K49" i="3"/>
  <c r="F51" i="5" s="1"/>
  <c r="J49" i="3"/>
  <c r="E51" i="5" s="1"/>
  <c r="I49" i="3"/>
  <c r="D51" i="5" s="1"/>
  <c r="H49" i="3"/>
  <c r="C51" i="5" s="1"/>
  <c r="S48" i="3"/>
  <c r="N50" i="5" s="1"/>
  <c r="R48" i="3"/>
  <c r="M50" i="5" s="1"/>
  <c r="Q48" i="3"/>
  <c r="L50" i="5" s="1"/>
  <c r="P48" i="3"/>
  <c r="K50" i="5" s="1"/>
  <c r="O48" i="3"/>
  <c r="J50" i="5" s="1"/>
  <c r="N48" i="3"/>
  <c r="I50" i="5" s="1"/>
  <c r="M48" i="3"/>
  <c r="H50" i="5" s="1"/>
  <c r="L48" i="3"/>
  <c r="G50" i="5" s="1"/>
  <c r="K48" i="3"/>
  <c r="F50" i="5" s="1"/>
  <c r="J48" i="3"/>
  <c r="E50" i="5" s="1"/>
  <c r="I48" i="3"/>
  <c r="D50" i="5" s="1"/>
  <c r="H48" i="3"/>
  <c r="C50" i="5" s="1"/>
  <c r="S47" i="3"/>
  <c r="N49" i="5" s="1"/>
  <c r="R47" i="3"/>
  <c r="M49" i="5" s="1"/>
  <c r="Q47" i="3"/>
  <c r="L49" i="5" s="1"/>
  <c r="P47" i="3"/>
  <c r="K49" i="5" s="1"/>
  <c r="O47" i="3"/>
  <c r="J49" i="5" s="1"/>
  <c r="N47" i="3"/>
  <c r="I49" i="5" s="1"/>
  <c r="M47" i="3"/>
  <c r="H49" i="5" s="1"/>
  <c r="L47" i="3"/>
  <c r="G49" i="5" s="1"/>
  <c r="K47" i="3"/>
  <c r="F49" i="5" s="1"/>
  <c r="J47" i="3"/>
  <c r="E49" i="5" s="1"/>
  <c r="I47" i="3"/>
  <c r="D49" i="5" s="1"/>
  <c r="H47" i="3"/>
  <c r="C49" i="5" s="1"/>
  <c r="S46" i="3"/>
  <c r="N48" i="5" s="1"/>
  <c r="R46" i="3"/>
  <c r="M48" i="5" s="1"/>
  <c r="Q46" i="3"/>
  <c r="L48" i="5" s="1"/>
  <c r="P46" i="3"/>
  <c r="K48" i="5" s="1"/>
  <c r="O46" i="3"/>
  <c r="J48" i="5" s="1"/>
  <c r="N46" i="3"/>
  <c r="I48" i="5" s="1"/>
  <c r="M46" i="3"/>
  <c r="H48" i="5" s="1"/>
  <c r="L46" i="3"/>
  <c r="G48" i="5" s="1"/>
  <c r="K46" i="3"/>
  <c r="F48" i="5" s="1"/>
  <c r="J46" i="3"/>
  <c r="E48" i="5" s="1"/>
  <c r="I46" i="3"/>
  <c r="D48" i="5" s="1"/>
  <c r="H46" i="3"/>
  <c r="C48" i="5" s="1"/>
  <c r="S45" i="3"/>
  <c r="N47" i="5" s="1"/>
  <c r="R45" i="3"/>
  <c r="M47" i="5" s="1"/>
  <c r="Q45" i="3"/>
  <c r="L47" i="5" s="1"/>
  <c r="P45" i="3"/>
  <c r="K47" i="5" s="1"/>
  <c r="O45" i="3"/>
  <c r="J47" i="5" s="1"/>
  <c r="N45" i="3"/>
  <c r="I47" i="5" s="1"/>
  <c r="M45" i="3"/>
  <c r="H47" i="5" s="1"/>
  <c r="L45" i="3"/>
  <c r="G47" i="5" s="1"/>
  <c r="K45" i="3"/>
  <c r="F47" i="5" s="1"/>
  <c r="J45" i="3"/>
  <c r="E47" i="5" s="1"/>
  <c r="I45" i="3"/>
  <c r="D47" i="5" s="1"/>
  <c r="H45" i="3"/>
  <c r="C47" i="5" s="1"/>
  <c r="S44" i="3"/>
  <c r="N46" i="5" s="1"/>
  <c r="R44" i="3"/>
  <c r="M46" i="5" s="1"/>
  <c r="Q44" i="3"/>
  <c r="L46" i="5" s="1"/>
  <c r="P44" i="3"/>
  <c r="K46" i="5" s="1"/>
  <c r="O44" i="3"/>
  <c r="J46" i="5" s="1"/>
  <c r="N44" i="3"/>
  <c r="I46" i="5" s="1"/>
  <c r="M44" i="3"/>
  <c r="H46" i="5" s="1"/>
  <c r="L44" i="3"/>
  <c r="G46" i="5" s="1"/>
  <c r="K44" i="3"/>
  <c r="F46" i="5" s="1"/>
  <c r="J44" i="3"/>
  <c r="E46" i="5" s="1"/>
  <c r="I44" i="3"/>
  <c r="D46" i="5" s="1"/>
  <c r="H44" i="3"/>
  <c r="C46" i="5" s="1"/>
  <c r="S43" i="3"/>
  <c r="N45" i="5" s="1"/>
  <c r="R43" i="3"/>
  <c r="M45" i="5" s="1"/>
  <c r="Q43" i="3"/>
  <c r="L45" i="5" s="1"/>
  <c r="P43" i="3"/>
  <c r="K45" i="5" s="1"/>
  <c r="O43" i="3"/>
  <c r="J45" i="5" s="1"/>
  <c r="N43" i="3"/>
  <c r="I45" i="5" s="1"/>
  <c r="M43" i="3"/>
  <c r="H45" i="5" s="1"/>
  <c r="L43" i="3"/>
  <c r="G45" i="5" s="1"/>
  <c r="K43" i="3"/>
  <c r="F45" i="5" s="1"/>
  <c r="J43" i="3"/>
  <c r="E45" i="5" s="1"/>
  <c r="I43" i="3"/>
  <c r="D45" i="5" s="1"/>
  <c r="H43" i="3"/>
  <c r="C45" i="5" s="1"/>
  <c r="S42" i="3"/>
  <c r="N44" i="5" s="1"/>
  <c r="R42" i="3"/>
  <c r="M44" i="5" s="1"/>
  <c r="Q42" i="3"/>
  <c r="L44" i="5" s="1"/>
  <c r="P42" i="3"/>
  <c r="K44" i="5" s="1"/>
  <c r="O42" i="3"/>
  <c r="J44" i="5" s="1"/>
  <c r="N42" i="3"/>
  <c r="I44" i="5" s="1"/>
  <c r="M42" i="3"/>
  <c r="H44" i="5" s="1"/>
  <c r="L42" i="3"/>
  <c r="G44" i="5" s="1"/>
  <c r="K42" i="3"/>
  <c r="F44" i="5" s="1"/>
  <c r="J42" i="3"/>
  <c r="E44" i="5" s="1"/>
  <c r="I42" i="3"/>
  <c r="D44" i="5" s="1"/>
  <c r="H42" i="3"/>
  <c r="C44" i="5" s="1"/>
  <c r="S41" i="3"/>
  <c r="N43" i="5" s="1"/>
  <c r="R41" i="3"/>
  <c r="M43" i="5" s="1"/>
  <c r="Q41" i="3"/>
  <c r="L43" i="5" s="1"/>
  <c r="P41" i="3"/>
  <c r="K43" i="5" s="1"/>
  <c r="O41" i="3"/>
  <c r="J43" i="5" s="1"/>
  <c r="N41" i="3"/>
  <c r="I43" i="5" s="1"/>
  <c r="M41" i="3"/>
  <c r="H43" i="5" s="1"/>
  <c r="L41" i="3"/>
  <c r="G43" i="5" s="1"/>
  <c r="K41" i="3"/>
  <c r="F43" i="5" s="1"/>
  <c r="J41" i="3"/>
  <c r="E43" i="5" s="1"/>
  <c r="I41" i="3"/>
  <c r="D43" i="5" s="1"/>
  <c r="H41" i="3"/>
  <c r="C43" i="5" s="1"/>
  <c r="S40" i="3"/>
  <c r="N42" i="5" s="1"/>
  <c r="R40" i="3"/>
  <c r="M42" i="5" s="1"/>
  <c r="Q40" i="3"/>
  <c r="L42" i="5" s="1"/>
  <c r="P40" i="3"/>
  <c r="K42" i="5" s="1"/>
  <c r="O40" i="3"/>
  <c r="J42" i="5" s="1"/>
  <c r="N40" i="3"/>
  <c r="I42" i="5" s="1"/>
  <c r="M40" i="3"/>
  <c r="H42" i="5" s="1"/>
  <c r="L40" i="3"/>
  <c r="G42" i="5" s="1"/>
  <c r="K40" i="3"/>
  <c r="F42" i="5" s="1"/>
  <c r="J40" i="3"/>
  <c r="E42" i="5" s="1"/>
  <c r="I40" i="3"/>
  <c r="D42" i="5" s="1"/>
  <c r="H40" i="3"/>
  <c r="C42" i="5" s="1"/>
  <c r="S39" i="3"/>
  <c r="N41" i="5" s="1"/>
  <c r="R39" i="3"/>
  <c r="M41" i="5" s="1"/>
  <c r="Q39" i="3"/>
  <c r="L41" i="5" s="1"/>
  <c r="P39" i="3"/>
  <c r="K41" i="5" s="1"/>
  <c r="O39" i="3"/>
  <c r="J41" i="5" s="1"/>
  <c r="N39" i="3"/>
  <c r="I41" i="5" s="1"/>
  <c r="M39" i="3"/>
  <c r="H41" i="5" s="1"/>
  <c r="L39" i="3"/>
  <c r="G41" i="5" s="1"/>
  <c r="K39" i="3"/>
  <c r="F41" i="5" s="1"/>
  <c r="J39" i="3"/>
  <c r="E41" i="5" s="1"/>
  <c r="I39" i="3"/>
  <c r="D41" i="5" s="1"/>
  <c r="H39" i="3"/>
  <c r="C41" i="5" s="1"/>
  <c r="S38" i="3"/>
  <c r="N40" i="5" s="1"/>
  <c r="R38" i="3"/>
  <c r="M40" i="5" s="1"/>
  <c r="Q38" i="3"/>
  <c r="L40" i="5" s="1"/>
  <c r="P38" i="3"/>
  <c r="K40" i="5" s="1"/>
  <c r="O38" i="3"/>
  <c r="J40" i="5" s="1"/>
  <c r="N38" i="3"/>
  <c r="I40" i="5" s="1"/>
  <c r="M38" i="3"/>
  <c r="H40" i="5" s="1"/>
  <c r="L38" i="3"/>
  <c r="G40" i="5" s="1"/>
  <c r="K38" i="3"/>
  <c r="F40" i="5" s="1"/>
  <c r="J38" i="3"/>
  <c r="E40" i="5" s="1"/>
  <c r="I38" i="3"/>
  <c r="D40" i="5" s="1"/>
  <c r="H38" i="3"/>
  <c r="C40" i="5" s="1"/>
  <c r="S37" i="3"/>
  <c r="N39" i="5" s="1"/>
  <c r="R37" i="3"/>
  <c r="M39" i="5" s="1"/>
  <c r="Q37" i="3"/>
  <c r="L39" i="5" s="1"/>
  <c r="P37" i="3"/>
  <c r="K39" i="5" s="1"/>
  <c r="O37" i="3"/>
  <c r="J39" i="5" s="1"/>
  <c r="N37" i="3"/>
  <c r="I39" i="5" s="1"/>
  <c r="M37" i="3"/>
  <c r="H39" i="5" s="1"/>
  <c r="L37" i="3"/>
  <c r="G39" i="5" s="1"/>
  <c r="K37" i="3"/>
  <c r="F39" i="5" s="1"/>
  <c r="J37" i="3"/>
  <c r="E39" i="5" s="1"/>
  <c r="I37" i="3"/>
  <c r="D39" i="5" s="1"/>
  <c r="H37" i="3"/>
  <c r="C39" i="5" s="1"/>
  <c r="S36" i="3"/>
  <c r="N38" i="5" s="1"/>
  <c r="R36" i="3"/>
  <c r="M38" i="5" s="1"/>
  <c r="Q36" i="3"/>
  <c r="L38" i="5" s="1"/>
  <c r="P36" i="3"/>
  <c r="K38" i="5" s="1"/>
  <c r="O36" i="3"/>
  <c r="J38" i="5" s="1"/>
  <c r="N36" i="3"/>
  <c r="I38" i="5" s="1"/>
  <c r="M36" i="3"/>
  <c r="H38" i="5" s="1"/>
  <c r="L36" i="3"/>
  <c r="G38" i="5" s="1"/>
  <c r="K36" i="3"/>
  <c r="F38" i="5" s="1"/>
  <c r="J36" i="3"/>
  <c r="E38" i="5" s="1"/>
  <c r="I36" i="3"/>
  <c r="D38" i="5" s="1"/>
  <c r="H36" i="3"/>
  <c r="C38" i="5" s="1"/>
  <c r="S35" i="3"/>
  <c r="N37" i="5" s="1"/>
  <c r="R35" i="3"/>
  <c r="M37" i="5" s="1"/>
  <c r="Q35" i="3"/>
  <c r="L37" i="5" s="1"/>
  <c r="P35" i="3"/>
  <c r="K37" i="5" s="1"/>
  <c r="O35" i="3"/>
  <c r="J37" i="5" s="1"/>
  <c r="N35" i="3"/>
  <c r="I37" i="5" s="1"/>
  <c r="M35" i="3"/>
  <c r="H37" i="5" s="1"/>
  <c r="L35" i="3"/>
  <c r="G37" i="5" s="1"/>
  <c r="K35" i="3"/>
  <c r="F37" i="5" s="1"/>
  <c r="J35" i="3"/>
  <c r="E37" i="5" s="1"/>
  <c r="I35" i="3"/>
  <c r="D37" i="5" s="1"/>
  <c r="H35" i="3"/>
  <c r="C37" i="5" s="1"/>
  <c r="S34" i="3"/>
  <c r="N36" i="5" s="1"/>
  <c r="R34" i="3"/>
  <c r="M36" i="5" s="1"/>
  <c r="Q34" i="3"/>
  <c r="L36" i="5" s="1"/>
  <c r="P34" i="3"/>
  <c r="K36" i="5" s="1"/>
  <c r="O34" i="3"/>
  <c r="J36" i="5" s="1"/>
  <c r="N34" i="3"/>
  <c r="I36" i="5" s="1"/>
  <c r="M34" i="3"/>
  <c r="H36" i="5" s="1"/>
  <c r="L34" i="3"/>
  <c r="G36" i="5" s="1"/>
  <c r="K34" i="3"/>
  <c r="F36" i="5" s="1"/>
  <c r="J34" i="3"/>
  <c r="E36" i="5" s="1"/>
  <c r="I34" i="3"/>
  <c r="D36" i="5" s="1"/>
  <c r="H34" i="3"/>
  <c r="C36" i="5" s="1"/>
  <c r="S33" i="3"/>
  <c r="N35" i="5" s="1"/>
  <c r="R33" i="3"/>
  <c r="M35" i="5" s="1"/>
  <c r="Q33" i="3"/>
  <c r="L35" i="5" s="1"/>
  <c r="P33" i="3"/>
  <c r="K35" i="5" s="1"/>
  <c r="O33" i="3"/>
  <c r="J35" i="5" s="1"/>
  <c r="N33" i="3"/>
  <c r="I35" i="5" s="1"/>
  <c r="M33" i="3"/>
  <c r="H35" i="5" s="1"/>
  <c r="L33" i="3"/>
  <c r="G35" i="5" s="1"/>
  <c r="K33" i="3"/>
  <c r="F35" i="5" s="1"/>
  <c r="J33" i="3"/>
  <c r="E35" i="5" s="1"/>
  <c r="I33" i="3"/>
  <c r="D35" i="5" s="1"/>
  <c r="H33" i="3"/>
  <c r="C35" i="5" s="1"/>
  <c r="S32" i="3"/>
  <c r="N34" i="5" s="1"/>
  <c r="R32" i="3"/>
  <c r="M34" i="5" s="1"/>
  <c r="Q32" i="3"/>
  <c r="L34" i="5" s="1"/>
  <c r="P32" i="3"/>
  <c r="K34" i="5" s="1"/>
  <c r="O32" i="3"/>
  <c r="J34" i="5" s="1"/>
  <c r="N32" i="3"/>
  <c r="I34" i="5" s="1"/>
  <c r="M32" i="3"/>
  <c r="H34" i="5" s="1"/>
  <c r="L32" i="3"/>
  <c r="G34" i="5" s="1"/>
  <c r="K32" i="3"/>
  <c r="F34" i="5" s="1"/>
  <c r="J32" i="3"/>
  <c r="E34" i="5" s="1"/>
  <c r="I32" i="3"/>
  <c r="D34" i="5" s="1"/>
  <c r="H32" i="3"/>
  <c r="C34" i="5" s="1"/>
  <c r="S31" i="3"/>
  <c r="N33" i="5" s="1"/>
  <c r="R31" i="3"/>
  <c r="M33" i="5" s="1"/>
  <c r="Q31" i="3"/>
  <c r="L33" i="5" s="1"/>
  <c r="P31" i="3"/>
  <c r="K33" i="5" s="1"/>
  <c r="O31" i="3"/>
  <c r="J33" i="5" s="1"/>
  <c r="N31" i="3"/>
  <c r="I33" i="5" s="1"/>
  <c r="M31" i="3"/>
  <c r="H33" i="5" s="1"/>
  <c r="L31" i="3"/>
  <c r="G33" i="5" s="1"/>
  <c r="K31" i="3"/>
  <c r="F33" i="5" s="1"/>
  <c r="J31" i="3"/>
  <c r="E33" i="5" s="1"/>
  <c r="I31" i="3"/>
  <c r="D33" i="5" s="1"/>
  <c r="H31" i="3"/>
  <c r="C33" i="5" s="1"/>
  <c r="S30" i="3"/>
  <c r="N32" i="5" s="1"/>
  <c r="R30" i="3"/>
  <c r="M32" i="5" s="1"/>
  <c r="Q30" i="3"/>
  <c r="L32" i="5" s="1"/>
  <c r="P30" i="3"/>
  <c r="K32" i="5" s="1"/>
  <c r="O30" i="3"/>
  <c r="J32" i="5" s="1"/>
  <c r="N30" i="3"/>
  <c r="I32" i="5" s="1"/>
  <c r="M30" i="3"/>
  <c r="H32" i="5" s="1"/>
  <c r="L30" i="3"/>
  <c r="G32" i="5" s="1"/>
  <c r="K30" i="3"/>
  <c r="F32" i="5" s="1"/>
  <c r="J30" i="3"/>
  <c r="E32" i="5" s="1"/>
  <c r="I30" i="3"/>
  <c r="D32" i="5" s="1"/>
  <c r="H30" i="3"/>
  <c r="C32" i="5" s="1"/>
  <c r="S29" i="3"/>
  <c r="R29" i="3"/>
  <c r="Q29" i="3"/>
  <c r="P29" i="3"/>
  <c r="O29" i="3"/>
  <c r="N29" i="3"/>
  <c r="M29" i="3"/>
  <c r="L29" i="3"/>
  <c r="K29" i="3"/>
  <c r="J29" i="3"/>
  <c r="I29" i="3"/>
  <c r="H29" i="3"/>
  <c r="S28" i="3"/>
  <c r="R28" i="3"/>
  <c r="Q28" i="3"/>
  <c r="P28" i="3"/>
  <c r="O28" i="3"/>
  <c r="N28" i="3"/>
  <c r="M28" i="3"/>
  <c r="L28" i="3"/>
  <c r="K28" i="3"/>
  <c r="J28" i="3"/>
  <c r="I28" i="3"/>
  <c r="H28" i="3"/>
  <c r="S27" i="3"/>
  <c r="R27" i="3"/>
  <c r="Q27" i="3"/>
  <c r="P27" i="3"/>
  <c r="O27" i="3"/>
  <c r="N27" i="3"/>
  <c r="M27" i="3"/>
  <c r="L27" i="3"/>
  <c r="K27" i="3"/>
  <c r="J27" i="3"/>
  <c r="I27" i="3"/>
  <c r="H27" i="3"/>
  <c r="E78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H26" i="3"/>
  <c r="I26" i="3"/>
  <c r="J26" i="3"/>
  <c r="K26" i="3"/>
  <c r="L26" i="3"/>
  <c r="M26" i="3"/>
  <c r="N26" i="3"/>
  <c r="O26" i="3"/>
  <c r="P26" i="3"/>
  <c r="Q26" i="3"/>
  <c r="R26" i="3"/>
  <c r="S26" i="3"/>
  <c r="H25" i="3"/>
  <c r="I25" i="3"/>
  <c r="J25" i="3"/>
  <c r="K25" i="3"/>
  <c r="L25" i="3"/>
  <c r="M25" i="3"/>
  <c r="N25" i="3"/>
  <c r="O25" i="3"/>
  <c r="P25" i="3"/>
  <c r="Q25" i="3"/>
  <c r="R25" i="3"/>
  <c r="S25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T76" i="3" l="1"/>
  <c r="C78" i="5"/>
  <c r="T74" i="3"/>
  <c r="T4" i="4"/>
  <c r="T5" i="4"/>
  <c r="T6" i="4"/>
  <c r="T7" i="4"/>
  <c r="T9" i="4"/>
  <c r="T10" i="4"/>
  <c r="T11" i="4"/>
  <c r="T12" i="4"/>
  <c r="T19" i="4"/>
  <c r="T18" i="4"/>
  <c r="T17" i="4"/>
  <c r="T16" i="4"/>
  <c r="T15" i="4"/>
  <c r="T14" i="4"/>
  <c r="T13" i="4"/>
  <c r="T8" i="4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26" i="3"/>
  <c r="T25" i="3"/>
  <c r="S3" i="4" l="1"/>
  <c r="R3" i="4"/>
  <c r="Q3" i="4"/>
  <c r="P3" i="4"/>
  <c r="O3" i="4"/>
  <c r="N3" i="4"/>
  <c r="M3" i="4"/>
  <c r="L3" i="4"/>
  <c r="K3" i="4"/>
  <c r="J3" i="4"/>
  <c r="I3" i="4"/>
  <c r="H3" i="4"/>
  <c r="S2" i="4"/>
  <c r="R2" i="4"/>
  <c r="Q2" i="4"/>
  <c r="P2" i="4"/>
  <c r="O2" i="4"/>
  <c r="N2" i="4"/>
  <c r="M2" i="4"/>
  <c r="L2" i="4"/>
  <c r="K2" i="4"/>
  <c r="J2" i="4"/>
  <c r="I2" i="4"/>
  <c r="H2" i="4"/>
  <c r="D3" i="4"/>
  <c r="D2" i="4"/>
  <c r="S24" i="3"/>
  <c r="R24" i="3"/>
  <c r="Q24" i="3"/>
  <c r="P24" i="3"/>
  <c r="O24" i="3"/>
  <c r="N24" i="3"/>
  <c r="M24" i="3"/>
  <c r="L24" i="3"/>
  <c r="K24" i="3"/>
  <c r="J24" i="3"/>
  <c r="I24" i="3"/>
  <c r="H24" i="3"/>
  <c r="S23" i="3"/>
  <c r="R23" i="3"/>
  <c r="Q23" i="3"/>
  <c r="P23" i="3"/>
  <c r="O23" i="3"/>
  <c r="N23" i="3"/>
  <c r="M23" i="3"/>
  <c r="L23" i="3"/>
  <c r="K23" i="3"/>
  <c r="J23" i="3"/>
  <c r="I23" i="3"/>
  <c r="H23" i="3"/>
  <c r="S22" i="3"/>
  <c r="R22" i="3"/>
  <c r="Q22" i="3"/>
  <c r="P22" i="3"/>
  <c r="O22" i="3"/>
  <c r="N22" i="3"/>
  <c r="M22" i="3"/>
  <c r="L22" i="3"/>
  <c r="K22" i="3"/>
  <c r="J22" i="3"/>
  <c r="I22" i="3"/>
  <c r="H22" i="3"/>
  <c r="S21" i="3"/>
  <c r="R21" i="3"/>
  <c r="Q21" i="3"/>
  <c r="P21" i="3"/>
  <c r="O21" i="3"/>
  <c r="N21" i="3"/>
  <c r="M21" i="3"/>
  <c r="L21" i="3"/>
  <c r="K21" i="3"/>
  <c r="J21" i="3"/>
  <c r="I21" i="3"/>
  <c r="H21" i="3"/>
  <c r="S20" i="3"/>
  <c r="R20" i="3"/>
  <c r="Q20" i="3"/>
  <c r="P20" i="3"/>
  <c r="O20" i="3"/>
  <c r="N20" i="3"/>
  <c r="M20" i="3"/>
  <c r="L20" i="3"/>
  <c r="K20" i="3"/>
  <c r="J20" i="3"/>
  <c r="I20" i="3"/>
  <c r="H20" i="3"/>
  <c r="S19" i="3"/>
  <c r="R19" i="3"/>
  <c r="Q19" i="3"/>
  <c r="P19" i="3"/>
  <c r="O19" i="3"/>
  <c r="N19" i="3"/>
  <c r="M19" i="3"/>
  <c r="L19" i="3"/>
  <c r="K19" i="3"/>
  <c r="J19" i="3"/>
  <c r="I19" i="3"/>
  <c r="H19" i="3"/>
  <c r="S18" i="3"/>
  <c r="R18" i="3"/>
  <c r="Q18" i="3"/>
  <c r="P18" i="3"/>
  <c r="O18" i="3"/>
  <c r="N18" i="3"/>
  <c r="M18" i="3"/>
  <c r="L18" i="3"/>
  <c r="K18" i="3"/>
  <c r="J18" i="3"/>
  <c r="I18" i="3"/>
  <c r="H18" i="3"/>
  <c r="S17" i="3"/>
  <c r="R17" i="3"/>
  <c r="Q17" i="3"/>
  <c r="P17" i="3"/>
  <c r="O17" i="3"/>
  <c r="N17" i="3"/>
  <c r="M17" i="3"/>
  <c r="L17" i="3"/>
  <c r="K17" i="3"/>
  <c r="J17" i="3"/>
  <c r="I17" i="3"/>
  <c r="H17" i="3"/>
  <c r="S16" i="3"/>
  <c r="R16" i="3"/>
  <c r="Q16" i="3"/>
  <c r="P16" i="3"/>
  <c r="O16" i="3"/>
  <c r="N16" i="3"/>
  <c r="M16" i="3"/>
  <c r="L16" i="3"/>
  <c r="K16" i="3"/>
  <c r="J16" i="3"/>
  <c r="I16" i="3"/>
  <c r="H16" i="3"/>
  <c r="S15" i="3"/>
  <c r="R15" i="3"/>
  <c r="Q15" i="3"/>
  <c r="P15" i="3"/>
  <c r="O15" i="3"/>
  <c r="N15" i="3"/>
  <c r="M15" i="3"/>
  <c r="L15" i="3"/>
  <c r="K15" i="3"/>
  <c r="J15" i="3"/>
  <c r="I15" i="3"/>
  <c r="H15" i="3"/>
  <c r="S14" i="3"/>
  <c r="R14" i="3"/>
  <c r="Q14" i="3"/>
  <c r="P14" i="3"/>
  <c r="O14" i="3"/>
  <c r="N14" i="3"/>
  <c r="M14" i="3"/>
  <c r="L14" i="3"/>
  <c r="K14" i="3"/>
  <c r="J14" i="3"/>
  <c r="I14" i="3"/>
  <c r="H14" i="3"/>
  <c r="S13" i="3"/>
  <c r="R13" i="3"/>
  <c r="Q13" i="3"/>
  <c r="P13" i="3"/>
  <c r="O13" i="3"/>
  <c r="N13" i="3"/>
  <c r="M13" i="3"/>
  <c r="L13" i="3"/>
  <c r="K13" i="3"/>
  <c r="J13" i="3"/>
  <c r="I13" i="3"/>
  <c r="H13" i="3"/>
  <c r="S12" i="3"/>
  <c r="R12" i="3"/>
  <c r="Q12" i="3"/>
  <c r="P12" i="3"/>
  <c r="O12" i="3"/>
  <c r="N12" i="3"/>
  <c r="M12" i="3"/>
  <c r="L12" i="3"/>
  <c r="K12" i="3"/>
  <c r="J12" i="3"/>
  <c r="I12" i="3"/>
  <c r="H12" i="3"/>
  <c r="S11" i="3"/>
  <c r="R11" i="3"/>
  <c r="Q11" i="3"/>
  <c r="P11" i="3"/>
  <c r="O11" i="3"/>
  <c r="N11" i="3"/>
  <c r="M11" i="3"/>
  <c r="L11" i="3"/>
  <c r="K11" i="3"/>
  <c r="J11" i="3"/>
  <c r="I11" i="3"/>
  <c r="H11" i="3"/>
  <c r="S10" i="3"/>
  <c r="R10" i="3"/>
  <c r="Q10" i="3"/>
  <c r="P10" i="3"/>
  <c r="O10" i="3"/>
  <c r="N10" i="3"/>
  <c r="M10" i="3"/>
  <c r="L10" i="3"/>
  <c r="K10" i="3"/>
  <c r="J10" i="3"/>
  <c r="I10" i="3"/>
  <c r="H10" i="3"/>
  <c r="S9" i="3"/>
  <c r="R9" i="3"/>
  <c r="Q9" i="3"/>
  <c r="P9" i="3"/>
  <c r="O9" i="3"/>
  <c r="N9" i="3"/>
  <c r="M9" i="3"/>
  <c r="L9" i="3"/>
  <c r="K9" i="3"/>
  <c r="J9" i="3"/>
  <c r="I9" i="3"/>
  <c r="H9" i="3"/>
  <c r="S8" i="3"/>
  <c r="R8" i="3"/>
  <c r="Q8" i="3"/>
  <c r="P8" i="3"/>
  <c r="O8" i="3"/>
  <c r="N8" i="3"/>
  <c r="M8" i="3"/>
  <c r="L8" i="3"/>
  <c r="K8" i="3"/>
  <c r="J8" i="3"/>
  <c r="I8" i="3"/>
  <c r="H8" i="3"/>
  <c r="S7" i="3"/>
  <c r="R7" i="3"/>
  <c r="Q7" i="3"/>
  <c r="P7" i="3"/>
  <c r="O7" i="3"/>
  <c r="N7" i="3"/>
  <c r="M7" i="3"/>
  <c r="L7" i="3"/>
  <c r="K7" i="3"/>
  <c r="J7" i="3"/>
  <c r="I7" i="3"/>
  <c r="H7" i="3"/>
  <c r="S6" i="3"/>
  <c r="R6" i="3"/>
  <c r="Q6" i="3"/>
  <c r="P6" i="3"/>
  <c r="O6" i="3"/>
  <c r="N6" i="3"/>
  <c r="M6" i="3"/>
  <c r="L6" i="3"/>
  <c r="K6" i="3"/>
  <c r="J6" i="3"/>
  <c r="I6" i="3"/>
  <c r="H6" i="3"/>
  <c r="S5" i="3"/>
  <c r="R5" i="3"/>
  <c r="Q5" i="3"/>
  <c r="P5" i="3"/>
  <c r="O5" i="3"/>
  <c r="N5" i="3"/>
  <c r="M5" i="3"/>
  <c r="L5" i="3"/>
  <c r="K5" i="3"/>
  <c r="J5" i="3"/>
  <c r="I5" i="3"/>
  <c r="H5" i="3"/>
  <c r="S4" i="3"/>
  <c r="R4" i="3"/>
  <c r="Q4" i="3"/>
  <c r="P4" i="3"/>
  <c r="O4" i="3"/>
  <c r="N4" i="3"/>
  <c r="M4" i="3"/>
  <c r="L4" i="3"/>
  <c r="K4" i="3"/>
  <c r="J4" i="3"/>
  <c r="I4" i="3"/>
  <c r="H4" i="3"/>
  <c r="S3" i="3"/>
  <c r="R3" i="3"/>
  <c r="Q3" i="3"/>
  <c r="P3" i="3"/>
  <c r="O3" i="3"/>
  <c r="N3" i="3"/>
  <c r="M3" i="3"/>
  <c r="L3" i="3"/>
  <c r="K3" i="3"/>
  <c r="J3" i="3"/>
  <c r="I3" i="3"/>
  <c r="H3" i="3"/>
  <c r="T2" i="4" l="1"/>
  <c r="T3" i="4"/>
  <c r="T8" i="3"/>
  <c r="T9" i="3"/>
  <c r="T10" i="3"/>
  <c r="T11" i="3"/>
  <c r="T12" i="3"/>
  <c r="T13" i="3"/>
  <c r="T16" i="3"/>
  <c r="T17" i="3"/>
  <c r="T18" i="3"/>
  <c r="T19" i="3"/>
  <c r="T20" i="3"/>
  <c r="T21" i="3"/>
  <c r="T22" i="3"/>
  <c r="T23" i="3"/>
  <c r="T4" i="3"/>
  <c r="T5" i="3"/>
  <c r="T6" i="3"/>
  <c r="T7" i="3"/>
  <c r="T24" i="3"/>
  <c r="T15" i="3"/>
  <c r="T14" i="3"/>
  <c r="T3" i="3"/>
  <c r="C5" i="5"/>
  <c r="D5" i="5"/>
  <c r="E5" i="5"/>
  <c r="F5" i="5"/>
  <c r="G5" i="5"/>
  <c r="H5" i="5"/>
  <c r="I5" i="5"/>
  <c r="J5" i="5"/>
  <c r="K5" i="5"/>
  <c r="L5" i="5"/>
  <c r="M5" i="5"/>
  <c r="N5" i="5"/>
  <c r="C6" i="5"/>
  <c r="D6" i="5"/>
  <c r="E6" i="5"/>
  <c r="F6" i="5"/>
  <c r="G6" i="5"/>
  <c r="H6" i="5"/>
  <c r="I6" i="5"/>
  <c r="J6" i="5"/>
  <c r="K6" i="5"/>
  <c r="L6" i="5"/>
  <c r="M6" i="5"/>
  <c r="N6" i="5"/>
  <c r="C7" i="5"/>
  <c r="D7" i="5"/>
  <c r="E7" i="5"/>
  <c r="F7" i="5"/>
  <c r="G7" i="5"/>
  <c r="H7" i="5"/>
  <c r="I7" i="5"/>
  <c r="J7" i="5"/>
  <c r="K7" i="5"/>
  <c r="L7" i="5"/>
  <c r="M7" i="5"/>
  <c r="N7" i="5"/>
  <c r="C8" i="5"/>
  <c r="D8" i="5"/>
  <c r="E8" i="5"/>
  <c r="F8" i="5"/>
  <c r="G8" i="5"/>
  <c r="H8" i="5"/>
  <c r="I8" i="5"/>
  <c r="J8" i="5"/>
  <c r="K8" i="5"/>
  <c r="L8" i="5"/>
  <c r="M8" i="5"/>
  <c r="N8" i="5"/>
  <c r="C9" i="5"/>
  <c r="D9" i="5"/>
  <c r="E9" i="5"/>
  <c r="F9" i="5"/>
  <c r="G9" i="5"/>
  <c r="H9" i="5"/>
  <c r="I9" i="5"/>
  <c r="J9" i="5"/>
  <c r="K9" i="5"/>
  <c r="L9" i="5"/>
  <c r="M9" i="5"/>
  <c r="N9" i="5"/>
  <c r="C10" i="5"/>
  <c r="D10" i="5"/>
  <c r="E10" i="5"/>
  <c r="F10" i="5"/>
  <c r="G10" i="5"/>
  <c r="H10" i="5"/>
  <c r="I10" i="5"/>
  <c r="J10" i="5"/>
  <c r="K10" i="5"/>
  <c r="L10" i="5"/>
  <c r="M10" i="5"/>
  <c r="N10" i="5"/>
  <c r="C11" i="5"/>
  <c r="D11" i="5"/>
  <c r="E11" i="5"/>
  <c r="F11" i="5"/>
  <c r="G11" i="5"/>
  <c r="H11" i="5"/>
  <c r="I11" i="5"/>
  <c r="J11" i="5"/>
  <c r="K11" i="5"/>
  <c r="L11" i="5"/>
  <c r="M11" i="5"/>
  <c r="N11" i="5"/>
  <c r="C12" i="5"/>
  <c r="D12" i="5"/>
  <c r="E12" i="5"/>
  <c r="F12" i="5"/>
  <c r="G12" i="5"/>
  <c r="H12" i="5"/>
  <c r="I12" i="5"/>
  <c r="J12" i="5"/>
  <c r="K12" i="5"/>
  <c r="L12" i="5"/>
  <c r="M12" i="5"/>
  <c r="N12" i="5"/>
  <c r="C13" i="5"/>
  <c r="D13" i="5"/>
  <c r="E13" i="5"/>
  <c r="F13" i="5"/>
  <c r="G13" i="5"/>
  <c r="H13" i="5"/>
  <c r="I13" i="5"/>
  <c r="J13" i="5"/>
  <c r="K13" i="5"/>
  <c r="L13" i="5"/>
  <c r="M13" i="5"/>
  <c r="N13" i="5"/>
  <c r="C14" i="5"/>
  <c r="D14" i="5"/>
  <c r="E14" i="5"/>
  <c r="F14" i="5"/>
  <c r="G14" i="5"/>
  <c r="H14" i="5"/>
  <c r="I14" i="5"/>
  <c r="J14" i="5"/>
  <c r="K14" i="5"/>
  <c r="L14" i="5"/>
  <c r="M14" i="5"/>
  <c r="N14" i="5"/>
  <c r="C15" i="5"/>
  <c r="D15" i="5"/>
  <c r="E15" i="5"/>
  <c r="F15" i="5"/>
  <c r="G15" i="5"/>
  <c r="H15" i="5"/>
  <c r="I15" i="5"/>
  <c r="J15" i="5"/>
  <c r="K15" i="5"/>
  <c r="L15" i="5"/>
  <c r="M15" i="5"/>
  <c r="N15" i="5"/>
  <c r="C16" i="5"/>
  <c r="D16" i="5"/>
  <c r="E16" i="5"/>
  <c r="F16" i="5"/>
  <c r="G16" i="5"/>
  <c r="H16" i="5"/>
  <c r="I16" i="5"/>
  <c r="J16" i="5"/>
  <c r="K16" i="5"/>
  <c r="L16" i="5"/>
  <c r="M16" i="5"/>
  <c r="N16" i="5"/>
  <c r="C17" i="5"/>
  <c r="D17" i="5"/>
  <c r="E17" i="5"/>
  <c r="F17" i="5"/>
  <c r="G17" i="5"/>
  <c r="H17" i="5"/>
  <c r="I17" i="5"/>
  <c r="J17" i="5"/>
  <c r="K17" i="5"/>
  <c r="L17" i="5"/>
  <c r="M17" i="5"/>
  <c r="N17" i="5"/>
  <c r="C18" i="5"/>
  <c r="D18" i="5"/>
  <c r="E18" i="5"/>
  <c r="F18" i="5"/>
  <c r="G18" i="5"/>
  <c r="H18" i="5"/>
  <c r="I18" i="5"/>
  <c r="J18" i="5"/>
  <c r="K18" i="5"/>
  <c r="L18" i="5"/>
  <c r="M18" i="5"/>
  <c r="N18" i="5"/>
  <c r="C19" i="5"/>
  <c r="D19" i="5"/>
  <c r="E19" i="5"/>
  <c r="F19" i="5"/>
  <c r="G19" i="5"/>
  <c r="H19" i="5"/>
  <c r="I19" i="5"/>
  <c r="J19" i="5"/>
  <c r="K19" i="5"/>
  <c r="L19" i="5"/>
  <c r="M19" i="5"/>
  <c r="N19" i="5"/>
  <c r="C20" i="5"/>
  <c r="D20" i="5"/>
  <c r="E20" i="5"/>
  <c r="F20" i="5"/>
  <c r="G20" i="5"/>
  <c r="H20" i="5"/>
  <c r="I20" i="5"/>
  <c r="J20" i="5"/>
  <c r="K20" i="5"/>
  <c r="L20" i="5"/>
  <c r="M20" i="5"/>
  <c r="N20" i="5"/>
  <c r="C21" i="5"/>
  <c r="D21" i="5"/>
  <c r="E21" i="5"/>
  <c r="F21" i="5"/>
  <c r="G21" i="5"/>
  <c r="H21" i="5"/>
  <c r="I21" i="5"/>
  <c r="J21" i="5"/>
  <c r="K21" i="5"/>
  <c r="L21" i="5"/>
  <c r="M21" i="5"/>
  <c r="N21" i="5"/>
  <c r="C22" i="5"/>
  <c r="D22" i="5"/>
  <c r="E22" i="5"/>
  <c r="F22" i="5"/>
  <c r="G22" i="5"/>
  <c r="H22" i="5"/>
  <c r="I22" i="5"/>
  <c r="J22" i="5"/>
  <c r="K22" i="5"/>
  <c r="L22" i="5"/>
  <c r="M22" i="5"/>
  <c r="N22" i="5"/>
  <c r="C23" i="5"/>
  <c r="D23" i="5"/>
  <c r="E23" i="5"/>
  <c r="F23" i="5"/>
  <c r="G23" i="5"/>
  <c r="H23" i="5"/>
  <c r="I23" i="5"/>
  <c r="J23" i="5"/>
  <c r="K23" i="5"/>
  <c r="L23" i="5"/>
  <c r="M23" i="5"/>
  <c r="N23" i="5"/>
  <c r="C24" i="5"/>
  <c r="D24" i="5"/>
  <c r="E24" i="5"/>
  <c r="F24" i="5"/>
  <c r="G24" i="5"/>
  <c r="H24" i="5"/>
  <c r="I24" i="5"/>
  <c r="J24" i="5"/>
  <c r="K24" i="5"/>
  <c r="L24" i="5"/>
  <c r="M24" i="5"/>
  <c r="N24" i="5"/>
  <c r="C25" i="5"/>
  <c r="D25" i="5"/>
  <c r="E25" i="5"/>
  <c r="F25" i="5"/>
  <c r="G25" i="5"/>
  <c r="H25" i="5"/>
  <c r="I25" i="5"/>
  <c r="J25" i="5"/>
  <c r="K25" i="5"/>
  <c r="L25" i="5"/>
  <c r="M25" i="5"/>
  <c r="N25" i="5"/>
  <c r="C26" i="5"/>
  <c r="D26" i="5"/>
  <c r="E26" i="5"/>
  <c r="F26" i="5"/>
  <c r="G26" i="5"/>
  <c r="H26" i="5"/>
  <c r="I26" i="5"/>
  <c r="J26" i="5"/>
  <c r="K26" i="5"/>
  <c r="L26" i="5"/>
  <c r="M26" i="5"/>
  <c r="N26" i="5"/>
  <c r="C27" i="5"/>
  <c r="D27" i="5"/>
  <c r="E27" i="5"/>
  <c r="F27" i="5"/>
  <c r="G27" i="5"/>
  <c r="H27" i="5"/>
  <c r="I27" i="5"/>
  <c r="J27" i="5"/>
  <c r="K27" i="5"/>
  <c r="L27" i="5"/>
  <c r="M27" i="5"/>
  <c r="N27" i="5"/>
  <c r="C28" i="5"/>
  <c r="D28" i="5"/>
  <c r="E28" i="5"/>
  <c r="F28" i="5"/>
  <c r="G28" i="5"/>
  <c r="H28" i="5"/>
  <c r="I28" i="5"/>
  <c r="J28" i="5"/>
  <c r="K28" i="5"/>
  <c r="L28" i="5"/>
  <c r="M28" i="5"/>
  <c r="N28" i="5"/>
  <c r="C29" i="5"/>
  <c r="D29" i="5"/>
  <c r="E29" i="5"/>
  <c r="F29" i="5"/>
  <c r="G29" i="5"/>
  <c r="H29" i="5"/>
  <c r="I29" i="5"/>
  <c r="J29" i="5"/>
  <c r="K29" i="5"/>
  <c r="L29" i="5"/>
  <c r="M29" i="5"/>
  <c r="N29" i="5"/>
  <c r="C30" i="5"/>
  <c r="D30" i="5"/>
  <c r="E30" i="5"/>
  <c r="F30" i="5"/>
  <c r="G30" i="5"/>
  <c r="H30" i="5"/>
  <c r="I30" i="5"/>
  <c r="J30" i="5"/>
  <c r="K30" i="5"/>
  <c r="L30" i="5"/>
  <c r="M30" i="5"/>
  <c r="N30" i="5"/>
  <c r="C31" i="5"/>
  <c r="D31" i="5"/>
  <c r="E31" i="5"/>
  <c r="F31" i="5"/>
  <c r="G31" i="5"/>
  <c r="H31" i="5"/>
  <c r="I31" i="5"/>
  <c r="J31" i="5"/>
  <c r="K31" i="5"/>
  <c r="L31" i="5"/>
  <c r="M31" i="5"/>
  <c r="N31" i="5"/>
  <c r="G2" i="3" l="1"/>
  <c r="H2" i="3" l="1"/>
  <c r="C4" i="5" s="1"/>
  <c r="S2" i="3" l="1"/>
  <c r="N4" i="5" s="1"/>
  <c r="R2" i="3" l="1"/>
  <c r="M4" i="5" s="1"/>
  <c r="Q2" i="3"/>
  <c r="L4" i="5" s="1"/>
  <c r="P2" i="3"/>
  <c r="K4" i="5" s="1"/>
  <c r="O2" i="3"/>
  <c r="J4" i="5" s="1"/>
  <c r="N2" i="3"/>
  <c r="I4" i="5" s="1"/>
  <c r="M2" i="3"/>
  <c r="H4" i="5" s="1"/>
  <c r="L2" i="3"/>
  <c r="G4" i="5" s="1"/>
  <c r="K2" i="3"/>
  <c r="F4" i="5" s="1"/>
  <c r="J2" i="3"/>
  <c r="E4" i="5" s="1"/>
  <c r="I2" i="3"/>
  <c r="D4" i="5" s="1"/>
  <c r="D2" i="3" l="1"/>
  <c r="T2" i="3" l="1"/>
</calcChain>
</file>

<file path=xl/sharedStrings.xml><?xml version="1.0" encoding="utf-8"?>
<sst xmlns="http://schemas.openxmlformats.org/spreadsheetml/2006/main" count="2142" uniqueCount="1608">
  <si>
    <t>Account</t>
  </si>
  <si>
    <t>Long Desc</t>
  </si>
  <si>
    <t>4009</t>
  </si>
  <si>
    <t>Assessments, Res 1</t>
  </si>
  <si>
    <t>4010</t>
  </si>
  <si>
    <t>Assessments - Regular</t>
  </si>
  <si>
    <t>4010-1</t>
  </si>
  <si>
    <t>Other Assessment Inc</t>
  </si>
  <si>
    <t>4010-2</t>
  </si>
  <si>
    <t>4010-3</t>
  </si>
  <si>
    <t>4010-4</t>
  </si>
  <si>
    <t>4010-5</t>
  </si>
  <si>
    <t>4011</t>
  </si>
  <si>
    <t>Assessment, Reserve</t>
  </si>
  <si>
    <t>4011-1</t>
  </si>
  <si>
    <t>Other Reserve Assmt</t>
  </si>
  <si>
    <t>4011-2</t>
  </si>
  <si>
    <t>4011-3</t>
  </si>
  <si>
    <t>4011-4</t>
  </si>
  <si>
    <t>4012</t>
  </si>
  <si>
    <t>Prior Year Assessments</t>
  </si>
  <si>
    <t>4013</t>
  </si>
  <si>
    <t>Community Assn Fees</t>
  </si>
  <si>
    <t>4014</t>
  </si>
  <si>
    <t>Apartment Rental Income</t>
  </si>
  <si>
    <t>4015</t>
  </si>
  <si>
    <t>Commercial CAM Reimb</t>
  </si>
  <si>
    <t>4020</t>
  </si>
  <si>
    <t>Late Charges</t>
  </si>
  <si>
    <t>4020-1</t>
  </si>
  <si>
    <t>4020-2</t>
  </si>
  <si>
    <t>4020-3</t>
  </si>
  <si>
    <t>4020-4</t>
  </si>
  <si>
    <t>4020-5</t>
  </si>
  <si>
    <t>4021</t>
  </si>
  <si>
    <t>NSF Fees</t>
  </si>
  <si>
    <t>4030</t>
  </si>
  <si>
    <t>Move In/Move Out Fees</t>
  </si>
  <si>
    <t>4040</t>
  </si>
  <si>
    <t>Garage/Parking Fees</t>
  </si>
  <si>
    <t>4040-1</t>
  </si>
  <si>
    <t>Other Parking Income</t>
  </si>
  <si>
    <t>4040-2</t>
  </si>
  <si>
    <t>4040-3</t>
  </si>
  <si>
    <t>4040-4</t>
  </si>
  <si>
    <t>4040-5</t>
  </si>
  <si>
    <t>Garage/Parking Fees Assn. Owned</t>
  </si>
  <si>
    <t>4040-6</t>
  </si>
  <si>
    <t>4042</t>
  </si>
  <si>
    <t>Car Washes</t>
  </si>
  <si>
    <t>4045</t>
  </si>
  <si>
    <t>Parking Vendor Income/Expense</t>
  </si>
  <si>
    <t>4050</t>
  </si>
  <si>
    <t>Violation Income</t>
  </si>
  <si>
    <t>4060</t>
  </si>
  <si>
    <t>Locker Rental Income</t>
  </si>
  <si>
    <t>4070</t>
  </si>
  <si>
    <t>Storage Space Rent</t>
  </si>
  <si>
    <t>4080</t>
  </si>
  <si>
    <t>Scavenger Rebate</t>
  </si>
  <si>
    <t>4090</t>
  </si>
  <si>
    <t>Scavenger Income</t>
  </si>
  <si>
    <t>4100</t>
  </si>
  <si>
    <t>Utility Assessment Income</t>
  </si>
  <si>
    <t>4101</t>
  </si>
  <si>
    <t>Utility Assessment</t>
  </si>
  <si>
    <t>4110</t>
  </si>
  <si>
    <t>Laundry Room Income</t>
  </si>
  <si>
    <t>4111</t>
  </si>
  <si>
    <t>Fitness Room Income</t>
  </si>
  <si>
    <t>4120</t>
  </si>
  <si>
    <t>Concession/Vending Inc.</t>
  </si>
  <si>
    <t>4120-5</t>
  </si>
  <si>
    <t>Concession/Vending Exp</t>
  </si>
  <si>
    <t>4130</t>
  </si>
  <si>
    <t>Key Charges</t>
  </si>
  <si>
    <t>4135</t>
  </si>
  <si>
    <t>Lock Out Charges</t>
  </si>
  <si>
    <t>4140</t>
  </si>
  <si>
    <t>Unit Rental Income</t>
  </si>
  <si>
    <t>4141</t>
  </si>
  <si>
    <t>Rental Vacancy Loss &amp; Adjustments</t>
  </si>
  <si>
    <t>4142</t>
  </si>
  <si>
    <t>Rent Concession/Deduction</t>
  </si>
  <si>
    <t>4143</t>
  </si>
  <si>
    <t>Leased Parking</t>
  </si>
  <si>
    <t>4144</t>
  </si>
  <si>
    <t>Deposit Forfeit/Damage</t>
  </si>
  <si>
    <t>4145</t>
  </si>
  <si>
    <t>Lease Fee Income</t>
  </si>
  <si>
    <t>4146</t>
  </si>
  <si>
    <t>Termination Fee</t>
  </si>
  <si>
    <t>4150</t>
  </si>
  <si>
    <t>Recreation User Fees</t>
  </si>
  <si>
    <t>4151</t>
  </si>
  <si>
    <t>Cable TV Fees</t>
  </si>
  <si>
    <t>4152</t>
  </si>
  <si>
    <t>Internet Fees</t>
  </si>
  <si>
    <t>4160</t>
  </si>
  <si>
    <t>Guest Fees</t>
  </si>
  <si>
    <t>4170</t>
  </si>
  <si>
    <t>Maintenance Service Inc.</t>
  </si>
  <si>
    <t>4170-1</t>
  </si>
  <si>
    <t>Maintenance Service Inc</t>
  </si>
  <si>
    <t>4170-2</t>
  </si>
  <si>
    <t>Maintenance Service Income</t>
  </si>
  <si>
    <t>4170-3</t>
  </si>
  <si>
    <t>4170-4</t>
  </si>
  <si>
    <t>4175</t>
  </si>
  <si>
    <t>Maintenance Service Supplies</t>
  </si>
  <si>
    <t>4180</t>
  </si>
  <si>
    <t>Pet Income</t>
  </si>
  <si>
    <t>4190</t>
  </si>
  <si>
    <t>Roof Rental Income</t>
  </si>
  <si>
    <t>4200</t>
  </si>
  <si>
    <t>Transfer from Reserves to Operating</t>
  </si>
  <si>
    <t>4310</t>
  </si>
  <si>
    <t>Closing Income to Operating</t>
  </si>
  <si>
    <t>4320</t>
  </si>
  <si>
    <t>Closing Income to Insurance</t>
  </si>
  <si>
    <t>4330</t>
  </si>
  <si>
    <t>PAL/Transfer Fees</t>
  </si>
  <si>
    <t>4400</t>
  </si>
  <si>
    <t>Homeowner Sale Transfer Fees</t>
  </si>
  <si>
    <t>4410</t>
  </si>
  <si>
    <t>Funds From Developer</t>
  </si>
  <si>
    <t>4415</t>
  </si>
  <si>
    <t>Commercial CAM</t>
  </si>
  <si>
    <t>4500</t>
  </si>
  <si>
    <t>Activities Income</t>
  </si>
  <si>
    <t>4500-5</t>
  </si>
  <si>
    <t>Activities Expense</t>
  </si>
  <si>
    <t>4510</t>
  </si>
  <si>
    <t>Commercial Income</t>
  </si>
  <si>
    <t>4605</t>
  </si>
  <si>
    <t>All Interest Income</t>
  </si>
  <si>
    <t>4610</t>
  </si>
  <si>
    <t>Checking Account Interest</t>
  </si>
  <si>
    <t>4620</t>
  </si>
  <si>
    <t>Operating MM Interest</t>
  </si>
  <si>
    <t>4630</t>
  </si>
  <si>
    <t>Other Operating Interest</t>
  </si>
  <si>
    <t>4640</t>
  </si>
  <si>
    <t>Reserve Interest to Operating</t>
  </si>
  <si>
    <t>4695</t>
  </si>
  <si>
    <t>Other Interest</t>
  </si>
  <si>
    <t>4710</t>
  </si>
  <si>
    <t>Gain from Sale of Assets</t>
  </si>
  <si>
    <t>4990</t>
  </si>
  <si>
    <t>Sunshine Fund</t>
  </si>
  <si>
    <t>4995</t>
  </si>
  <si>
    <t>Miscellaneous Income</t>
  </si>
  <si>
    <t>4996</t>
  </si>
  <si>
    <t>4997</t>
  </si>
  <si>
    <t>Res 2 Assmt Inc</t>
  </si>
  <si>
    <t>4998</t>
  </si>
  <si>
    <t>Res 2 Disbursement</t>
  </si>
  <si>
    <t>4999</t>
  </si>
  <si>
    <t>Wage Reimb Income</t>
  </si>
  <si>
    <t>7000</t>
  </si>
  <si>
    <t>Unassigned PR activity</t>
  </si>
  <si>
    <t>7010</t>
  </si>
  <si>
    <t>All Office Salaries</t>
  </si>
  <si>
    <t>7011</t>
  </si>
  <si>
    <t>On Site Manager</t>
  </si>
  <si>
    <t>7012</t>
  </si>
  <si>
    <t>Assistant Manager</t>
  </si>
  <si>
    <t>7013</t>
  </si>
  <si>
    <t>Secretarial Staff</t>
  </si>
  <si>
    <t>7014</t>
  </si>
  <si>
    <t>Activity Director</t>
  </si>
  <si>
    <t>7020</t>
  </si>
  <si>
    <t>Maintenance Salaries</t>
  </si>
  <si>
    <t>7020-1</t>
  </si>
  <si>
    <t>Maintenance Assistant Salaries</t>
  </si>
  <si>
    <t>7020-5</t>
  </si>
  <si>
    <t>Maintenance Overtime</t>
  </si>
  <si>
    <t>7021</t>
  </si>
  <si>
    <t>Maintenance Supervisor</t>
  </si>
  <si>
    <t>7022</t>
  </si>
  <si>
    <t>Asst. Maint. Supervisor</t>
  </si>
  <si>
    <t>7023</t>
  </si>
  <si>
    <t>Maintenance Man</t>
  </si>
  <si>
    <t>7023-5</t>
  </si>
  <si>
    <t>Maintenance Man Reimbursement</t>
  </si>
  <si>
    <t>7024</t>
  </si>
  <si>
    <t>Janitorial Personnel</t>
  </si>
  <si>
    <t>7024-5</t>
  </si>
  <si>
    <t>Janitorial Overtime</t>
  </si>
  <si>
    <t>7027-5</t>
  </si>
  <si>
    <t>Janitor OT</t>
  </si>
  <si>
    <t>7030</t>
  </si>
  <si>
    <t>Maintenance Engineer</t>
  </si>
  <si>
    <t>7030-5</t>
  </si>
  <si>
    <t>Maint Eng. Overtime</t>
  </si>
  <si>
    <t>7032</t>
  </si>
  <si>
    <t>Doormen/Security Personnel</t>
  </si>
  <si>
    <t>7032-1</t>
  </si>
  <si>
    <t>Doorman #1</t>
  </si>
  <si>
    <t>7032-2</t>
  </si>
  <si>
    <t>Doorman #2</t>
  </si>
  <si>
    <t>7032-3</t>
  </si>
  <si>
    <t>Doorman #3</t>
  </si>
  <si>
    <t>7032-5</t>
  </si>
  <si>
    <t>Doorman Overtime</t>
  </si>
  <si>
    <t>7034</t>
  </si>
  <si>
    <t>Garage Personnel</t>
  </si>
  <si>
    <t>7035</t>
  </si>
  <si>
    <t>Grounds Personnel</t>
  </si>
  <si>
    <t>7040</t>
  </si>
  <si>
    <t>Other Site Personnel</t>
  </si>
  <si>
    <t>7045</t>
  </si>
  <si>
    <t>Recieving Room Salaries</t>
  </si>
  <si>
    <t>7050</t>
  </si>
  <si>
    <t>Concierge Salaries</t>
  </si>
  <si>
    <t>7065</t>
  </si>
  <si>
    <t>Payroll Process Fees</t>
  </si>
  <si>
    <t>7080</t>
  </si>
  <si>
    <t>Union Benefits</t>
  </si>
  <si>
    <t>7080-1</t>
  </si>
  <si>
    <t>Local One Benefits</t>
  </si>
  <si>
    <t>7080-25</t>
  </si>
  <si>
    <t>Local 25 Benefits</t>
  </si>
  <si>
    <t>7080-399</t>
  </si>
  <si>
    <t>Local 399 Benefits</t>
  </si>
  <si>
    <t>7080-5</t>
  </si>
  <si>
    <t>Reimburse Union Benefits</t>
  </si>
  <si>
    <t>7080-727</t>
  </si>
  <si>
    <t>Local 727 Benefits</t>
  </si>
  <si>
    <t>7081</t>
  </si>
  <si>
    <t>Payroll Taxes/Benefits</t>
  </si>
  <si>
    <t>7082</t>
  </si>
  <si>
    <t>FICA Tax Expense</t>
  </si>
  <si>
    <t>7082-5</t>
  </si>
  <si>
    <t>Reimburse FICA</t>
  </si>
  <si>
    <t>7083</t>
  </si>
  <si>
    <t>Federal Unemployment Tax</t>
  </si>
  <si>
    <t>7083-5</t>
  </si>
  <si>
    <t>Federal U/C Tax</t>
  </si>
  <si>
    <t>7084</t>
  </si>
  <si>
    <t>State Unemployment Tax</t>
  </si>
  <si>
    <t>7084-5</t>
  </si>
  <si>
    <t>State U/C Tax</t>
  </si>
  <si>
    <t>7085</t>
  </si>
  <si>
    <t>Workers Comp Insurance</t>
  </si>
  <si>
    <t>7085-5</t>
  </si>
  <si>
    <t>Workers Comp Insurance Refund</t>
  </si>
  <si>
    <t>7086</t>
  </si>
  <si>
    <t>Medical/Life Insurance</t>
  </si>
  <si>
    <t>7086-1</t>
  </si>
  <si>
    <t>Life Insurance</t>
  </si>
  <si>
    <t>7086-5</t>
  </si>
  <si>
    <t>Medical/Life Insurance Reimb</t>
  </si>
  <si>
    <t>7087</t>
  </si>
  <si>
    <t>IRA Deduction</t>
  </si>
  <si>
    <t>7088</t>
  </si>
  <si>
    <t>Misc. Payroll Benefit</t>
  </si>
  <si>
    <t>7089</t>
  </si>
  <si>
    <t>7090</t>
  </si>
  <si>
    <t>7091</t>
  </si>
  <si>
    <t>Head Tax</t>
  </si>
  <si>
    <t>7210</t>
  </si>
  <si>
    <t>Electricity</t>
  </si>
  <si>
    <t>7210-1</t>
  </si>
  <si>
    <t>7210-5</t>
  </si>
  <si>
    <t>Electricity Reimbursement</t>
  </si>
  <si>
    <t>7211</t>
  </si>
  <si>
    <t>Electric Street Lights</t>
  </si>
  <si>
    <t>7211-1</t>
  </si>
  <si>
    <t>7212</t>
  </si>
  <si>
    <t>Heater Room Payouts</t>
  </si>
  <si>
    <t>7220</t>
  </si>
  <si>
    <t>Water &amp; Sewer</t>
  </si>
  <si>
    <t>7220-5</t>
  </si>
  <si>
    <t>Water Reimbursement</t>
  </si>
  <si>
    <t>7221</t>
  </si>
  <si>
    <t>Water</t>
  </si>
  <si>
    <t>7221-5</t>
  </si>
  <si>
    <t>7222</t>
  </si>
  <si>
    <t>Sewer</t>
  </si>
  <si>
    <t>7230</t>
  </si>
  <si>
    <t>Gas</t>
  </si>
  <si>
    <t>7230-1</t>
  </si>
  <si>
    <t>Gas - Direct Purchases</t>
  </si>
  <si>
    <t>7230-2</t>
  </si>
  <si>
    <t>Gas - Commissions</t>
  </si>
  <si>
    <t>7230-5</t>
  </si>
  <si>
    <t>Gas Reimbursements</t>
  </si>
  <si>
    <t>7232</t>
  </si>
  <si>
    <t>Internet Access</t>
  </si>
  <si>
    <t>7233</t>
  </si>
  <si>
    <t>Cable TV Service</t>
  </si>
  <si>
    <t>7363</t>
  </si>
  <si>
    <t>Office Supplies</t>
  </si>
  <si>
    <t>7405</t>
  </si>
  <si>
    <t>All Building Services</t>
  </si>
  <si>
    <t>7410</t>
  </si>
  <si>
    <t>Scavenger Services</t>
  </si>
  <si>
    <t>7410-5</t>
  </si>
  <si>
    <t>Scavenger Service Rebate</t>
  </si>
  <si>
    <t>7411</t>
  </si>
  <si>
    <t>Recycling Services</t>
  </si>
  <si>
    <t>7412</t>
  </si>
  <si>
    <t>Compactor/Trash Chute</t>
  </si>
  <si>
    <t>7420</t>
  </si>
  <si>
    <t>Exterminating</t>
  </si>
  <si>
    <t>7420-1</t>
  </si>
  <si>
    <t>7420-5</t>
  </si>
  <si>
    <t>7430</t>
  </si>
  <si>
    <t>All Cleaning Expenses</t>
  </si>
  <si>
    <t>7431</t>
  </si>
  <si>
    <t>Cleaning Contract</t>
  </si>
  <si>
    <t>7432</t>
  </si>
  <si>
    <t>Window Washing</t>
  </si>
  <si>
    <t>7433</t>
  </si>
  <si>
    <t>Carpet Cleaning</t>
  </si>
  <si>
    <t>7433-5</t>
  </si>
  <si>
    <t>7434</t>
  </si>
  <si>
    <t>Garage Cleaning</t>
  </si>
  <si>
    <t>7435</t>
  </si>
  <si>
    <t>Floor Mat Services</t>
  </si>
  <si>
    <t>7436</t>
  </si>
  <si>
    <t>Lobby/Plant Expense</t>
  </si>
  <si>
    <t>7437</t>
  </si>
  <si>
    <t>Laundry Room Repairs</t>
  </si>
  <si>
    <t>7439</t>
  </si>
  <si>
    <t>Miscellaneous Cleaning</t>
  </si>
  <si>
    <t>7440</t>
  </si>
  <si>
    <t>Light Fixture Services</t>
  </si>
  <si>
    <t>7441</t>
  </si>
  <si>
    <t>Lights, Bulbs and Tubes</t>
  </si>
  <si>
    <t>7445</t>
  </si>
  <si>
    <t>Chimney Sweeping</t>
  </si>
  <si>
    <t>7450</t>
  </si>
  <si>
    <t>Fire Prevention</t>
  </si>
  <si>
    <t>7450-1</t>
  </si>
  <si>
    <t>7451</t>
  </si>
  <si>
    <t>Painting</t>
  </si>
  <si>
    <t>7460</t>
  </si>
  <si>
    <t>Elevator Services</t>
  </si>
  <si>
    <t>7461</t>
  </si>
  <si>
    <t>Elevator Maintenance Contract</t>
  </si>
  <si>
    <t>7462</t>
  </si>
  <si>
    <t>Elevator Repairs/Services</t>
  </si>
  <si>
    <t>7465</t>
  </si>
  <si>
    <t>Generator Services</t>
  </si>
  <si>
    <t>7470</t>
  </si>
  <si>
    <t>Security Services</t>
  </si>
  <si>
    <t>7470-5</t>
  </si>
  <si>
    <t>Security Svc Reimb</t>
  </si>
  <si>
    <t>7471</t>
  </si>
  <si>
    <t>Security Telephone</t>
  </si>
  <si>
    <t>7475</t>
  </si>
  <si>
    <t>All Uniform Expenses</t>
  </si>
  <si>
    <t>7476</t>
  </si>
  <si>
    <t>Uniform Purchases</t>
  </si>
  <si>
    <t>7480</t>
  </si>
  <si>
    <t>Maintenance Services</t>
  </si>
  <si>
    <t>7480-5</t>
  </si>
  <si>
    <t>Maintenance Service Reimb</t>
  </si>
  <si>
    <t>7481</t>
  </si>
  <si>
    <t>Water Softner Contract</t>
  </si>
  <si>
    <t>7482</t>
  </si>
  <si>
    <t>Water Softner Salt</t>
  </si>
  <si>
    <t>7483</t>
  </si>
  <si>
    <t>Water Softner Repairs</t>
  </si>
  <si>
    <t>7485</t>
  </si>
  <si>
    <t>Laundry Room Expense</t>
  </si>
  <si>
    <t>7490</t>
  </si>
  <si>
    <t>Appliance Contract</t>
  </si>
  <si>
    <t>7493</t>
  </si>
  <si>
    <t>Garage Mgmt Fees</t>
  </si>
  <si>
    <t>7495</t>
  </si>
  <si>
    <t>Other Building Services</t>
  </si>
  <si>
    <t>7499</t>
  </si>
  <si>
    <t>Depreciation Expense</t>
  </si>
  <si>
    <t>7600</t>
  </si>
  <si>
    <t>Building Repair Maint</t>
  </si>
  <si>
    <t>7605</t>
  </si>
  <si>
    <t>All Building Repairs</t>
  </si>
  <si>
    <t>7605-5</t>
  </si>
  <si>
    <t>7607</t>
  </si>
  <si>
    <t>Maintenance Supplies</t>
  </si>
  <si>
    <t>7608</t>
  </si>
  <si>
    <t>Equipment Repairs</t>
  </si>
  <si>
    <t>7609</t>
  </si>
  <si>
    <t>Commercial Expense</t>
  </si>
  <si>
    <t>7610</t>
  </si>
  <si>
    <t>Plumbing Repairs/Supplies</t>
  </si>
  <si>
    <t>7610-1</t>
  </si>
  <si>
    <t>Plumbing Reps/Supplies</t>
  </si>
  <si>
    <t>7610-5</t>
  </si>
  <si>
    <t>7611</t>
  </si>
  <si>
    <t>Pipe Rodding</t>
  </si>
  <si>
    <t>7611-2</t>
  </si>
  <si>
    <t>7612</t>
  </si>
  <si>
    <t>Emergency Pump Power Fixed</t>
  </si>
  <si>
    <t>7613</t>
  </si>
  <si>
    <t>Emergency Pump Power Variable</t>
  </si>
  <si>
    <t>7620</t>
  </si>
  <si>
    <t>Electric Repairs/Supplies</t>
  </si>
  <si>
    <t>7620-5</t>
  </si>
  <si>
    <t>7621</t>
  </si>
  <si>
    <t>7622</t>
  </si>
  <si>
    <t>Intercom System Services</t>
  </si>
  <si>
    <t>7623</t>
  </si>
  <si>
    <t>Antenna/Cable Services</t>
  </si>
  <si>
    <t>7624</t>
  </si>
  <si>
    <t>Internet Expense</t>
  </si>
  <si>
    <t>7630</t>
  </si>
  <si>
    <t>All HVAC Expenses</t>
  </si>
  <si>
    <t>7630-5</t>
  </si>
  <si>
    <t>HVAC Expense Reimbursement</t>
  </si>
  <si>
    <t>7631</t>
  </si>
  <si>
    <t>HVAC Maintenance Contract</t>
  </si>
  <si>
    <t>7632</t>
  </si>
  <si>
    <t>HVAC Repairs/Supplies</t>
  </si>
  <si>
    <t>7632-5</t>
  </si>
  <si>
    <t>7633</t>
  </si>
  <si>
    <t>Heating System Expenses</t>
  </si>
  <si>
    <t>7634</t>
  </si>
  <si>
    <t>Air Conditioning Expenses</t>
  </si>
  <si>
    <t>7635</t>
  </si>
  <si>
    <t>Ventilation System Expense</t>
  </si>
  <si>
    <t>7636</t>
  </si>
  <si>
    <t>Dryer Vent Cleaning</t>
  </si>
  <si>
    <t>7637</t>
  </si>
  <si>
    <t>Hot Water System Expense</t>
  </si>
  <si>
    <t>7638</t>
  </si>
  <si>
    <t>HVAC Expenses:Units</t>
  </si>
  <si>
    <t>7638-5</t>
  </si>
  <si>
    <t>7640</t>
  </si>
  <si>
    <t>Carpentry Repairs/Supplies</t>
  </si>
  <si>
    <t>7641</t>
  </si>
  <si>
    <t>Drywall Repairs/Supplies</t>
  </si>
  <si>
    <t>7642</t>
  </si>
  <si>
    <t>Doors, Locks &amp; Keys</t>
  </si>
  <si>
    <t>7642-5</t>
  </si>
  <si>
    <t>Key Income</t>
  </si>
  <si>
    <t>7643</t>
  </si>
  <si>
    <t>Caulking Repairs/Supply</t>
  </si>
  <si>
    <t>7644</t>
  </si>
  <si>
    <t>Window Repairs/Supply</t>
  </si>
  <si>
    <t>7644-5</t>
  </si>
  <si>
    <t>7645</t>
  </si>
  <si>
    <t>Garage Door Repairs</t>
  </si>
  <si>
    <t>7645-5</t>
  </si>
  <si>
    <t>7646</t>
  </si>
  <si>
    <t>Building Equipment Repairs</t>
  </si>
  <si>
    <t>7647</t>
  </si>
  <si>
    <t>Garage Maintentance/Repairs</t>
  </si>
  <si>
    <t>7648</t>
  </si>
  <si>
    <t>Fire System Maintenance</t>
  </si>
  <si>
    <t>7649</t>
  </si>
  <si>
    <t>Door Repairs</t>
  </si>
  <si>
    <t>7650</t>
  </si>
  <si>
    <t>All Painting &amp; Decorating</t>
  </si>
  <si>
    <t>7650-5</t>
  </si>
  <si>
    <t>7651</t>
  </si>
  <si>
    <t>Interior Painting &amp; Decorating</t>
  </si>
  <si>
    <t>7652</t>
  </si>
  <si>
    <t>Exterior Painting &amp; Decorating</t>
  </si>
  <si>
    <t>7653</t>
  </si>
  <si>
    <t>Furniture &amp; Fixtures</t>
  </si>
  <si>
    <t>7654</t>
  </si>
  <si>
    <t>Floor Coverings</t>
  </si>
  <si>
    <t>7655</t>
  </si>
  <si>
    <t>Tools and Equipment</t>
  </si>
  <si>
    <t>7656</t>
  </si>
  <si>
    <t>Resident Reimbimbursement Repairs</t>
  </si>
  <si>
    <t>7657</t>
  </si>
  <si>
    <t>House Committee</t>
  </si>
  <si>
    <t>7660</t>
  </si>
  <si>
    <t>Exterior Wall Repairs</t>
  </si>
  <si>
    <t>7661</t>
  </si>
  <si>
    <t>Masonry &amp; Tuckpointing</t>
  </si>
  <si>
    <t>7662</t>
  </si>
  <si>
    <t>Building Waterproofing</t>
  </si>
  <si>
    <t>7663</t>
  </si>
  <si>
    <t>Metal Maintenance</t>
  </si>
  <si>
    <t>7664</t>
  </si>
  <si>
    <t>Filter Replacement</t>
  </si>
  <si>
    <t>7664-5</t>
  </si>
  <si>
    <t>Filter Reimbursement</t>
  </si>
  <si>
    <t>7665</t>
  </si>
  <si>
    <t>Facade Inspection</t>
  </si>
  <si>
    <t>7670</t>
  </si>
  <si>
    <t>Roof Repairs &amp; Supplies</t>
  </si>
  <si>
    <t>7671</t>
  </si>
  <si>
    <t>Roof Repairs Other</t>
  </si>
  <si>
    <t>7680</t>
  </si>
  <si>
    <t>Gutters &amp; Downspouts</t>
  </si>
  <si>
    <t>7690</t>
  </si>
  <si>
    <t>Structural Repairs</t>
  </si>
  <si>
    <t>7692</t>
  </si>
  <si>
    <t>Hardware Supplies</t>
  </si>
  <si>
    <t>7693</t>
  </si>
  <si>
    <t>Cleaning Supplies</t>
  </si>
  <si>
    <t>7694</t>
  </si>
  <si>
    <t>Provision for Contingency</t>
  </si>
  <si>
    <t>7695</t>
  </si>
  <si>
    <t>Other Building Repairs</t>
  </si>
  <si>
    <t>7695-5</t>
  </si>
  <si>
    <t>Reimb Misc Repairs</t>
  </si>
  <si>
    <t>7701</t>
  </si>
  <si>
    <t>Water Fixed</t>
  </si>
  <si>
    <t>7702</t>
  </si>
  <si>
    <t>Water Variable</t>
  </si>
  <si>
    <t>7703</t>
  </si>
  <si>
    <t>Monitor Fire Alarm Fixed</t>
  </si>
  <si>
    <t>7704</t>
  </si>
  <si>
    <t>Monitor Fire Alarm Variable</t>
  </si>
  <si>
    <t>7705</t>
  </si>
  <si>
    <t>7706</t>
  </si>
  <si>
    <t>Emergency Pump Variable</t>
  </si>
  <si>
    <t>7707</t>
  </si>
  <si>
    <t>HVAC Fixed</t>
  </si>
  <si>
    <t>7708</t>
  </si>
  <si>
    <t>HVAC Variable</t>
  </si>
  <si>
    <t>7709</t>
  </si>
  <si>
    <t>Security</t>
  </si>
  <si>
    <t>7710</t>
  </si>
  <si>
    <t>Real Estate Taxes</t>
  </si>
  <si>
    <t>7711</t>
  </si>
  <si>
    <t>Loading Dock &amp; Exterior</t>
  </si>
  <si>
    <t>7712</t>
  </si>
  <si>
    <t>Insurance</t>
  </si>
  <si>
    <t>7713</t>
  </si>
  <si>
    <t>Miscellaneous Repair</t>
  </si>
  <si>
    <t>7714</t>
  </si>
  <si>
    <t>Shared Costs-Out of Scope</t>
  </si>
  <si>
    <t>7715</t>
  </si>
  <si>
    <t>7716</t>
  </si>
  <si>
    <t>7794</t>
  </si>
  <si>
    <t>Base Building Contingency</t>
  </si>
  <si>
    <t>7805</t>
  </si>
  <si>
    <t>Contract Landscape Services</t>
  </si>
  <si>
    <t>7805-5</t>
  </si>
  <si>
    <t>Landscape Reimbursement</t>
  </si>
  <si>
    <t>7810</t>
  </si>
  <si>
    <t>Landscape - Additional</t>
  </si>
  <si>
    <t>7810-5</t>
  </si>
  <si>
    <t>Plant Removal Reimb</t>
  </si>
  <si>
    <t>7811</t>
  </si>
  <si>
    <t>Trees &amp; Bushes</t>
  </si>
  <si>
    <t>7811-5</t>
  </si>
  <si>
    <t>7812</t>
  </si>
  <si>
    <t>Flowers</t>
  </si>
  <si>
    <t>7813</t>
  </si>
  <si>
    <t>Rocks &amp; Boulders</t>
  </si>
  <si>
    <t>7814</t>
  </si>
  <si>
    <t>Core Aeration</t>
  </si>
  <si>
    <t>7815</t>
  </si>
  <si>
    <t>Sodding &amp; Seeding</t>
  </si>
  <si>
    <t>7816</t>
  </si>
  <si>
    <t>Landscape Equipment &amp; Supply</t>
  </si>
  <si>
    <t>7817</t>
  </si>
  <si>
    <t>Landscape Professional Services</t>
  </si>
  <si>
    <t>7818</t>
  </si>
  <si>
    <t>Chemical Application</t>
  </si>
  <si>
    <t>7820</t>
  </si>
  <si>
    <t>Landscape Watering</t>
  </si>
  <si>
    <t>7821</t>
  </si>
  <si>
    <t>Ground Sprinkler Service/Repair</t>
  </si>
  <si>
    <t>7822</t>
  </si>
  <si>
    <t>Resident Water Use</t>
  </si>
  <si>
    <t>7823</t>
  </si>
  <si>
    <t>Watering Services</t>
  </si>
  <si>
    <t>7824</t>
  </si>
  <si>
    <t>Water Utility,Landscape</t>
  </si>
  <si>
    <t>7830</t>
  </si>
  <si>
    <t>Lakes,Ponds&amp;Fountains</t>
  </si>
  <si>
    <t>7831</t>
  </si>
  <si>
    <t>Lake, Pond,Fountain Chemical/Supply</t>
  </si>
  <si>
    <t>7832</t>
  </si>
  <si>
    <t>Lake, Pond, Fountain Aerators</t>
  </si>
  <si>
    <t>7833</t>
  </si>
  <si>
    <t>Lake, Pond Geese Control</t>
  </si>
  <si>
    <t>7840</t>
  </si>
  <si>
    <t>Snow &amp; Ice Removal</t>
  </si>
  <si>
    <t>7840-5</t>
  </si>
  <si>
    <t>7841</t>
  </si>
  <si>
    <t>Normal Snow Removal</t>
  </si>
  <si>
    <t>7842</t>
  </si>
  <si>
    <t>Snow Removal Equipment/Supplies</t>
  </si>
  <si>
    <t>7843</t>
  </si>
  <si>
    <t>Ice Control</t>
  </si>
  <si>
    <t>7844</t>
  </si>
  <si>
    <t>Extra Snow Removal</t>
  </si>
  <si>
    <t>7844-5</t>
  </si>
  <si>
    <t>7850</t>
  </si>
  <si>
    <t>Fence Repairs &amp; Replacement</t>
  </si>
  <si>
    <t>7851</t>
  </si>
  <si>
    <t>Retaining Wall Repair</t>
  </si>
  <si>
    <t>7860</t>
  </si>
  <si>
    <t>General Signage/Signals</t>
  </si>
  <si>
    <t>7861</t>
  </si>
  <si>
    <t>Parking Stickers</t>
  </si>
  <si>
    <t>7865</t>
  </si>
  <si>
    <t>Exterior Lighting</t>
  </si>
  <si>
    <t>7870</t>
  </si>
  <si>
    <t>Streets &amp; Sidewalks</t>
  </si>
  <si>
    <t>7871</t>
  </si>
  <si>
    <t>Streets, Parking, Driveways</t>
  </si>
  <si>
    <t>7872</t>
  </si>
  <si>
    <t>Speed Bumps</t>
  </si>
  <si>
    <t>7873</t>
  </si>
  <si>
    <t>Street Cleaning</t>
  </si>
  <si>
    <t>7874</t>
  </si>
  <si>
    <t>Car Towing</t>
  </si>
  <si>
    <t>7877</t>
  </si>
  <si>
    <t>Sidewalks/Concrete</t>
  </si>
  <si>
    <t>7879</t>
  </si>
  <si>
    <t>Other Street, Parking, Driveway</t>
  </si>
  <si>
    <t>7880</t>
  </si>
  <si>
    <t>Concrete Repair/Replacement</t>
  </si>
  <si>
    <t>7890</t>
  </si>
  <si>
    <t>Vehicle Expenses</t>
  </si>
  <si>
    <t>7895</t>
  </si>
  <si>
    <t>Other Common Area Exp</t>
  </si>
  <si>
    <t>7895-5</t>
  </si>
  <si>
    <t>7905</t>
  </si>
  <si>
    <t>Conservancy Contract Services</t>
  </si>
  <si>
    <t>7910</t>
  </si>
  <si>
    <t>Conservancy Additional</t>
  </si>
  <si>
    <t>7930</t>
  </si>
  <si>
    <t>Conservancy Pondnds/Lakes</t>
  </si>
  <si>
    <t>8005</t>
  </si>
  <si>
    <t>All Pool Expenses</t>
  </si>
  <si>
    <t>8010</t>
  </si>
  <si>
    <t>Pool Open, Close, Maintain</t>
  </si>
  <si>
    <t>8012</t>
  </si>
  <si>
    <t>Pool Contract</t>
  </si>
  <si>
    <t>8015</t>
  </si>
  <si>
    <t>8018</t>
  </si>
  <si>
    <t>Pool Management</t>
  </si>
  <si>
    <t>8020</t>
  </si>
  <si>
    <t>Pool Chemicals</t>
  </si>
  <si>
    <t>8030</t>
  </si>
  <si>
    <t>Pool P/R, Taxes, Benefits</t>
  </si>
  <si>
    <t>8031</t>
  </si>
  <si>
    <t>Pool Payroll Salaries</t>
  </si>
  <si>
    <t>8032</t>
  </si>
  <si>
    <t>Pool Payroll FICA Tax</t>
  </si>
  <si>
    <t>8033</t>
  </si>
  <si>
    <t>Pool Payroll FUTA Tax</t>
  </si>
  <si>
    <t>8034</t>
  </si>
  <si>
    <t>Pool Paryoll SUTA Tax</t>
  </si>
  <si>
    <t>8035</t>
  </si>
  <si>
    <t>Pool Workers Compensation</t>
  </si>
  <si>
    <t>8036</t>
  </si>
  <si>
    <t>Medical &amp; Life Insurance</t>
  </si>
  <si>
    <t>8036-5</t>
  </si>
  <si>
    <t>Med/Life Insurance Reimbursement</t>
  </si>
  <si>
    <t>8038</t>
  </si>
  <si>
    <t>Misc Pool Payroll Benefits</t>
  </si>
  <si>
    <t>8040</t>
  </si>
  <si>
    <t>Pool Utilities</t>
  </si>
  <si>
    <t>8041</t>
  </si>
  <si>
    <t>Pool Phone &amp; Pagers</t>
  </si>
  <si>
    <t>8050</t>
  </si>
  <si>
    <t>Pool Repairs &amp; Supplies</t>
  </si>
  <si>
    <t>8060</t>
  </si>
  <si>
    <t>Pool House Cleaning</t>
  </si>
  <si>
    <t>8070</t>
  </si>
  <si>
    <t>Pool Decorating &amp; Furniture</t>
  </si>
  <si>
    <t>8080</t>
  </si>
  <si>
    <t>Spas &amp; Saunas</t>
  </si>
  <si>
    <t>8095</t>
  </si>
  <si>
    <t>Other Pool Expenses</t>
  </si>
  <si>
    <t>8105</t>
  </si>
  <si>
    <t>All Clubhouse/Recreation Expense</t>
  </si>
  <si>
    <t>8105-5</t>
  </si>
  <si>
    <t>Clubhouse/Meeting Room Income</t>
  </si>
  <si>
    <t>8110</t>
  </si>
  <si>
    <t>Clubhouse/Recreation Cleaning</t>
  </si>
  <si>
    <t>8111</t>
  </si>
  <si>
    <t>Clubhouse/Recreation Repair/Mainten</t>
  </si>
  <si>
    <t>8112</t>
  </si>
  <si>
    <t>Clubhouse/Recreation Utilities</t>
  </si>
  <si>
    <t>8113</t>
  </si>
  <si>
    <t>Clubhouse/Recreation Phone/Pager</t>
  </si>
  <si>
    <t>8114</t>
  </si>
  <si>
    <t>Clubhouse/Recreation Supplies</t>
  </si>
  <si>
    <t>8115</t>
  </si>
  <si>
    <t>Clubhse/Recreation Decor/Furniture</t>
  </si>
  <si>
    <t>8116</t>
  </si>
  <si>
    <t>Fitness Equipment</t>
  </si>
  <si>
    <t>8117</t>
  </si>
  <si>
    <t>Grill &amp; Restaurant</t>
  </si>
  <si>
    <t>8120</t>
  </si>
  <si>
    <t>Clubhouse/Recreation Payroll Tax,Be</t>
  </si>
  <si>
    <t>8121</t>
  </si>
  <si>
    <t>Clubhouse/Recreation Payroll Salary</t>
  </si>
  <si>
    <t>8122</t>
  </si>
  <si>
    <t>Clubhouse/Recreation FICA</t>
  </si>
  <si>
    <t>8123</t>
  </si>
  <si>
    <t>Clubhouse/Recreation FUTA</t>
  </si>
  <si>
    <t>8124</t>
  </si>
  <si>
    <t>Clubhouse/Recreation SUTA</t>
  </si>
  <si>
    <t>8125</t>
  </si>
  <si>
    <t>Workwrs Compensation</t>
  </si>
  <si>
    <t>8126</t>
  </si>
  <si>
    <t>8126-5</t>
  </si>
  <si>
    <t>Med/Life Insurance Reimb</t>
  </si>
  <si>
    <t>8128</t>
  </si>
  <si>
    <t>Misc Payroll Benefits</t>
  </si>
  <si>
    <t>8129</t>
  </si>
  <si>
    <t>Other Clubhse/Rec Exp.</t>
  </si>
  <si>
    <t>8130</t>
  </si>
  <si>
    <t>Tennis &amp; Other Court Exp</t>
  </si>
  <si>
    <t>8140</t>
  </si>
  <si>
    <t>Gazebo &amp; Walking Paths</t>
  </si>
  <si>
    <t>8150</t>
  </si>
  <si>
    <t>Barbecue &amp; Picnic Areas</t>
  </si>
  <si>
    <t>8160</t>
  </si>
  <si>
    <t>Playground Equipment</t>
  </si>
  <si>
    <t>8170</t>
  </si>
  <si>
    <t>All Gatehouse Expenses</t>
  </si>
  <si>
    <t>8171</t>
  </si>
  <si>
    <t>Gatehouse Main/Reprs</t>
  </si>
  <si>
    <t>8172</t>
  </si>
  <si>
    <t>Gatehouse Utilities</t>
  </si>
  <si>
    <t>8173</t>
  </si>
  <si>
    <t>Gatehouse Guard Service</t>
  </si>
  <si>
    <t>8180</t>
  </si>
  <si>
    <t>Beach Maintenance</t>
  </si>
  <si>
    <t>8190</t>
  </si>
  <si>
    <t>Community Facility User Fees</t>
  </si>
  <si>
    <t>8190-1</t>
  </si>
  <si>
    <t>Comm Facility User Fee</t>
  </si>
  <si>
    <t>8190-2</t>
  </si>
  <si>
    <t>8190-5</t>
  </si>
  <si>
    <t>8191</t>
  </si>
  <si>
    <t>Comm Parking Fees</t>
  </si>
  <si>
    <t>8191-1</t>
  </si>
  <si>
    <t>Comm Faclty User FeeComm Faclty User Fee</t>
  </si>
  <si>
    <t>8191-5</t>
  </si>
  <si>
    <t>Comm Parking Reimb</t>
  </si>
  <si>
    <t>8192</t>
  </si>
  <si>
    <t>8192-1</t>
  </si>
  <si>
    <t>Comm Faclty User Fee</t>
  </si>
  <si>
    <t>8192-5</t>
  </si>
  <si>
    <t>Community Facility User Fee</t>
  </si>
  <si>
    <t>8195</t>
  </si>
  <si>
    <t>Other Community Facility Expense</t>
  </si>
  <si>
    <t>8210</t>
  </si>
  <si>
    <t>Garage Income</t>
  </si>
  <si>
    <t>8211</t>
  </si>
  <si>
    <t>Garage Income-Outside</t>
  </si>
  <si>
    <t>8215</t>
  </si>
  <si>
    <t>Guest Parking-Garage</t>
  </si>
  <si>
    <t>8216</t>
  </si>
  <si>
    <t>Car Wash Income</t>
  </si>
  <si>
    <t>8217</t>
  </si>
  <si>
    <t>Parking Service Fee</t>
  </si>
  <si>
    <t>8220</t>
  </si>
  <si>
    <t>Garage Late Fees</t>
  </si>
  <si>
    <t>8221</t>
  </si>
  <si>
    <t>Garage NSF Fees</t>
  </si>
  <si>
    <t>8265</t>
  </si>
  <si>
    <t>Sidewalk Replacement</t>
  </si>
  <si>
    <t>8310</t>
  </si>
  <si>
    <t>Marina Income</t>
  </si>
  <si>
    <t>8315</t>
  </si>
  <si>
    <t>Marina Fund Interest</t>
  </si>
  <si>
    <t>8345</t>
  </si>
  <si>
    <t>Dock Installation/Removal</t>
  </si>
  <si>
    <t>8350</t>
  </si>
  <si>
    <t>Dock Repairs &amp; Maintenance</t>
  </si>
  <si>
    <t>8360</t>
  </si>
  <si>
    <t>8370</t>
  </si>
  <si>
    <t>Reserve: Dock Replacment</t>
  </si>
  <si>
    <t>8380</t>
  </si>
  <si>
    <t>Reserve: Beach Replacement</t>
  </si>
  <si>
    <t>8401</t>
  </si>
  <si>
    <t>Garage Payroll</t>
  </si>
  <si>
    <t>8401-5</t>
  </si>
  <si>
    <t>Garage Overtime</t>
  </si>
  <si>
    <t>8412</t>
  </si>
  <si>
    <t>Garage Payroll Expense</t>
  </si>
  <si>
    <t>8413</t>
  </si>
  <si>
    <t>Garage Union Benefits</t>
  </si>
  <si>
    <t>8420</t>
  </si>
  <si>
    <t>Garage Uniform Expense</t>
  </si>
  <si>
    <t>8430</t>
  </si>
  <si>
    <t>Garage Cleaning Supplies</t>
  </si>
  <si>
    <t>8440</t>
  </si>
  <si>
    <t>Garage Repairs and Maintenance</t>
  </si>
  <si>
    <t>8450</t>
  </si>
  <si>
    <t>Garage Claims</t>
  </si>
  <si>
    <t>8460</t>
  </si>
  <si>
    <t>Garage County Tax</t>
  </si>
  <si>
    <t>8500</t>
  </si>
  <si>
    <t>Office Rent</t>
  </si>
  <si>
    <t>8501</t>
  </si>
  <si>
    <t>Charges From LMS</t>
  </si>
  <si>
    <t>8505</t>
  </si>
  <si>
    <t>Management Contract</t>
  </si>
  <si>
    <t>8505-5</t>
  </si>
  <si>
    <t>8510</t>
  </si>
  <si>
    <t>All Administrative Expense</t>
  </si>
  <si>
    <t>8515</t>
  </si>
  <si>
    <t>Advertising</t>
  </si>
  <si>
    <t>8520</t>
  </si>
  <si>
    <t>Legal Services (Residents)</t>
  </si>
  <si>
    <t>8520-1</t>
  </si>
  <si>
    <t>8520-5</t>
  </si>
  <si>
    <t>Legal Services Reimb (Resident)</t>
  </si>
  <si>
    <t>8521</t>
  </si>
  <si>
    <t>Legal Services (Assn)</t>
  </si>
  <si>
    <t>8521-5</t>
  </si>
  <si>
    <t>8522</t>
  </si>
  <si>
    <t>Legal Service Special</t>
  </si>
  <si>
    <t>8530</t>
  </si>
  <si>
    <t>Audit &amp; Financial Services</t>
  </si>
  <si>
    <t>8530-5</t>
  </si>
  <si>
    <t>8540</t>
  </si>
  <si>
    <t>Professional Services</t>
  </si>
  <si>
    <t>8540-5</t>
  </si>
  <si>
    <t>Professional Services Reimb</t>
  </si>
  <si>
    <t>8543</t>
  </si>
  <si>
    <t>Inspection Fees</t>
  </si>
  <si>
    <t>8543-5</t>
  </si>
  <si>
    <t>Inspection Fee Reimbursement</t>
  </si>
  <si>
    <t>8545</t>
  </si>
  <si>
    <t>Secretary/Minutes</t>
  </si>
  <si>
    <t>8547</t>
  </si>
  <si>
    <t>8550</t>
  </si>
  <si>
    <t>General Office Expenses</t>
  </si>
  <si>
    <t>8550-5</t>
  </si>
  <si>
    <t>General Office Expense Reimb</t>
  </si>
  <si>
    <t>8551</t>
  </si>
  <si>
    <t>Photocopy/Reproduction</t>
  </si>
  <si>
    <t>8551-5</t>
  </si>
  <si>
    <t>8552</t>
  </si>
  <si>
    <t>Postage Expenses</t>
  </si>
  <si>
    <t>8552-5</t>
  </si>
  <si>
    <t>8553</t>
  </si>
  <si>
    <t>Coupon Books/Lockbox Fee</t>
  </si>
  <si>
    <t>8553-5</t>
  </si>
  <si>
    <t>Coupon Bks/Lockbox Fee</t>
  </si>
  <si>
    <t>8554</t>
  </si>
  <si>
    <t>Bank Charges</t>
  </si>
  <si>
    <t>8555</t>
  </si>
  <si>
    <t>Stationery &amp; Site Office Expense</t>
  </si>
  <si>
    <t>8556</t>
  </si>
  <si>
    <t>Dues, Fees, &amp; Licenses</t>
  </si>
  <si>
    <t>8557</t>
  </si>
  <si>
    <t>Office Equipment Expense</t>
  </si>
  <si>
    <t>8558</t>
  </si>
  <si>
    <t>8559</t>
  </si>
  <si>
    <t>Leined Unit</t>
  </si>
  <si>
    <t>8560</t>
  </si>
  <si>
    <t>Telephone/Pager Expense</t>
  </si>
  <si>
    <t>8560-5</t>
  </si>
  <si>
    <t>Phone &amp; Pager Reimb</t>
  </si>
  <si>
    <t>8561</t>
  </si>
  <si>
    <t>Community Facility Telephone/Interc</t>
  </si>
  <si>
    <t>8562</t>
  </si>
  <si>
    <t>8565</t>
  </si>
  <si>
    <t>Internet/Website Expense</t>
  </si>
  <si>
    <t>8568</t>
  </si>
  <si>
    <t>Parking Expense</t>
  </si>
  <si>
    <t>8570</t>
  </si>
  <si>
    <t>Community Newsletter</t>
  </si>
  <si>
    <t>8570-5</t>
  </si>
  <si>
    <t>Newletter/Ad Income</t>
  </si>
  <si>
    <t>8575</t>
  </si>
  <si>
    <t>Promotions/Social Activity</t>
  </si>
  <si>
    <t>8575-5</t>
  </si>
  <si>
    <t>Promo/Social Act Reimb</t>
  </si>
  <si>
    <t>8576</t>
  </si>
  <si>
    <t>Meeting Expenses</t>
  </si>
  <si>
    <t>8576-5</t>
  </si>
  <si>
    <t>8579</t>
  </si>
  <si>
    <t>Security Interest Paid on any Deposit</t>
  </si>
  <si>
    <t>8580</t>
  </si>
  <si>
    <t>Income Taxes</t>
  </si>
  <si>
    <t>8580-1</t>
  </si>
  <si>
    <t>Fed Income Taxes</t>
  </si>
  <si>
    <t>8580-5</t>
  </si>
  <si>
    <t>Income Tax Refunds</t>
  </si>
  <si>
    <t>8581</t>
  </si>
  <si>
    <t>8581-1</t>
  </si>
  <si>
    <t>8581-2</t>
  </si>
  <si>
    <t>8581-3</t>
  </si>
  <si>
    <t>8581-5</t>
  </si>
  <si>
    <t>Real Estate Tax Reimbursement</t>
  </si>
  <si>
    <t>8582</t>
  </si>
  <si>
    <t>Other Taxes</t>
  </si>
  <si>
    <t>8584</t>
  </si>
  <si>
    <t>8585</t>
  </si>
  <si>
    <t>Principal Pd:Debt/Loans</t>
  </si>
  <si>
    <t>8585-1</t>
  </si>
  <si>
    <t>8585-2</t>
  </si>
  <si>
    <t>8586</t>
  </si>
  <si>
    <t>Reclass Principal to 2810</t>
  </si>
  <si>
    <t>8586-1</t>
  </si>
  <si>
    <t>8586-2</t>
  </si>
  <si>
    <t>8590</t>
  </si>
  <si>
    <t>Interest Pd:Debt,Loans</t>
  </si>
  <si>
    <t>8590-1</t>
  </si>
  <si>
    <t>8590-2</t>
  </si>
  <si>
    <t>8592</t>
  </si>
  <si>
    <t>Bad Debt Write-Offs</t>
  </si>
  <si>
    <t>8592-1</t>
  </si>
  <si>
    <t>8592-5</t>
  </si>
  <si>
    <t>8594</t>
  </si>
  <si>
    <t>8595</t>
  </si>
  <si>
    <t>Other Administrative Expense</t>
  </si>
  <si>
    <t>8595-1</t>
  </si>
  <si>
    <t>8595-5</t>
  </si>
  <si>
    <t>8601</t>
  </si>
  <si>
    <t>Provision for NOI Shortfall</t>
  </si>
  <si>
    <t>8602</t>
  </si>
  <si>
    <t>Provision for Loan Repayment</t>
  </si>
  <si>
    <t>8603</t>
  </si>
  <si>
    <t>Provision for Operating Cash</t>
  </si>
  <si>
    <t>8604</t>
  </si>
  <si>
    <t>Provision for Delinquency</t>
  </si>
  <si>
    <t>8605</t>
  </si>
  <si>
    <t>Provision for Other/AP</t>
  </si>
  <si>
    <t>8710</t>
  </si>
  <si>
    <t>All Association Insurance</t>
  </si>
  <si>
    <t>8710-5</t>
  </si>
  <si>
    <t>Insurance Reimbursement</t>
  </si>
  <si>
    <t>8720</t>
  </si>
  <si>
    <t>Liability Insurance</t>
  </si>
  <si>
    <t>8725</t>
  </si>
  <si>
    <t>Workers Comp Ins</t>
  </si>
  <si>
    <t>8730</t>
  </si>
  <si>
    <t>Property Casualty Ins.</t>
  </si>
  <si>
    <t>8735</t>
  </si>
  <si>
    <t>Vehicle Insurance</t>
  </si>
  <si>
    <t>8740</t>
  </si>
  <si>
    <t>Insurance Claim Expenses</t>
  </si>
  <si>
    <t>8740-5</t>
  </si>
  <si>
    <t>Insurance Claim Income</t>
  </si>
  <si>
    <t>8801</t>
  </si>
  <si>
    <t>Budgeted Trsf to Res</t>
  </si>
  <si>
    <t>8802</t>
  </si>
  <si>
    <t>8803</t>
  </si>
  <si>
    <t>8804</t>
  </si>
  <si>
    <t>Budgeted Transfer to Reserves - Capital</t>
  </si>
  <si>
    <t>8804-1</t>
  </si>
  <si>
    <t>Bdgt Trsf Res-General Capital Expense</t>
  </si>
  <si>
    <t>8804-10</t>
  </si>
  <si>
    <t>Bdgt Trsf Res-Fence</t>
  </si>
  <si>
    <t>8804-11</t>
  </si>
  <si>
    <t>Bdgt Trsf Res-Landscape</t>
  </si>
  <si>
    <t>8804-12</t>
  </si>
  <si>
    <t>Bdgt Trsf Res-Lakes/Pond</t>
  </si>
  <si>
    <t>8804-2</t>
  </si>
  <si>
    <t>Bdgt Trsf Res-Recreational Expense</t>
  </si>
  <si>
    <t>8804-3</t>
  </si>
  <si>
    <t>Bdgt Trsf Res-Building Expense</t>
  </si>
  <si>
    <t>8804-4</t>
  </si>
  <si>
    <t>Bdgt Trsf Res-Roof</t>
  </si>
  <si>
    <t>8804-5</t>
  </si>
  <si>
    <t>Bdgt Trsf Res-Exterior Wall</t>
  </si>
  <si>
    <t>8804-6</t>
  </si>
  <si>
    <t>Bdgt Trsf Res-Balcony</t>
  </si>
  <si>
    <t>8804-7</t>
  </si>
  <si>
    <t>Bdgt Trsf Res-Interior/Remodeling</t>
  </si>
  <si>
    <t>8804-8</t>
  </si>
  <si>
    <t>Bdgt Trsf Res-Grounds</t>
  </si>
  <si>
    <t>8804-9</t>
  </si>
  <si>
    <t>Bdgt Trsf Res-Roads/Parking</t>
  </si>
  <si>
    <t>8805</t>
  </si>
  <si>
    <t>Budgeted Transfer to Reserve</t>
  </si>
  <si>
    <t>8805-1</t>
  </si>
  <si>
    <t>8805-2</t>
  </si>
  <si>
    <t>8805-3</t>
  </si>
  <si>
    <t>8805-4</t>
  </si>
  <si>
    <t>8805-5</t>
  </si>
  <si>
    <t>8806</t>
  </si>
  <si>
    <t>Interest Transfer to Reserve</t>
  </si>
  <si>
    <t>8807</t>
  </si>
  <si>
    <t>Loan Payment</t>
  </si>
  <si>
    <t>8810</t>
  </si>
  <si>
    <t>General Capital Reserve</t>
  </si>
  <si>
    <t>8815</t>
  </si>
  <si>
    <t>Recreational Use Reserve</t>
  </si>
  <si>
    <t>8820</t>
  </si>
  <si>
    <t>Building Capital Reserve</t>
  </si>
  <si>
    <t>8821</t>
  </si>
  <si>
    <t>Roof Capital Reserve</t>
  </si>
  <si>
    <t>8822</t>
  </si>
  <si>
    <t>Ext Wall or Painting Reserve</t>
  </si>
  <si>
    <t>8823</t>
  </si>
  <si>
    <t>Balcony Capital Reserve</t>
  </si>
  <si>
    <t>8824</t>
  </si>
  <si>
    <t>Interior Remodeling Reserve</t>
  </si>
  <si>
    <t>8830</t>
  </si>
  <si>
    <t>Grounds Capital Reserve</t>
  </si>
  <si>
    <t>8831</t>
  </si>
  <si>
    <t>Road &amp; Parking Cap Reserve</t>
  </si>
  <si>
    <t>8832</t>
  </si>
  <si>
    <t>Fence Capital Reserve</t>
  </si>
  <si>
    <t>8833</t>
  </si>
  <si>
    <t>Landscape Capital Reserve</t>
  </si>
  <si>
    <t>8834</t>
  </si>
  <si>
    <t>Lakes/Ponds Cap Reserve</t>
  </si>
  <si>
    <t>8840</t>
  </si>
  <si>
    <t>Unbudgeted Transfer to Reserve</t>
  </si>
  <si>
    <t>8841</t>
  </si>
  <si>
    <t>8842</t>
  </si>
  <si>
    <t>8843</t>
  </si>
  <si>
    <t>8844</t>
  </si>
  <si>
    <t>Unbudgeted Tranfer to Reserve</t>
  </si>
  <si>
    <t>8845</t>
  </si>
  <si>
    <t>UB General Capital Res</t>
  </si>
  <si>
    <t>8850</t>
  </si>
  <si>
    <t>UB Recreational Res</t>
  </si>
  <si>
    <t>8872</t>
  </si>
  <si>
    <t>Townhome Only AST</t>
  </si>
  <si>
    <t>8873</t>
  </si>
  <si>
    <t>Building Repairs TH</t>
  </si>
  <si>
    <t>8874</t>
  </si>
  <si>
    <t>Insurance Townhomes</t>
  </si>
  <si>
    <t>8874-5</t>
  </si>
  <si>
    <t>Insurance TH Reimb</t>
  </si>
  <si>
    <t>8875</t>
  </si>
  <si>
    <t>Reserve Transfers TH</t>
  </si>
  <si>
    <t>8876</t>
  </si>
  <si>
    <t>Contingency Provision TH</t>
  </si>
  <si>
    <t>8877</t>
  </si>
  <si>
    <t>Income Taxes TH</t>
  </si>
  <si>
    <t>8878</t>
  </si>
  <si>
    <t>8879</t>
  </si>
  <si>
    <t>Painting TH</t>
  </si>
  <si>
    <t>8880</t>
  </si>
  <si>
    <t>Maintenance TH</t>
  </si>
  <si>
    <t>8881</t>
  </si>
  <si>
    <t>Roofs TH</t>
  </si>
  <si>
    <t>8882</t>
  </si>
  <si>
    <t>Gutters TH</t>
  </si>
  <si>
    <t>8883</t>
  </si>
  <si>
    <t>Structural TH</t>
  </si>
  <si>
    <t>8910</t>
  </si>
  <si>
    <t>Special Assessment Inc</t>
  </si>
  <si>
    <t>8910-1</t>
  </si>
  <si>
    <t>Special Assessment Income</t>
  </si>
  <si>
    <t>8910-5</t>
  </si>
  <si>
    <t>Special Assessment Credit</t>
  </si>
  <si>
    <t>8911</t>
  </si>
  <si>
    <t>S/A Income, Sep Fund</t>
  </si>
  <si>
    <t>8912</t>
  </si>
  <si>
    <t>S/A Developer Deficits</t>
  </si>
  <si>
    <t>8913</t>
  </si>
  <si>
    <t>S/A Developer Deficts</t>
  </si>
  <si>
    <t>8915</t>
  </si>
  <si>
    <t>Special Assmt-OLD</t>
  </si>
  <si>
    <t>8920</t>
  </si>
  <si>
    <t>S/A Funds Trsf to Res</t>
  </si>
  <si>
    <t>8920-1</t>
  </si>
  <si>
    <t>S/A Funds Tr to Res</t>
  </si>
  <si>
    <t>8921</t>
  </si>
  <si>
    <t>S/A Funds Pd to Vendors</t>
  </si>
  <si>
    <t>8922</t>
  </si>
  <si>
    <t>Special Assessment Expense</t>
  </si>
  <si>
    <t>8922-5</t>
  </si>
  <si>
    <t>Reclass Principal to 2805</t>
  </si>
  <si>
    <t>8923</t>
  </si>
  <si>
    <t>S/A Expense:</t>
  </si>
  <si>
    <t>8924</t>
  </si>
  <si>
    <t>S/A Expense:___________</t>
  </si>
  <si>
    <t>8925</t>
  </si>
  <si>
    <t>8950</t>
  </si>
  <si>
    <t>Prior Period Activities</t>
  </si>
  <si>
    <t>8955</t>
  </si>
  <si>
    <t>Prior Year Balance Adjustment</t>
  </si>
  <si>
    <t>8960</t>
  </si>
  <si>
    <t>Extraordinary Expense</t>
  </si>
  <si>
    <t>8961</t>
  </si>
  <si>
    <t>8963</t>
  </si>
  <si>
    <t>8965</t>
  </si>
  <si>
    <t>9001</t>
  </si>
  <si>
    <t>Budgeted Operating Fund to Reserves</t>
  </si>
  <si>
    <t>9002</t>
  </si>
  <si>
    <t>Bdgt Oper Fnd to Res</t>
  </si>
  <si>
    <t>9003</t>
  </si>
  <si>
    <t>9004</t>
  </si>
  <si>
    <t>9005</t>
  </si>
  <si>
    <t>9010</t>
  </si>
  <si>
    <t>Current Reserve, Not Funded</t>
  </si>
  <si>
    <t>9020</t>
  </si>
  <si>
    <t>Closing Res, Not Funded</t>
  </si>
  <si>
    <t>9025</t>
  </si>
  <si>
    <t>Reserve Interest Inc</t>
  </si>
  <si>
    <t>9026</t>
  </si>
  <si>
    <t>Reserve Interest</t>
  </si>
  <si>
    <t>9030</t>
  </si>
  <si>
    <t>Loan from Operating</t>
  </si>
  <si>
    <t>9031</t>
  </si>
  <si>
    <t>Special Assessment</t>
  </si>
  <si>
    <t>9032</t>
  </si>
  <si>
    <t>9033</t>
  </si>
  <si>
    <t>9034</t>
  </si>
  <si>
    <t>9035</t>
  </si>
  <si>
    <t>9040</t>
  </si>
  <si>
    <t>Funds Transfer Reserve to Checking</t>
  </si>
  <si>
    <t>9041</t>
  </si>
  <si>
    <t>Loan Proceeds</t>
  </si>
  <si>
    <t>9045</t>
  </si>
  <si>
    <t>Gain/Loss on Investment</t>
  </si>
  <si>
    <t>9050</t>
  </si>
  <si>
    <t>Unbdgt Oper Res Fund</t>
  </si>
  <si>
    <t>9051</t>
  </si>
  <si>
    <t>9052</t>
  </si>
  <si>
    <t>9053</t>
  </si>
  <si>
    <t>9054</t>
  </si>
  <si>
    <t>9060</t>
  </si>
  <si>
    <t>Gain on Sale of Capital Asset</t>
  </si>
  <si>
    <t>9101</t>
  </si>
  <si>
    <t>Bank Service Fees</t>
  </si>
  <si>
    <t>9102</t>
  </si>
  <si>
    <t>9103</t>
  </si>
  <si>
    <t>Closing Inc Deposited to Reserve</t>
  </si>
  <si>
    <t>9110</t>
  </si>
  <si>
    <t>General Capital Expense</t>
  </si>
  <si>
    <t>9110-1</t>
  </si>
  <si>
    <t>9110-2</t>
  </si>
  <si>
    <t>9110-3</t>
  </si>
  <si>
    <t>9110-4</t>
  </si>
  <si>
    <t>Gen'l Capital Exp</t>
  </si>
  <si>
    <t>9111</t>
  </si>
  <si>
    <t>Fire Escape Cap Exp</t>
  </si>
  <si>
    <t>9112</t>
  </si>
  <si>
    <t>Plumbing Cap Exp</t>
  </si>
  <si>
    <t>9113</t>
  </si>
  <si>
    <t>Crawl Space Cap Exp</t>
  </si>
  <si>
    <t>9114</t>
  </si>
  <si>
    <t>Water, Steam Pipes Cap Exp</t>
  </si>
  <si>
    <t>9115</t>
  </si>
  <si>
    <t>Recreation Reserve Expense</t>
  </si>
  <si>
    <t>9116</t>
  </si>
  <si>
    <t>Capital Loan Payment</t>
  </si>
  <si>
    <t>9117</t>
  </si>
  <si>
    <t>Special Asmt Adm Fee</t>
  </si>
  <si>
    <t>9118</t>
  </si>
  <si>
    <t>Boiler &amp; Heating Sys</t>
  </si>
  <si>
    <t>9120</t>
  </si>
  <si>
    <t>Building Capital Expense</t>
  </si>
  <si>
    <t>9121</t>
  </si>
  <si>
    <t>Roof Capital Expense</t>
  </si>
  <si>
    <t>9122</t>
  </si>
  <si>
    <t>Exterior Wall Cap Expense</t>
  </si>
  <si>
    <t>9123</t>
  </si>
  <si>
    <t>Balcony Cap Exp/Inc</t>
  </si>
  <si>
    <t>9124</t>
  </si>
  <si>
    <t>Interior/Remodeling Expense</t>
  </si>
  <si>
    <t>9125</t>
  </si>
  <si>
    <t>Auditor  Cap Bldg Ex</t>
  </si>
  <si>
    <t>9126</t>
  </si>
  <si>
    <t>Auditor Cap Bldg Ex</t>
  </si>
  <si>
    <t>9127</t>
  </si>
  <si>
    <t>Elevator Cap Expense</t>
  </si>
  <si>
    <t>9130</t>
  </si>
  <si>
    <t>Grounds Capital Expense</t>
  </si>
  <si>
    <t>9131</t>
  </si>
  <si>
    <t>Road, Parking, Sidewalk Expense</t>
  </si>
  <si>
    <t>9132</t>
  </si>
  <si>
    <t>Fence Capital Expense</t>
  </si>
  <si>
    <t>9133</t>
  </si>
  <si>
    <t>Landscape Capital Expense</t>
  </si>
  <si>
    <t>9134</t>
  </si>
  <si>
    <t>Lakes/Pond Capital Expense</t>
  </si>
  <si>
    <t>9135</t>
  </si>
  <si>
    <t>Fire Equipment Capital Expense</t>
  </si>
  <si>
    <t>9140</t>
  </si>
  <si>
    <t>Return Performance Bond</t>
  </si>
  <si>
    <t>9150</t>
  </si>
  <si>
    <t>Reserve Study</t>
  </si>
  <si>
    <t>9151</t>
  </si>
  <si>
    <t>Capital Project Management</t>
  </si>
  <si>
    <t>9160</t>
  </si>
  <si>
    <t>Building Capital Expenses</t>
  </si>
  <si>
    <t>9160-1</t>
  </si>
  <si>
    <t>9160-2</t>
  </si>
  <si>
    <t>9160-3</t>
  </si>
  <si>
    <t>9160-4</t>
  </si>
  <si>
    <t>9161</t>
  </si>
  <si>
    <t>Interior/Remodeling Capital Expenses</t>
  </si>
  <si>
    <t>9162</t>
  </si>
  <si>
    <t>Masonry/Tuckpointing Capital Expense</t>
  </si>
  <si>
    <t>9163</t>
  </si>
  <si>
    <t>Carpentry-Wood Replacement</t>
  </si>
  <si>
    <t>9163-1</t>
  </si>
  <si>
    <t>Carpentry-Window Replacement</t>
  </si>
  <si>
    <t>9163-2</t>
  </si>
  <si>
    <t>Carprentry-Window Replacement</t>
  </si>
  <si>
    <t>9163-3</t>
  </si>
  <si>
    <t>Carpentry-Siding Replacement</t>
  </si>
  <si>
    <t>9163-4</t>
  </si>
  <si>
    <t>Carpentry-Door Replacement</t>
  </si>
  <si>
    <t>9163-5</t>
  </si>
  <si>
    <t>Carpentry-Roof Replacement</t>
  </si>
  <si>
    <t>9163-6</t>
  </si>
  <si>
    <t>Carpentry-Balcony Repair/Replacement</t>
  </si>
  <si>
    <t>9163-7</t>
  </si>
  <si>
    <t>Carpentry-New Construction</t>
  </si>
  <si>
    <t>9163-8</t>
  </si>
  <si>
    <t>Carpentry-Mailbox Station</t>
  </si>
  <si>
    <t>9163-9</t>
  </si>
  <si>
    <t>Carpentry-Soffit Repair/Replacement</t>
  </si>
  <si>
    <t>9164</t>
  </si>
  <si>
    <t>Concrete Capital Expense</t>
  </si>
  <si>
    <t>9164-1</t>
  </si>
  <si>
    <t>Concrete-Sidewalk Replacement</t>
  </si>
  <si>
    <t>9164-2</t>
  </si>
  <si>
    <t>Concrete-Curb Replacement</t>
  </si>
  <si>
    <t>9164-3</t>
  </si>
  <si>
    <t>Concrete-Driveway Replacement</t>
  </si>
  <si>
    <t>9164-4</t>
  </si>
  <si>
    <t>Concrete-Stoop Replacement</t>
  </si>
  <si>
    <t>9164-5</t>
  </si>
  <si>
    <t>Concrete-Patio Replacement</t>
  </si>
  <si>
    <t>9165</t>
  </si>
  <si>
    <t>Elevator Capital Expense</t>
  </si>
  <si>
    <t>9166</t>
  </si>
  <si>
    <t>Fencing Capital Expense</t>
  </si>
  <si>
    <t>9166-1</t>
  </si>
  <si>
    <t>Fence-Wood</t>
  </si>
  <si>
    <t>9166-2</t>
  </si>
  <si>
    <t>Fence-Aluminum</t>
  </si>
  <si>
    <t>9167</t>
  </si>
  <si>
    <t>9167-1</t>
  </si>
  <si>
    <t>Grounds-Tree/Shrub Replacement</t>
  </si>
  <si>
    <t>9167-2</t>
  </si>
  <si>
    <t>Grounds-Lakes, Ponds</t>
  </si>
  <si>
    <t>9168</t>
  </si>
  <si>
    <t>HVAC Capital Expense</t>
  </si>
  <si>
    <t>9168-1</t>
  </si>
  <si>
    <t>HVAC-Condenser Replacement</t>
  </si>
  <si>
    <t>9168-2</t>
  </si>
  <si>
    <t>HVAC-Heater Replacement</t>
  </si>
  <si>
    <t>9169</t>
  </si>
  <si>
    <t>Plumbing Capital Expense</t>
  </si>
  <si>
    <t>9169-1</t>
  </si>
  <si>
    <t>Plumbing-Installation/Replacement</t>
  </si>
  <si>
    <t>9169-2</t>
  </si>
  <si>
    <t>Plumbing-Pipe Upgrades</t>
  </si>
  <si>
    <t>9169-3</t>
  </si>
  <si>
    <t>Plumbing-Water Heaters</t>
  </si>
  <si>
    <t>9169-4</t>
  </si>
  <si>
    <t>Plumbing-Boiler Replacement</t>
  </si>
  <si>
    <t>9170</t>
  </si>
  <si>
    <t>9170-1</t>
  </si>
  <si>
    <t>Roof-Asphalt</t>
  </si>
  <si>
    <t>9170-2</t>
  </si>
  <si>
    <t>Roof-Cedar</t>
  </si>
  <si>
    <t>9170-3</t>
  </si>
  <si>
    <t>Roof-Flat</t>
  </si>
  <si>
    <t>9171</t>
  </si>
  <si>
    <t>Interior Painting Capital Expense</t>
  </si>
  <si>
    <t>9171-1</t>
  </si>
  <si>
    <t>Interior Painting-Hallways</t>
  </si>
  <si>
    <t>9171-2</t>
  </si>
  <si>
    <t>Interior Painting-Clubhouse</t>
  </si>
  <si>
    <t>9171-3</t>
  </si>
  <si>
    <t>Interior Painting-Common Area</t>
  </si>
  <si>
    <t>9172</t>
  </si>
  <si>
    <t>Exterior Painting Capital Expense</t>
  </si>
  <si>
    <t>9172-1</t>
  </si>
  <si>
    <t>Exterior Painting-Building</t>
  </si>
  <si>
    <t>9172-2</t>
  </si>
  <si>
    <t>Exterior Painting-Siding</t>
  </si>
  <si>
    <t>9172-3</t>
  </si>
  <si>
    <t>Exterior Painting-Trim</t>
  </si>
  <si>
    <t>9173</t>
  </si>
  <si>
    <t>Asphalt Capital Expense</t>
  </si>
  <si>
    <t>9173-1</t>
  </si>
  <si>
    <t>Asphalt-Driveway Replacement</t>
  </si>
  <si>
    <t>9173-2</t>
  </si>
  <si>
    <t>Asphalt-Path Replacement</t>
  </si>
  <si>
    <t>9174</t>
  </si>
  <si>
    <t>Electrical Capital Expense</t>
  </si>
  <si>
    <t>9174-1</t>
  </si>
  <si>
    <t>Electrical-Fixture Replacement</t>
  </si>
  <si>
    <t>9174-2</t>
  </si>
  <si>
    <t>Electrical-Service Repair/Replacement</t>
  </si>
  <si>
    <t>9175</t>
  </si>
  <si>
    <t>Siding Capital Expense</t>
  </si>
  <si>
    <t>9175-1</t>
  </si>
  <si>
    <t>Siding-Aluminum</t>
  </si>
  <si>
    <t>9175-2</t>
  </si>
  <si>
    <t>Siding-Cedar</t>
  </si>
  <si>
    <t>9175-3</t>
  </si>
  <si>
    <t>Siding-Vinyl</t>
  </si>
  <si>
    <t>9175-4</t>
  </si>
  <si>
    <t>Siding-Hardy Board</t>
  </si>
  <si>
    <t>9176</t>
  </si>
  <si>
    <t>Flooring Capital Expense</t>
  </si>
  <si>
    <t>9176-1</t>
  </si>
  <si>
    <t>Flooring-Tile Replacement</t>
  </si>
  <si>
    <t>9176-2</t>
  </si>
  <si>
    <t>Flooring-Carpet Replacement</t>
  </si>
  <si>
    <t>9176-3</t>
  </si>
  <si>
    <t>Flooring-Laminate Floors</t>
  </si>
  <si>
    <t>9177</t>
  </si>
  <si>
    <t>Gutter Capital Expense</t>
  </si>
  <si>
    <t>9177-1</t>
  </si>
  <si>
    <t>Gutter-Replacement</t>
  </si>
  <si>
    <t>9177-2</t>
  </si>
  <si>
    <t>Gutter-Downspout Replacement</t>
  </si>
  <si>
    <t>9178</t>
  </si>
  <si>
    <t>Drywall Capital Expense</t>
  </si>
  <si>
    <t>9179</t>
  </si>
  <si>
    <t>Insurance Claim Expense</t>
  </si>
  <si>
    <t>9179-1</t>
  </si>
  <si>
    <t>Insurance-Fire</t>
  </si>
  <si>
    <t>9179-2</t>
  </si>
  <si>
    <t>Insurance-Flood</t>
  </si>
  <si>
    <t>9179-3</t>
  </si>
  <si>
    <t>Insurance-Water</t>
  </si>
  <si>
    <t>9180</t>
  </si>
  <si>
    <t>Swimming Pool Capital Expense</t>
  </si>
  <si>
    <t>9181</t>
  </si>
  <si>
    <t>Life Safety Capital Expense</t>
  </si>
  <si>
    <t>9182</t>
  </si>
  <si>
    <t>Garage Capital Expense</t>
  </si>
  <si>
    <t>9183</t>
  </si>
  <si>
    <t>Security Capital Expense</t>
  </si>
  <si>
    <t>9184</t>
  </si>
  <si>
    <t>9184-P</t>
  </si>
  <si>
    <t>Loan Principal Pymt</t>
  </si>
  <si>
    <t>9185</t>
  </si>
  <si>
    <t>9185-P</t>
  </si>
  <si>
    <t>9186</t>
  </si>
  <si>
    <t>Loan Legal/Bank Fees</t>
  </si>
  <si>
    <t>9199</t>
  </si>
  <si>
    <t>Funds Trsfr Reserves to Checking</t>
  </si>
  <si>
    <t>9210</t>
  </si>
  <si>
    <t>9211</t>
  </si>
  <si>
    <t>9215</t>
  </si>
  <si>
    <t>9216</t>
  </si>
  <si>
    <t>Guest Parking Fee</t>
  </si>
  <si>
    <t>9217</t>
  </si>
  <si>
    <t>9220</t>
  </si>
  <si>
    <t>9221</t>
  </si>
  <si>
    <t>9265</t>
  </si>
  <si>
    <t>9334</t>
  </si>
  <si>
    <t>9382</t>
  </si>
  <si>
    <t>Garage FICA Expense</t>
  </si>
  <si>
    <t>9383</t>
  </si>
  <si>
    <t>Garage FUTA Expense</t>
  </si>
  <si>
    <t>9384</t>
  </si>
  <si>
    <t>Garage SUTA</t>
  </si>
  <si>
    <t>9385</t>
  </si>
  <si>
    <t>Garage Workers Comp</t>
  </si>
  <si>
    <t>9388</t>
  </si>
  <si>
    <t>9389</t>
  </si>
  <si>
    <t>Garage Benefits Audit</t>
  </si>
  <si>
    <t>9441</t>
  </si>
  <si>
    <t>Garage Lights/Bulbs/Tubes</t>
  </si>
  <si>
    <t>9475</t>
  </si>
  <si>
    <t>9493</t>
  </si>
  <si>
    <t>9540</t>
  </si>
  <si>
    <t>9550</t>
  </si>
  <si>
    <t>Garage Consulting Contract</t>
  </si>
  <si>
    <t>9560</t>
  </si>
  <si>
    <t>Garage Phone/Pager Expense</t>
  </si>
  <si>
    <t>9561</t>
  </si>
  <si>
    <t>9562</t>
  </si>
  <si>
    <t>Garage City Tax</t>
  </si>
  <si>
    <t>9563</t>
  </si>
  <si>
    <t>Garage Audit</t>
  </si>
  <si>
    <t>9565</t>
  </si>
  <si>
    <t>Garage Bank Fees</t>
  </si>
  <si>
    <t>9575</t>
  </si>
  <si>
    <t>Garage Transfer to Reserve</t>
  </si>
  <si>
    <t>9600</t>
  </si>
  <si>
    <t>Move Net Garage Inc</t>
  </si>
  <si>
    <t>9999</t>
  </si>
  <si>
    <t>Test Sample</t>
  </si>
  <si>
    <t>Prev Agnt Acct #</t>
  </si>
  <si>
    <t>Prev Agnt Desc</t>
  </si>
  <si>
    <t>LMS Acct #</t>
  </si>
  <si>
    <t>LMS Desc</t>
  </si>
  <si>
    <t>Amount</t>
  </si>
  <si>
    <t>O/R</t>
  </si>
  <si>
    <t xml:space="preserve">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</si>
  <si>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</si>
  <si>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</si>
  <si>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</si>
  <si>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</si>
  <si>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</si>
  <si>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</si>
  <si>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</si>
  <si>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</si>
  <si>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</si>
  <si>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</si>
  <si>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</si>
  <si>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</si>
  <si>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Error Check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</si>
  <si>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</si>
  <si>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</si>
  <si>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</si>
  <si>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</si>
  <si>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</si>
  <si>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</si>
  <si>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</si>
  <si>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</si>
  <si>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</si>
  <si>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</si>
  <si>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</si>
  <si>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</si>
  <si>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C9040</t>
  </si>
  <si>
    <t>C9150</t>
  </si>
  <si>
    <t>C9151</t>
  </si>
  <si>
    <t>C9160</t>
  </si>
  <si>
    <t>C9160-1</t>
  </si>
  <si>
    <t>C9160-2</t>
  </si>
  <si>
    <t>C9160-3</t>
  </si>
  <si>
    <t>C9160-4</t>
  </si>
  <si>
    <t>C9161</t>
  </si>
  <si>
    <t>C9162</t>
  </si>
  <si>
    <t>C9163</t>
  </si>
  <si>
    <t>C9163-1</t>
  </si>
  <si>
    <t>C9163-2</t>
  </si>
  <si>
    <t>C9163-3</t>
  </si>
  <si>
    <t>C9163-4</t>
  </si>
  <si>
    <t>C9163-5</t>
  </si>
  <si>
    <t>C9163-6</t>
  </si>
  <si>
    <t>C9163-7</t>
  </si>
  <si>
    <t>C9163-8</t>
  </si>
  <si>
    <t>C9163-9</t>
  </si>
  <si>
    <t>C9164</t>
  </si>
  <si>
    <t>C9164-1</t>
  </si>
  <si>
    <t>C9164-2</t>
  </si>
  <si>
    <t>C9164-3</t>
  </si>
  <si>
    <t>C9164-4</t>
  </si>
  <si>
    <t>C9164-5</t>
  </si>
  <si>
    <t>C9165</t>
  </si>
  <si>
    <t>C9166</t>
  </si>
  <si>
    <t>C9166-1</t>
  </si>
  <si>
    <t>C9166-2</t>
  </si>
  <si>
    <t>C9167</t>
  </si>
  <si>
    <t>C9167-1</t>
  </si>
  <si>
    <t>C9167-2</t>
  </si>
  <si>
    <t>C9168</t>
  </si>
  <si>
    <t>C9168-1</t>
  </si>
  <si>
    <t>C9168-2</t>
  </si>
  <si>
    <t>C9169</t>
  </si>
  <si>
    <t>C9169-1</t>
  </si>
  <si>
    <t>C9169-2</t>
  </si>
  <si>
    <t>C9169-3</t>
  </si>
  <si>
    <t>C9169-4</t>
  </si>
  <si>
    <t>C9170</t>
  </si>
  <si>
    <t>C9170-1</t>
  </si>
  <si>
    <t>C9170-2</t>
  </si>
  <si>
    <t>C9170-3</t>
  </si>
  <si>
    <t>C9171</t>
  </si>
  <si>
    <t>C9171-1</t>
  </si>
  <si>
    <t>C9171-2</t>
  </si>
  <si>
    <t>C9171-3</t>
  </si>
  <si>
    <t>C9172</t>
  </si>
  <si>
    <t>C9172-1</t>
  </si>
  <si>
    <t>C9172-2</t>
  </si>
  <si>
    <t>C9172-3</t>
  </si>
  <si>
    <t>C9173</t>
  </si>
  <si>
    <t>C9173-1</t>
  </si>
  <si>
    <t>C9173-2</t>
  </si>
  <si>
    <t>C9174</t>
  </si>
  <si>
    <t>C9174-1</t>
  </si>
  <si>
    <t>C9174-2</t>
  </si>
  <si>
    <t>C9175</t>
  </si>
  <si>
    <t>C9175-1</t>
  </si>
  <si>
    <t>C9175-2</t>
  </si>
  <si>
    <t>C9175-3</t>
  </si>
  <si>
    <t>C9175-4</t>
  </si>
  <si>
    <t>C9176</t>
  </si>
  <si>
    <t>C9176-1</t>
  </si>
  <si>
    <t>C9176-2</t>
  </si>
  <si>
    <t>C9176-3</t>
  </si>
  <si>
    <t>C9177</t>
  </si>
  <si>
    <t>C9177-1</t>
  </si>
  <si>
    <t>C9177-2</t>
  </si>
  <si>
    <t>C9178</t>
  </si>
  <si>
    <t>C9179</t>
  </si>
  <si>
    <t>C9179-1</t>
  </si>
  <si>
    <t>C9179-2</t>
  </si>
  <si>
    <t>C9179-3</t>
  </si>
  <si>
    <t>C9180</t>
  </si>
  <si>
    <t>C9181</t>
  </si>
  <si>
    <t>C9182</t>
  </si>
  <si>
    <t>C9183</t>
  </si>
  <si>
    <t>C9184</t>
  </si>
  <si>
    <t>C9184-P</t>
  </si>
  <si>
    <t>C9185</t>
  </si>
  <si>
    <t>C9185-P</t>
  </si>
  <si>
    <t>C9186</t>
  </si>
  <si>
    <t>Accumulated Cash Funding</t>
  </si>
  <si>
    <t>R</t>
  </si>
  <si>
    <t>O</t>
  </si>
  <si>
    <t>R554</t>
  </si>
  <si>
    <t>0554</t>
  </si>
  <si>
    <t>rental income</t>
  </si>
  <si>
    <t>assessments</t>
  </si>
  <si>
    <t>replacement reserve assessment</t>
  </si>
  <si>
    <t>bank loan payment</t>
  </si>
  <si>
    <t>interest income - operating account</t>
  </si>
  <si>
    <t>laundry room income</t>
  </si>
  <si>
    <t>late fees</t>
  </si>
  <si>
    <t>miscellaneous sundry income</t>
  </si>
  <si>
    <t>fines &amp; violations</t>
  </si>
  <si>
    <t>document sales fees</t>
  </si>
  <si>
    <t>moving fees</t>
  </si>
  <si>
    <t>storage locker fees</t>
  </si>
  <si>
    <t>office</t>
  </si>
  <si>
    <t>office equipment</t>
  </si>
  <si>
    <t xml:space="preserve">printing </t>
  </si>
  <si>
    <t>postage</t>
  </si>
  <si>
    <t>management fee</t>
  </si>
  <si>
    <t>social activity</t>
  </si>
  <si>
    <t>legal retainer</t>
  </si>
  <si>
    <t>accounting fee</t>
  </si>
  <si>
    <t>payroll processing</t>
  </si>
  <si>
    <t>all telephone systems</t>
  </si>
  <si>
    <t>all fire protection systems</t>
  </si>
  <si>
    <t>bad debts/write offs</t>
  </si>
  <si>
    <t>newsletter/communication</t>
  </si>
  <si>
    <t>renting expense</t>
  </si>
  <si>
    <t>bank service fees</t>
  </si>
  <si>
    <t>miscellaneous expenses</t>
  </si>
  <si>
    <t>janitorial supplies</t>
  </si>
  <si>
    <t>janitorial service</t>
  </si>
  <si>
    <t>bulbs &amp; tubes</t>
  </si>
  <si>
    <t>staff uniforms</t>
  </si>
  <si>
    <t>locks/keys/transmitters</t>
  </si>
  <si>
    <t>vehicle expense</t>
  </si>
  <si>
    <t>electricity</t>
  </si>
  <si>
    <t>gas</t>
  </si>
  <si>
    <t>water</t>
  </si>
  <si>
    <t>building equipment</t>
  </si>
  <si>
    <t>exterminating</t>
  </si>
  <si>
    <t>garbage chutes &amp; compactors</t>
  </si>
  <si>
    <t>garbage collection</t>
  </si>
  <si>
    <t>licenses &amp; fees</t>
  </si>
  <si>
    <t>pool - contract</t>
  </si>
  <si>
    <t>pool - chemicals &amp; supplies</t>
  </si>
  <si>
    <t>pool - maintenance and repairs</t>
  </si>
  <si>
    <t>pool - tags &amp; miscellaneous</t>
  </si>
  <si>
    <t>security systems</t>
  </si>
  <si>
    <t>tree care contract</t>
  </si>
  <si>
    <t>landscape supplies</t>
  </si>
  <si>
    <t>landscape maintenance contract</t>
  </si>
  <si>
    <t>road seal coating &amp; repairs</t>
  </si>
  <si>
    <t>de-icing agents</t>
  </si>
  <si>
    <t>staff purchased repairs materials</t>
  </si>
  <si>
    <t>general contractor repairs</t>
  </si>
  <si>
    <t>carpet cleaning</t>
  </si>
  <si>
    <t>roof repairs</t>
  </si>
  <si>
    <t>maintenance staff payroll</t>
  </si>
  <si>
    <t>elevator repairs</t>
  </si>
  <si>
    <t>HVAC repairs</t>
  </si>
  <si>
    <t>concrete repairs</t>
  </si>
  <si>
    <t>electrical repairs</t>
  </si>
  <si>
    <t>plumbing repairs</t>
  </si>
  <si>
    <t>masonry repairs</t>
  </si>
  <si>
    <t>interior painting</t>
  </si>
  <si>
    <t>exterior painting</t>
  </si>
  <si>
    <t>garage repairs</t>
  </si>
  <si>
    <t>employees FICA</t>
  </si>
  <si>
    <t>employees federal UEC</t>
  </si>
  <si>
    <t>employees state UEC</t>
  </si>
  <si>
    <t xml:space="preserve">property insurance </t>
  </si>
  <si>
    <t>employees workman's compensation</t>
  </si>
  <si>
    <t>employee health insurance</t>
  </si>
  <si>
    <t>note payable</t>
  </si>
  <si>
    <t>7927-4</t>
  </si>
  <si>
    <t>7927-6</t>
  </si>
  <si>
    <t>7927-7</t>
  </si>
  <si>
    <t>7927-8</t>
  </si>
  <si>
    <t>7927-12</t>
  </si>
  <si>
    <t>7927-14</t>
  </si>
  <si>
    <t>7927-17</t>
  </si>
  <si>
    <t>7927-19</t>
  </si>
  <si>
    <t>7927-25</t>
  </si>
  <si>
    <t>7927-28</t>
  </si>
  <si>
    <t>7927-29</t>
  </si>
  <si>
    <t>7927-31</t>
  </si>
  <si>
    <t>7927-32</t>
  </si>
  <si>
    <t>7927-33</t>
  </si>
  <si>
    <t>7927-34</t>
  </si>
  <si>
    <t>7927-47</t>
  </si>
  <si>
    <t>7927-52</t>
  </si>
  <si>
    <t>replacement reserve deposit</t>
  </si>
  <si>
    <t>interest on note payable</t>
  </si>
  <si>
    <t>pool</t>
  </si>
  <si>
    <t>street lights</t>
  </si>
  <si>
    <t>pavement</t>
  </si>
  <si>
    <t>concrete</t>
  </si>
  <si>
    <t>balcony</t>
  </si>
  <si>
    <t>garage</t>
  </si>
  <si>
    <t>air conditioning/HVAC</t>
  </si>
  <si>
    <t>water heater</t>
  </si>
  <si>
    <t>fire system A3288</t>
  </si>
  <si>
    <t>plumbing</t>
  </si>
  <si>
    <t>structural</t>
  </si>
  <si>
    <t>reserve study</t>
  </si>
  <si>
    <t>trash system</t>
  </si>
  <si>
    <t>rental units</t>
  </si>
  <si>
    <t>doors</t>
  </si>
  <si>
    <t>fitness center</t>
  </si>
  <si>
    <t>exterior 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</si>
</sst>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Helv"/>
    </font>
    <font>
      <sz val="8"/>
      <name val="MS Shell Dlg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21" fillId="0" borderId="0"/>
    <xf numFmtId="44" fontId="21" fillId="0" borderId="0" applyFont="0" applyFill="0" applyBorder="0" applyAlignment="0" applyProtection="0"/>
    <xf numFmtId="0" fontId="22" fillId="0" borderId="0">
      <alignment vertical="center"/>
    </xf>
    <xf numFmtId="0" fontId="23" fillId="0" borderId="0"/>
    <xf numFmtId="9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</cellStyleXfs>
  <cellXfs count="25">
    <xf numFmtId="0" fontId="0" fillId="0" borderId="0" xfId="0"/>
    <xf numFmtId="0" fontId="0" fillId="33" borderId="0" xfId="0" applyFill="1"/>
    <xf numFmtId="0" fontId="0" fillId="0" borderId="0" xfId="0" quotePrefix="1"/>
    <xf numFmtId="1" fontId="0" fillId="0" borderId="0" xfId="0" applyNumberFormat="1"/>
    <xf numFmtId="0" fontId="18" fillId="0" borderId="0" xfId="0" applyFont="1" applyFill="1"/>
    <xf numFmtId="0" fontId="18" fillId="0" borderId="0" xfId="0" quotePrefix="1" applyFont="1" applyFill="1"/>
    <xf numFmtId="0" fontId="20" fillId="0" borderId="0" xfId="0" applyFont="1" applyFill="1" applyAlignment="1">
      <alignment horizontal="left" wrapText="1"/>
    </xf>
    <xf numFmtId="0" fontId="0" fillId="0" borderId="0" xfId="0" applyFill="1"/>
    <xf numFmtId="0" fontId="22" fillId="0" borderId="0" xfId="45">
      <alignment vertical="center"/>
    </xf>
    <xf numFmtId="0" fontId="22" fillId="0" borderId="0" xfId="45">
      <alignment vertical="center"/>
    </xf>
    <xf numFmtId="43" fontId="18" fillId="0" borderId="0" xfId="48" applyFont="1" applyFill="1" applyBorder="1" applyAlignment="1" applyProtection="1"/>
    <xf numFmtId="0" fontId="20" fillId="0" borderId="0" xfId="0" applyFont="1" applyFill="1" applyAlignment="1">
      <alignment wrapText="1"/>
    </xf>
    <xf numFmtId="1" fontId="0" fillId="0" borderId="0" xfId="0" applyNumberFormat="1" applyFill="1"/>
    <xf numFmtId="4" fontId="0" fillId="0" borderId="0" xfId="0" applyNumberFormat="1" applyFill="1"/>
    <xf numFmtId="3" fontId="0" fillId="0" borderId="0" xfId="0" applyNumberFormat="1" applyFill="1"/>
    <xf numFmtId="0" fontId="18" fillId="34" borderId="0" xfId="0" applyFont="1" applyFill="1"/>
    <xf numFmtId="0" fontId="0" fillId="0" borderId="0" xfId="0" quotePrefix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wrapText="1"/>
    </xf>
    <xf numFmtId="0" fontId="0" fillId="0" borderId="0" xfId="0" applyFont="1" applyFill="1" applyAlignment="1">
      <alignment wrapText="1"/>
    </xf>
    <xf numFmtId="0" fontId="0" fillId="0" borderId="0" xfId="0" applyFont="1" applyFill="1"/>
    <xf numFmtId="1" fontId="0" fillId="0" borderId="0" xfId="0" applyNumberFormat="1" applyFont="1" applyFill="1"/>
    <xf numFmtId="4" fontId="0" fillId="0" borderId="0" xfId="0" applyNumberFormat="1" applyFont="1" applyFill="1"/>
    <xf numFmtId="43" fontId="0" fillId="0" borderId="0" xfId="0" applyNumberFormat="1" applyFont="1" applyFill="1"/>
    <xf numFmtId="164" fontId="0" fillId="0" borderId="0" xfId="0" applyNumberFormat="1" applyFont="1" applyFill="1"/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8" builtinId="3"/>
    <cellStyle name="Comma 2" xfId="49"/>
    <cellStyle name="Currency 2" xfId="4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3" xfId="43"/>
    <cellStyle name="Normal 4" xfId="45"/>
    <cellStyle name="Normal 5" xfId="46"/>
    <cellStyle name="Note" xfId="15" builtinId="10" customBuiltin="1"/>
    <cellStyle name="Output" xfId="10" builtinId="21" customBuiltin="1"/>
    <cellStyle name="Percent 2" xfId="47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38"/>
  <sheetViews>
    <sheetView workbookViewId="0"/>
  </sheetViews>
  <sheetFormatPr defaultRowHeight="15" x14ac:dyDescent="0.25"/>
  <cols>
    <col min="1" max="1" width="8.5703125" bestFit="1" customWidth="1"/>
    <col min="2" max="2" width="40.5703125" bestFit="1" customWidth="1"/>
    <col min="257" max="257" width="8.5703125" bestFit="1" customWidth="1"/>
    <col min="258" max="258" width="40.5703125" bestFit="1" customWidth="1"/>
    <col min="513" max="513" width="8.5703125" bestFit="1" customWidth="1"/>
    <col min="514" max="514" width="40.5703125" bestFit="1" customWidth="1"/>
    <col min="769" max="769" width="8.5703125" bestFit="1" customWidth="1"/>
    <col min="770" max="770" width="40.5703125" bestFit="1" customWidth="1"/>
    <col min="1025" max="1025" width="8.5703125" bestFit="1" customWidth="1"/>
    <col min="1026" max="1026" width="40.5703125" bestFit="1" customWidth="1"/>
    <col min="1281" max="1281" width="8.5703125" bestFit="1" customWidth="1"/>
    <col min="1282" max="1282" width="40.5703125" bestFit="1" customWidth="1"/>
    <col min="1537" max="1537" width="8.5703125" bestFit="1" customWidth="1"/>
    <col min="1538" max="1538" width="40.5703125" bestFit="1" customWidth="1"/>
    <col min="1793" max="1793" width="8.5703125" bestFit="1" customWidth="1"/>
    <col min="1794" max="1794" width="40.5703125" bestFit="1" customWidth="1"/>
    <col min="2049" max="2049" width="8.5703125" bestFit="1" customWidth="1"/>
    <col min="2050" max="2050" width="40.5703125" bestFit="1" customWidth="1"/>
    <col min="2305" max="2305" width="8.5703125" bestFit="1" customWidth="1"/>
    <col min="2306" max="2306" width="40.5703125" bestFit="1" customWidth="1"/>
    <col min="2561" max="2561" width="8.5703125" bestFit="1" customWidth="1"/>
    <col min="2562" max="2562" width="40.5703125" bestFit="1" customWidth="1"/>
    <col min="2817" max="2817" width="8.5703125" bestFit="1" customWidth="1"/>
    <col min="2818" max="2818" width="40.5703125" bestFit="1" customWidth="1"/>
    <col min="3073" max="3073" width="8.5703125" bestFit="1" customWidth="1"/>
    <col min="3074" max="3074" width="40.5703125" bestFit="1" customWidth="1"/>
    <col min="3329" max="3329" width="8.5703125" bestFit="1" customWidth="1"/>
    <col min="3330" max="3330" width="40.5703125" bestFit="1" customWidth="1"/>
    <col min="3585" max="3585" width="8.5703125" bestFit="1" customWidth="1"/>
    <col min="3586" max="3586" width="40.5703125" bestFit="1" customWidth="1"/>
    <col min="3841" max="3841" width="8.5703125" bestFit="1" customWidth="1"/>
    <col min="3842" max="3842" width="40.5703125" bestFit="1" customWidth="1"/>
    <col min="4097" max="4097" width="8.5703125" bestFit="1" customWidth="1"/>
    <col min="4098" max="4098" width="40.5703125" bestFit="1" customWidth="1"/>
    <col min="4353" max="4353" width="8.5703125" bestFit="1" customWidth="1"/>
    <col min="4354" max="4354" width="40.5703125" bestFit="1" customWidth="1"/>
    <col min="4609" max="4609" width="8.5703125" bestFit="1" customWidth="1"/>
    <col min="4610" max="4610" width="40.5703125" bestFit="1" customWidth="1"/>
    <col min="4865" max="4865" width="8.5703125" bestFit="1" customWidth="1"/>
    <col min="4866" max="4866" width="40.5703125" bestFit="1" customWidth="1"/>
    <col min="5121" max="5121" width="8.5703125" bestFit="1" customWidth="1"/>
    <col min="5122" max="5122" width="40.5703125" bestFit="1" customWidth="1"/>
    <col min="5377" max="5377" width="8.5703125" bestFit="1" customWidth="1"/>
    <col min="5378" max="5378" width="40.5703125" bestFit="1" customWidth="1"/>
    <col min="5633" max="5633" width="8.5703125" bestFit="1" customWidth="1"/>
    <col min="5634" max="5634" width="40.5703125" bestFit="1" customWidth="1"/>
    <col min="5889" max="5889" width="8.5703125" bestFit="1" customWidth="1"/>
    <col min="5890" max="5890" width="40.5703125" bestFit="1" customWidth="1"/>
    <col min="6145" max="6145" width="8.5703125" bestFit="1" customWidth="1"/>
    <col min="6146" max="6146" width="40.5703125" bestFit="1" customWidth="1"/>
    <col min="6401" max="6401" width="8.5703125" bestFit="1" customWidth="1"/>
    <col min="6402" max="6402" width="40.5703125" bestFit="1" customWidth="1"/>
    <col min="6657" max="6657" width="8.5703125" bestFit="1" customWidth="1"/>
    <col min="6658" max="6658" width="40.5703125" bestFit="1" customWidth="1"/>
    <col min="6913" max="6913" width="8.5703125" bestFit="1" customWidth="1"/>
    <col min="6914" max="6914" width="40.5703125" bestFit="1" customWidth="1"/>
    <col min="7169" max="7169" width="8.5703125" bestFit="1" customWidth="1"/>
    <col min="7170" max="7170" width="40.5703125" bestFit="1" customWidth="1"/>
    <col min="7425" max="7425" width="8.5703125" bestFit="1" customWidth="1"/>
    <col min="7426" max="7426" width="40.5703125" bestFit="1" customWidth="1"/>
    <col min="7681" max="7681" width="8.5703125" bestFit="1" customWidth="1"/>
    <col min="7682" max="7682" width="40.5703125" bestFit="1" customWidth="1"/>
    <col min="7937" max="7937" width="8.5703125" bestFit="1" customWidth="1"/>
    <col min="7938" max="7938" width="40.5703125" bestFit="1" customWidth="1"/>
    <col min="8193" max="8193" width="8.5703125" bestFit="1" customWidth="1"/>
    <col min="8194" max="8194" width="40.5703125" bestFit="1" customWidth="1"/>
    <col min="8449" max="8449" width="8.5703125" bestFit="1" customWidth="1"/>
    <col min="8450" max="8450" width="40.5703125" bestFit="1" customWidth="1"/>
    <col min="8705" max="8705" width="8.5703125" bestFit="1" customWidth="1"/>
    <col min="8706" max="8706" width="40.5703125" bestFit="1" customWidth="1"/>
    <col min="8961" max="8961" width="8.5703125" bestFit="1" customWidth="1"/>
    <col min="8962" max="8962" width="40.5703125" bestFit="1" customWidth="1"/>
    <col min="9217" max="9217" width="8.5703125" bestFit="1" customWidth="1"/>
    <col min="9218" max="9218" width="40.5703125" bestFit="1" customWidth="1"/>
    <col min="9473" max="9473" width="8.5703125" bestFit="1" customWidth="1"/>
    <col min="9474" max="9474" width="40.5703125" bestFit="1" customWidth="1"/>
    <col min="9729" max="9729" width="8.5703125" bestFit="1" customWidth="1"/>
    <col min="9730" max="9730" width="40.5703125" bestFit="1" customWidth="1"/>
    <col min="9985" max="9985" width="8.5703125" bestFit="1" customWidth="1"/>
    <col min="9986" max="9986" width="40.5703125" bestFit="1" customWidth="1"/>
    <col min="10241" max="10241" width="8.5703125" bestFit="1" customWidth="1"/>
    <col min="10242" max="10242" width="40.5703125" bestFit="1" customWidth="1"/>
    <col min="10497" max="10497" width="8.5703125" bestFit="1" customWidth="1"/>
    <col min="10498" max="10498" width="40.5703125" bestFit="1" customWidth="1"/>
    <col min="10753" max="10753" width="8.5703125" bestFit="1" customWidth="1"/>
    <col min="10754" max="10754" width="40.5703125" bestFit="1" customWidth="1"/>
    <col min="11009" max="11009" width="8.5703125" bestFit="1" customWidth="1"/>
    <col min="11010" max="11010" width="40.5703125" bestFit="1" customWidth="1"/>
    <col min="11265" max="11265" width="8.5703125" bestFit="1" customWidth="1"/>
    <col min="11266" max="11266" width="40.5703125" bestFit="1" customWidth="1"/>
    <col min="11521" max="11521" width="8.5703125" bestFit="1" customWidth="1"/>
    <col min="11522" max="11522" width="40.5703125" bestFit="1" customWidth="1"/>
    <col min="11777" max="11777" width="8.5703125" bestFit="1" customWidth="1"/>
    <col min="11778" max="11778" width="40.5703125" bestFit="1" customWidth="1"/>
    <col min="12033" max="12033" width="8.5703125" bestFit="1" customWidth="1"/>
    <col min="12034" max="12034" width="40.5703125" bestFit="1" customWidth="1"/>
    <col min="12289" max="12289" width="8.5703125" bestFit="1" customWidth="1"/>
    <col min="12290" max="12290" width="40.5703125" bestFit="1" customWidth="1"/>
    <col min="12545" max="12545" width="8.5703125" bestFit="1" customWidth="1"/>
    <col min="12546" max="12546" width="40.5703125" bestFit="1" customWidth="1"/>
    <col min="12801" max="12801" width="8.5703125" bestFit="1" customWidth="1"/>
    <col min="12802" max="12802" width="40.5703125" bestFit="1" customWidth="1"/>
    <col min="13057" max="13057" width="8.5703125" bestFit="1" customWidth="1"/>
    <col min="13058" max="13058" width="40.5703125" bestFit="1" customWidth="1"/>
    <col min="13313" max="13313" width="8.5703125" bestFit="1" customWidth="1"/>
    <col min="13314" max="13314" width="40.5703125" bestFit="1" customWidth="1"/>
    <col min="13569" max="13569" width="8.5703125" bestFit="1" customWidth="1"/>
    <col min="13570" max="13570" width="40.5703125" bestFit="1" customWidth="1"/>
    <col min="13825" max="13825" width="8.5703125" bestFit="1" customWidth="1"/>
    <col min="13826" max="13826" width="40.5703125" bestFit="1" customWidth="1"/>
    <col min="14081" max="14081" width="8.5703125" bestFit="1" customWidth="1"/>
    <col min="14082" max="14082" width="40.5703125" bestFit="1" customWidth="1"/>
    <col min="14337" max="14337" width="8.5703125" bestFit="1" customWidth="1"/>
    <col min="14338" max="14338" width="40.5703125" bestFit="1" customWidth="1"/>
    <col min="14593" max="14593" width="8.5703125" bestFit="1" customWidth="1"/>
    <col min="14594" max="14594" width="40.5703125" bestFit="1" customWidth="1"/>
    <col min="14849" max="14849" width="8.5703125" bestFit="1" customWidth="1"/>
    <col min="14850" max="14850" width="40.5703125" bestFit="1" customWidth="1"/>
    <col min="15105" max="15105" width="8.5703125" bestFit="1" customWidth="1"/>
    <col min="15106" max="15106" width="40.5703125" bestFit="1" customWidth="1"/>
    <col min="15361" max="15361" width="8.5703125" bestFit="1" customWidth="1"/>
    <col min="15362" max="15362" width="40.5703125" bestFit="1" customWidth="1"/>
    <col min="15617" max="15617" width="8.5703125" bestFit="1" customWidth="1"/>
    <col min="15618" max="15618" width="40.5703125" bestFit="1" customWidth="1"/>
    <col min="15873" max="15873" width="8.5703125" bestFit="1" customWidth="1"/>
    <col min="15874" max="15874" width="40.5703125" bestFit="1" customWidth="1"/>
    <col min="16129" max="16129" width="8.5703125" bestFit="1" customWidth="1"/>
    <col min="16130" max="16130" width="40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7</v>
      </c>
    </row>
    <row r="7" spans="1:2" x14ac:dyDescent="0.25">
      <c r="A7" t="s">
        <v>10</v>
      </c>
      <c r="B7" t="s">
        <v>7</v>
      </c>
    </row>
    <row r="8" spans="1:2" x14ac:dyDescent="0.25">
      <c r="A8" t="s">
        <v>11</v>
      </c>
      <c r="B8" t="s">
        <v>7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3" spans="1:2" x14ac:dyDescent="0.25">
      <c r="A13" t="s">
        <v>18</v>
      </c>
      <c r="B13" t="s">
        <v>15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28</v>
      </c>
    </row>
    <row r="19" spans="1:2" x14ac:dyDescent="0.25">
      <c r="A19" t="s">
        <v>29</v>
      </c>
      <c r="B19" t="s">
        <v>28</v>
      </c>
    </row>
    <row r="20" spans="1:2" x14ac:dyDescent="0.25">
      <c r="A20" t="s">
        <v>30</v>
      </c>
      <c r="B20" t="s">
        <v>28</v>
      </c>
    </row>
    <row r="21" spans="1:2" x14ac:dyDescent="0.25">
      <c r="A21" t="s">
        <v>31</v>
      </c>
      <c r="B21" t="s">
        <v>28</v>
      </c>
    </row>
    <row r="22" spans="1:2" x14ac:dyDescent="0.25">
      <c r="A22" t="s">
        <v>32</v>
      </c>
      <c r="B22" t="s">
        <v>28</v>
      </c>
    </row>
    <row r="23" spans="1:2" x14ac:dyDescent="0.25">
      <c r="A23" t="s">
        <v>33</v>
      </c>
      <c r="B23" t="s">
        <v>28</v>
      </c>
    </row>
    <row r="24" spans="1:2" x14ac:dyDescent="0.25">
      <c r="A24" t="s">
        <v>34</v>
      </c>
      <c r="B24" t="s">
        <v>35</v>
      </c>
    </row>
    <row r="25" spans="1:2" x14ac:dyDescent="0.25">
      <c r="A25" t="s">
        <v>36</v>
      </c>
      <c r="B25" t="s">
        <v>37</v>
      </c>
    </row>
    <row r="26" spans="1:2" x14ac:dyDescent="0.25">
      <c r="A26" t="s">
        <v>38</v>
      </c>
      <c r="B26" t="s">
        <v>39</v>
      </c>
    </row>
    <row r="27" spans="1:2" x14ac:dyDescent="0.25">
      <c r="A27" t="s">
        <v>40</v>
      </c>
      <c r="B27" t="s">
        <v>41</v>
      </c>
    </row>
    <row r="28" spans="1:2" x14ac:dyDescent="0.25">
      <c r="A28" t="s">
        <v>42</v>
      </c>
      <c r="B28" t="s">
        <v>41</v>
      </c>
    </row>
    <row r="29" spans="1:2" x14ac:dyDescent="0.25">
      <c r="A29" t="s">
        <v>43</v>
      </c>
      <c r="B29" t="s">
        <v>41</v>
      </c>
    </row>
    <row r="30" spans="1:2" x14ac:dyDescent="0.25">
      <c r="A30" t="s">
        <v>44</v>
      </c>
      <c r="B30" t="s">
        <v>41</v>
      </c>
    </row>
    <row r="31" spans="1:2" x14ac:dyDescent="0.25">
      <c r="A31" t="s">
        <v>45</v>
      </c>
      <c r="B31" t="s">
        <v>46</v>
      </c>
    </row>
    <row r="32" spans="1:2" x14ac:dyDescent="0.25">
      <c r="A32" t="s">
        <v>47</v>
      </c>
      <c r="B32" t="s">
        <v>41</v>
      </c>
    </row>
    <row r="33" spans="1:2" x14ac:dyDescent="0.25">
      <c r="A33" t="s">
        <v>48</v>
      </c>
      <c r="B33" t="s">
        <v>49</v>
      </c>
    </row>
    <row r="34" spans="1:2" x14ac:dyDescent="0.25">
      <c r="A34" t="s">
        <v>50</v>
      </c>
      <c r="B34" t="s">
        <v>51</v>
      </c>
    </row>
    <row r="35" spans="1:2" x14ac:dyDescent="0.25">
      <c r="A35" t="s">
        <v>52</v>
      </c>
      <c r="B35" t="s">
        <v>53</v>
      </c>
    </row>
    <row r="36" spans="1:2" x14ac:dyDescent="0.25">
      <c r="A36" t="s">
        <v>54</v>
      </c>
      <c r="B36" t="s">
        <v>55</v>
      </c>
    </row>
    <row r="37" spans="1:2" x14ac:dyDescent="0.25">
      <c r="A37" t="s">
        <v>56</v>
      </c>
      <c r="B37" t="s">
        <v>57</v>
      </c>
    </row>
    <row r="38" spans="1:2" x14ac:dyDescent="0.25">
      <c r="A38" t="s">
        <v>58</v>
      </c>
      <c r="B38" t="s">
        <v>59</v>
      </c>
    </row>
    <row r="39" spans="1:2" x14ac:dyDescent="0.25">
      <c r="A39" t="s">
        <v>60</v>
      </c>
      <c r="B39" t="s">
        <v>61</v>
      </c>
    </row>
    <row r="40" spans="1:2" x14ac:dyDescent="0.25">
      <c r="A40" t="s">
        <v>62</v>
      </c>
      <c r="B40" t="s">
        <v>63</v>
      </c>
    </row>
    <row r="41" spans="1:2" x14ac:dyDescent="0.25">
      <c r="A41" t="s">
        <v>64</v>
      </c>
      <c r="B41" t="s">
        <v>65</v>
      </c>
    </row>
    <row r="42" spans="1:2" x14ac:dyDescent="0.25">
      <c r="A42" t="s">
        <v>66</v>
      </c>
      <c r="B42" t="s">
        <v>67</v>
      </c>
    </row>
    <row r="43" spans="1:2" x14ac:dyDescent="0.25">
      <c r="A43" t="s">
        <v>68</v>
      </c>
      <c r="B43" t="s">
        <v>69</v>
      </c>
    </row>
    <row r="44" spans="1:2" x14ac:dyDescent="0.25">
      <c r="A44" t="s">
        <v>70</v>
      </c>
      <c r="B44" t="s">
        <v>71</v>
      </c>
    </row>
    <row r="45" spans="1:2" x14ac:dyDescent="0.25">
      <c r="A45" t="s">
        <v>72</v>
      </c>
      <c r="B45" t="s">
        <v>73</v>
      </c>
    </row>
    <row r="46" spans="1:2" x14ac:dyDescent="0.25">
      <c r="A46" t="s">
        <v>74</v>
      </c>
      <c r="B46" t="s">
        <v>75</v>
      </c>
    </row>
    <row r="47" spans="1:2" x14ac:dyDescent="0.25">
      <c r="A47" t="s">
        <v>76</v>
      </c>
      <c r="B47" t="s">
        <v>77</v>
      </c>
    </row>
    <row r="48" spans="1:2" x14ac:dyDescent="0.25">
      <c r="A48" t="s">
        <v>78</v>
      </c>
      <c r="B48" t="s">
        <v>79</v>
      </c>
    </row>
    <row r="49" spans="1:2" x14ac:dyDescent="0.25">
      <c r="A49" t="s">
        <v>80</v>
      </c>
      <c r="B49" t="s">
        <v>81</v>
      </c>
    </row>
    <row r="50" spans="1:2" x14ac:dyDescent="0.25">
      <c r="A50" t="s">
        <v>82</v>
      </c>
      <c r="B50" t="s">
        <v>83</v>
      </c>
    </row>
    <row r="51" spans="1:2" x14ac:dyDescent="0.25">
      <c r="A51" t="s">
        <v>84</v>
      </c>
      <c r="B51" t="s">
        <v>85</v>
      </c>
    </row>
    <row r="52" spans="1:2" x14ac:dyDescent="0.25">
      <c r="A52" t="s">
        <v>86</v>
      </c>
      <c r="B52" t="s">
        <v>87</v>
      </c>
    </row>
    <row r="53" spans="1:2" x14ac:dyDescent="0.25">
      <c r="A53" t="s">
        <v>88</v>
      </c>
      <c r="B53" t="s">
        <v>89</v>
      </c>
    </row>
    <row r="54" spans="1:2" x14ac:dyDescent="0.25">
      <c r="A54" t="s">
        <v>90</v>
      </c>
      <c r="B54" t="s">
        <v>91</v>
      </c>
    </row>
    <row r="55" spans="1:2" x14ac:dyDescent="0.25">
      <c r="A55" t="s">
        <v>92</v>
      </c>
      <c r="B55" t="s">
        <v>93</v>
      </c>
    </row>
    <row r="56" spans="1:2" x14ac:dyDescent="0.25">
      <c r="A56" t="s">
        <v>94</v>
      </c>
      <c r="B56" t="s">
        <v>95</v>
      </c>
    </row>
    <row r="57" spans="1:2" x14ac:dyDescent="0.25">
      <c r="A57" t="s">
        <v>96</v>
      </c>
      <c r="B57" t="s">
        <v>97</v>
      </c>
    </row>
    <row r="58" spans="1:2" x14ac:dyDescent="0.25">
      <c r="A58" t="s">
        <v>98</v>
      </c>
      <c r="B58" t="s">
        <v>99</v>
      </c>
    </row>
    <row r="59" spans="1:2" x14ac:dyDescent="0.25">
      <c r="A59" t="s">
        <v>100</v>
      </c>
      <c r="B59" t="s">
        <v>101</v>
      </c>
    </row>
    <row r="60" spans="1:2" x14ac:dyDescent="0.25">
      <c r="A60" t="s">
        <v>102</v>
      </c>
      <c r="B60" t="s">
        <v>103</v>
      </c>
    </row>
    <row r="61" spans="1:2" x14ac:dyDescent="0.25">
      <c r="A61" t="s">
        <v>104</v>
      </c>
      <c r="B61" t="s">
        <v>105</v>
      </c>
    </row>
    <row r="62" spans="1:2" x14ac:dyDescent="0.25">
      <c r="A62" t="s">
        <v>106</v>
      </c>
      <c r="B62" t="s">
        <v>103</v>
      </c>
    </row>
    <row r="63" spans="1:2" x14ac:dyDescent="0.25">
      <c r="A63" t="s">
        <v>107</v>
      </c>
      <c r="B63" t="s">
        <v>103</v>
      </c>
    </row>
    <row r="64" spans="1:2" x14ac:dyDescent="0.25">
      <c r="A64" t="s">
        <v>108</v>
      </c>
      <c r="B64" t="s">
        <v>109</v>
      </c>
    </row>
    <row r="65" spans="1:2" x14ac:dyDescent="0.25">
      <c r="A65" t="s">
        <v>110</v>
      </c>
      <c r="B65" t="s">
        <v>111</v>
      </c>
    </row>
    <row r="66" spans="1:2" x14ac:dyDescent="0.25">
      <c r="A66" t="s">
        <v>112</v>
      </c>
      <c r="B66" t="s">
        <v>113</v>
      </c>
    </row>
    <row r="67" spans="1:2" x14ac:dyDescent="0.25">
      <c r="A67" t="s">
        <v>114</v>
      </c>
      <c r="B67" t="s">
        <v>115</v>
      </c>
    </row>
    <row r="68" spans="1:2" x14ac:dyDescent="0.25">
      <c r="A68" t="s">
        <v>116</v>
      </c>
      <c r="B68" t="s">
        <v>117</v>
      </c>
    </row>
    <row r="69" spans="1:2" x14ac:dyDescent="0.25">
      <c r="A69" t="s">
        <v>118</v>
      </c>
      <c r="B69" t="s">
        <v>119</v>
      </c>
    </row>
    <row r="70" spans="1:2" x14ac:dyDescent="0.25">
      <c r="A70" t="s">
        <v>120</v>
      </c>
      <c r="B70" t="s">
        <v>121</v>
      </c>
    </row>
    <row r="71" spans="1:2" x14ac:dyDescent="0.25">
      <c r="A71" t="s">
        <v>122</v>
      </c>
      <c r="B71" t="s">
        <v>123</v>
      </c>
    </row>
    <row r="72" spans="1:2" x14ac:dyDescent="0.25">
      <c r="A72" t="s">
        <v>124</v>
      </c>
      <c r="B72" t="s">
        <v>125</v>
      </c>
    </row>
    <row r="73" spans="1:2" x14ac:dyDescent="0.25">
      <c r="A73" t="s">
        <v>126</v>
      </c>
      <c r="B73" t="s">
        <v>127</v>
      </c>
    </row>
    <row r="74" spans="1:2" x14ac:dyDescent="0.25">
      <c r="A74" t="s">
        <v>128</v>
      </c>
      <c r="B74" t="s">
        <v>129</v>
      </c>
    </row>
    <row r="75" spans="1:2" x14ac:dyDescent="0.25">
      <c r="A75" t="s">
        <v>130</v>
      </c>
      <c r="B75" t="s">
        <v>131</v>
      </c>
    </row>
    <row r="76" spans="1:2" x14ac:dyDescent="0.25">
      <c r="A76" t="s">
        <v>132</v>
      </c>
      <c r="B76" t="s">
        <v>133</v>
      </c>
    </row>
    <row r="77" spans="1:2" x14ac:dyDescent="0.25">
      <c r="A77" t="s">
        <v>134</v>
      </c>
      <c r="B77" t="s">
        <v>135</v>
      </c>
    </row>
    <row r="78" spans="1:2" x14ac:dyDescent="0.25">
      <c r="A78" t="s">
        <v>136</v>
      </c>
      <c r="B78" t="s">
        <v>137</v>
      </c>
    </row>
    <row r="79" spans="1:2" x14ac:dyDescent="0.25">
      <c r="A79" t="s">
        <v>138</v>
      </c>
      <c r="B79" t="s">
        <v>139</v>
      </c>
    </row>
    <row r="80" spans="1:2" x14ac:dyDescent="0.25">
      <c r="A80" t="s">
        <v>140</v>
      </c>
      <c r="B80" t="s">
        <v>141</v>
      </c>
    </row>
    <row r="81" spans="1:2" x14ac:dyDescent="0.25">
      <c r="A81" t="s">
        <v>142</v>
      </c>
      <c r="B81" t="s">
        <v>143</v>
      </c>
    </row>
    <row r="82" spans="1:2" x14ac:dyDescent="0.25">
      <c r="A82" t="s">
        <v>144</v>
      </c>
      <c r="B82" t="s">
        <v>145</v>
      </c>
    </row>
    <row r="83" spans="1:2" x14ac:dyDescent="0.25">
      <c r="A83" t="s">
        <v>146</v>
      </c>
      <c r="B83" t="s">
        <v>147</v>
      </c>
    </row>
    <row r="84" spans="1:2" x14ac:dyDescent="0.25">
      <c r="A84" t="s">
        <v>148</v>
      </c>
      <c r="B84" t="s">
        <v>149</v>
      </c>
    </row>
    <row r="85" spans="1:2" x14ac:dyDescent="0.25">
      <c r="A85" t="s">
        <v>150</v>
      </c>
      <c r="B85" t="s">
        <v>151</v>
      </c>
    </row>
    <row r="86" spans="1:2" x14ac:dyDescent="0.25">
      <c r="A86" t="s">
        <v>152</v>
      </c>
      <c r="B86" t="s">
        <v>151</v>
      </c>
    </row>
    <row r="87" spans="1:2" x14ac:dyDescent="0.25">
      <c r="A87" t="s">
        <v>153</v>
      </c>
      <c r="B87" t="s">
        <v>154</v>
      </c>
    </row>
    <row r="88" spans="1:2" x14ac:dyDescent="0.25">
      <c r="A88" t="s">
        <v>155</v>
      </c>
      <c r="B88" t="s">
        <v>156</v>
      </c>
    </row>
    <row r="89" spans="1:2" x14ac:dyDescent="0.25">
      <c r="A89" t="s">
        <v>157</v>
      </c>
      <c r="B89" t="s">
        <v>158</v>
      </c>
    </row>
    <row r="90" spans="1:2" x14ac:dyDescent="0.25">
      <c r="A90" t="s">
        <v>159</v>
      </c>
      <c r="B90" t="s">
        <v>160</v>
      </c>
    </row>
    <row r="91" spans="1:2" x14ac:dyDescent="0.25">
      <c r="A91" t="s">
        <v>161</v>
      </c>
      <c r="B91" t="s">
        <v>162</v>
      </c>
    </row>
    <row r="92" spans="1:2" x14ac:dyDescent="0.25">
      <c r="A92" t="s">
        <v>163</v>
      </c>
      <c r="B92" t="s">
        <v>164</v>
      </c>
    </row>
    <row r="93" spans="1:2" x14ac:dyDescent="0.25">
      <c r="A93" t="s">
        <v>165</v>
      </c>
      <c r="B93" t="s">
        <v>166</v>
      </c>
    </row>
    <row r="94" spans="1:2" x14ac:dyDescent="0.25">
      <c r="A94" t="s">
        <v>167</v>
      </c>
      <c r="B94" t="s">
        <v>168</v>
      </c>
    </row>
    <row r="95" spans="1:2" x14ac:dyDescent="0.25">
      <c r="A95" t="s">
        <v>169</v>
      </c>
      <c r="B95" t="s">
        <v>170</v>
      </c>
    </row>
    <row r="96" spans="1:2" x14ac:dyDescent="0.25">
      <c r="A96" t="s">
        <v>171</v>
      </c>
      <c r="B96" t="s">
        <v>172</v>
      </c>
    </row>
    <row r="97" spans="1:2" x14ac:dyDescent="0.25">
      <c r="A97" t="s">
        <v>173</v>
      </c>
      <c r="B97" t="s">
        <v>174</v>
      </c>
    </row>
    <row r="98" spans="1:2" x14ac:dyDescent="0.25">
      <c r="A98" t="s">
        <v>175</v>
      </c>
      <c r="B98" t="s">
        <v>176</v>
      </c>
    </row>
    <row r="99" spans="1:2" x14ac:dyDescent="0.25">
      <c r="A99" t="s">
        <v>177</v>
      </c>
      <c r="B99" t="s">
        <v>178</v>
      </c>
    </row>
    <row r="100" spans="1:2" x14ac:dyDescent="0.25">
      <c r="A100" t="s">
        <v>179</v>
      </c>
      <c r="B100" t="s">
        <v>180</v>
      </c>
    </row>
    <row r="101" spans="1:2" x14ac:dyDescent="0.25">
      <c r="A101" t="s">
        <v>181</v>
      </c>
      <c r="B101" t="s">
        <v>182</v>
      </c>
    </row>
    <row r="102" spans="1:2" x14ac:dyDescent="0.25">
      <c r="A102" t="s">
        <v>183</v>
      </c>
      <c r="B102" t="s">
        <v>184</v>
      </c>
    </row>
    <row r="103" spans="1:2" x14ac:dyDescent="0.25">
      <c r="A103" t="s">
        <v>185</v>
      </c>
      <c r="B103" t="s">
        <v>186</v>
      </c>
    </row>
    <row r="104" spans="1:2" x14ac:dyDescent="0.25">
      <c r="A104" t="s">
        <v>187</v>
      </c>
      <c r="B104" t="s">
        <v>188</v>
      </c>
    </row>
    <row r="105" spans="1:2" x14ac:dyDescent="0.25">
      <c r="A105" t="s">
        <v>189</v>
      </c>
      <c r="B105" t="s">
        <v>190</v>
      </c>
    </row>
    <row r="106" spans="1:2" x14ac:dyDescent="0.25">
      <c r="A106" t="s">
        <v>191</v>
      </c>
      <c r="B106" t="s">
        <v>192</v>
      </c>
    </row>
    <row r="107" spans="1:2" x14ac:dyDescent="0.25">
      <c r="A107" t="s">
        <v>193</v>
      </c>
      <c r="B107" t="s">
        <v>194</v>
      </c>
    </row>
    <row r="108" spans="1:2" x14ac:dyDescent="0.25">
      <c r="A108" t="s">
        <v>195</v>
      </c>
      <c r="B108" t="s">
        <v>196</v>
      </c>
    </row>
    <row r="109" spans="1:2" x14ac:dyDescent="0.25">
      <c r="A109" t="s">
        <v>197</v>
      </c>
      <c r="B109" t="s">
        <v>198</v>
      </c>
    </row>
    <row r="110" spans="1:2" x14ac:dyDescent="0.25">
      <c r="A110" t="s">
        <v>199</v>
      </c>
      <c r="B110" t="s">
        <v>200</v>
      </c>
    </row>
    <row r="111" spans="1:2" x14ac:dyDescent="0.25">
      <c r="A111" t="s">
        <v>201</v>
      </c>
      <c r="B111" t="s">
        <v>202</v>
      </c>
    </row>
    <row r="112" spans="1:2" x14ac:dyDescent="0.25">
      <c r="A112" t="s">
        <v>203</v>
      </c>
      <c r="B112" t="s">
        <v>204</v>
      </c>
    </row>
    <row r="113" spans="1:2" x14ac:dyDescent="0.25">
      <c r="A113" t="s">
        <v>205</v>
      </c>
      <c r="B113" t="s">
        <v>206</v>
      </c>
    </row>
    <row r="114" spans="1:2" x14ac:dyDescent="0.25">
      <c r="A114" t="s">
        <v>207</v>
      </c>
      <c r="B114" t="s">
        <v>208</v>
      </c>
    </row>
    <row r="115" spans="1:2" x14ac:dyDescent="0.25">
      <c r="A115" t="s">
        <v>209</v>
      </c>
      <c r="B115" t="s">
        <v>210</v>
      </c>
    </row>
    <row r="116" spans="1:2" x14ac:dyDescent="0.25">
      <c r="A116" t="s">
        <v>211</v>
      </c>
      <c r="B116" t="s">
        <v>212</v>
      </c>
    </row>
    <row r="117" spans="1:2" x14ac:dyDescent="0.25">
      <c r="A117" t="s">
        <v>213</v>
      </c>
      <c r="B117" t="s">
        <v>214</v>
      </c>
    </row>
    <row r="118" spans="1:2" x14ac:dyDescent="0.25">
      <c r="A118" t="s">
        <v>215</v>
      </c>
      <c r="B118" t="s">
        <v>216</v>
      </c>
    </row>
    <row r="119" spans="1:2" x14ac:dyDescent="0.25">
      <c r="A119" t="s">
        <v>217</v>
      </c>
      <c r="B119" t="s">
        <v>218</v>
      </c>
    </row>
    <row r="120" spans="1:2" x14ac:dyDescent="0.25">
      <c r="A120" t="s">
        <v>219</v>
      </c>
      <c r="B120" t="s">
        <v>220</v>
      </c>
    </row>
    <row r="121" spans="1:2" x14ac:dyDescent="0.25">
      <c r="A121" t="s">
        <v>221</v>
      </c>
      <c r="B121" t="s">
        <v>222</v>
      </c>
    </row>
    <row r="122" spans="1:2" x14ac:dyDescent="0.25">
      <c r="A122" t="s">
        <v>223</v>
      </c>
      <c r="B122" t="s">
        <v>224</v>
      </c>
    </row>
    <row r="123" spans="1:2" x14ac:dyDescent="0.25">
      <c r="A123" t="s">
        <v>225</v>
      </c>
      <c r="B123" t="s">
        <v>226</v>
      </c>
    </row>
    <row r="124" spans="1:2" x14ac:dyDescent="0.25">
      <c r="A124" t="s">
        <v>227</v>
      </c>
      <c r="B124" t="s">
        <v>228</v>
      </c>
    </row>
    <row r="125" spans="1:2" x14ac:dyDescent="0.25">
      <c r="A125" t="s">
        <v>229</v>
      </c>
      <c r="B125" t="s">
        <v>230</v>
      </c>
    </row>
    <row r="126" spans="1:2" x14ac:dyDescent="0.25">
      <c r="A126" t="s">
        <v>231</v>
      </c>
      <c r="B126" t="s">
        <v>232</v>
      </c>
    </row>
    <row r="127" spans="1:2" x14ac:dyDescent="0.25">
      <c r="A127" t="s">
        <v>233</v>
      </c>
      <c r="B127" t="s">
        <v>234</v>
      </c>
    </row>
    <row r="128" spans="1:2" x14ac:dyDescent="0.25">
      <c r="A128" t="s">
        <v>235</v>
      </c>
      <c r="B128" t="s">
        <v>236</v>
      </c>
    </row>
    <row r="129" spans="1:2" x14ac:dyDescent="0.25">
      <c r="A129" t="s">
        <v>237</v>
      </c>
      <c r="B129" t="s">
        <v>238</v>
      </c>
    </row>
    <row r="130" spans="1:2" x14ac:dyDescent="0.25">
      <c r="A130" t="s">
        <v>239</v>
      </c>
      <c r="B130" t="s">
        <v>240</v>
      </c>
    </row>
    <row r="131" spans="1:2" x14ac:dyDescent="0.25">
      <c r="A131" t="s">
        <v>241</v>
      </c>
      <c r="B131" t="s">
        <v>242</v>
      </c>
    </row>
    <row r="132" spans="1:2" x14ac:dyDescent="0.25">
      <c r="A132" t="s">
        <v>243</v>
      </c>
      <c r="B132" t="s">
        <v>244</v>
      </c>
    </row>
    <row r="133" spans="1:2" x14ac:dyDescent="0.25">
      <c r="A133" t="s">
        <v>245</v>
      </c>
      <c r="B133" t="s">
        <v>246</v>
      </c>
    </row>
    <row r="134" spans="1:2" x14ac:dyDescent="0.25">
      <c r="A134" t="s">
        <v>247</v>
      </c>
      <c r="B134" t="s">
        <v>248</v>
      </c>
    </row>
    <row r="135" spans="1:2" x14ac:dyDescent="0.25">
      <c r="A135" t="s">
        <v>249</v>
      </c>
      <c r="B135" t="s">
        <v>250</v>
      </c>
    </row>
    <row r="136" spans="1:2" x14ac:dyDescent="0.25">
      <c r="A136" t="s">
        <v>251</v>
      </c>
      <c r="B136" t="s">
        <v>252</v>
      </c>
    </row>
    <row r="137" spans="1:2" x14ac:dyDescent="0.25">
      <c r="A137" t="s">
        <v>253</v>
      </c>
      <c r="B137" t="s">
        <v>254</v>
      </c>
    </row>
    <row r="138" spans="1:2" x14ac:dyDescent="0.25">
      <c r="A138" t="s">
        <v>255</v>
      </c>
      <c r="B138" t="s">
        <v>256</v>
      </c>
    </row>
    <row r="139" spans="1:2" x14ac:dyDescent="0.25">
      <c r="A139" t="s">
        <v>257</v>
      </c>
      <c r="B139" t="s">
        <v>256</v>
      </c>
    </row>
    <row r="140" spans="1:2" x14ac:dyDescent="0.25">
      <c r="A140" t="s">
        <v>258</v>
      </c>
      <c r="B140" t="s">
        <v>256</v>
      </c>
    </row>
    <row r="141" spans="1:2" x14ac:dyDescent="0.25">
      <c r="A141" t="s">
        <v>259</v>
      </c>
      <c r="B141" t="s">
        <v>260</v>
      </c>
    </row>
    <row r="142" spans="1:2" x14ac:dyDescent="0.25">
      <c r="A142" t="s">
        <v>261</v>
      </c>
      <c r="B142" t="s">
        <v>262</v>
      </c>
    </row>
    <row r="143" spans="1:2" x14ac:dyDescent="0.25">
      <c r="A143" t="s">
        <v>263</v>
      </c>
      <c r="B143" t="s">
        <v>262</v>
      </c>
    </row>
    <row r="144" spans="1:2" x14ac:dyDescent="0.25">
      <c r="A144" t="s">
        <v>264</v>
      </c>
      <c r="B144" t="s">
        <v>265</v>
      </c>
    </row>
    <row r="145" spans="1:2" x14ac:dyDescent="0.25">
      <c r="A145" t="s">
        <v>266</v>
      </c>
      <c r="B145" t="s">
        <v>267</v>
      </c>
    </row>
    <row r="146" spans="1:2" x14ac:dyDescent="0.25">
      <c r="A146" t="s">
        <v>268</v>
      </c>
      <c r="B146" t="s">
        <v>267</v>
      </c>
    </row>
    <row r="147" spans="1:2" x14ac:dyDescent="0.25">
      <c r="A147" t="s">
        <v>269</v>
      </c>
      <c r="B147" t="s">
        <v>270</v>
      </c>
    </row>
    <row r="148" spans="1:2" x14ac:dyDescent="0.25">
      <c r="A148" t="s">
        <v>271</v>
      </c>
      <c r="B148" t="s">
        <v>272</v>
      </c>
    </row>
    <row r="149" spans="1:2" x14ac:dyDescent="0.25">
      <c r="A149" t="s">
        <v>273</v>
      </c>
      <c r="B149" t="s">
        <v>274</v>
      </c>
    </row>
    <row r="150" spans="1:2" x14ac:dyDescent="0.25">
      <c r="A150" t="s">
        <v>275</v>
      </c>
      <c r="B150" t="s">
        <v>276</v>
      </c>
    </row>
    <row r="151" spans="1:2" x14ac:dyDescent="0.25">
      <c r="A151" t="s">
        <v>277</v>
      </c>
      <c r="B151" t="s">
        <v>274</v>
      </c>
    </row>
    <row r="152" spans="1:2" x14ac:dyDescent="0.25">
      <c r="A152" t="s">
        <v>278</v>
      </c>
      <c r="B152" t="s">
        <v>279</v>
      </c>
    </row>
    <row r="153" spans="1:2" x14ac:dyDescent="0.25">
      <c r="A153" t="s">
        <v>280</v>
      </c>
      <c r="B153" t="s">
        <v>281</v>
      </c>
    </row>
    <row r="154" spans="1:2" x14ac:dyDescent="0.25">
      <c r="A154" t="s">
        <v>282</v>
      </c>
      <c r="B154" t="s">
        <v>283</v>
      </c>
    </row>
    <row r="155" spans="1:2" x14ac:dyDescent="0.25">
      <c r="A155" t="s">
        <v>284</v>
      </c>
      <c r="B155" t="s">
        <v>285</v>
      </c>
    </row>
    <row r="156" spans="1:2" x14ac:dyDescent="0.25">
      <c r="A156" t="s">
        <v>286</v>
      </c>
      <c r="B156" t="s">
        <v>287</v>
      </c>
    </row>
    <row r="157" spans="1:2" x14ac:dyDescent="0.25">
      <c r="A157" t="s">
        <v>288</v>
      </c>
      <c r="B157" t="s">
        <v>289</v>
      </c>
    </row>
    <row r="158" spans="1:2" x14ac:dyDescent="0.25">
      <c r="A158" t="s">
        <v>290</v>
      </c>
      <c r="B158" t="s">
        <v>291</v>
      </c>
    </row>
    <row r="159" spans="1:2" x14ac:dyDescent="0.25">
      <c r="A159" t="s">
        <v>292</v>
      </c>
      <c r="B159" t="s">
        <v>293</v>
      </c>
    </row>
    <row r="160" spans="1:2" x14ac:dyDescent="0.25">
      <c r="A160" t="s">
        <v>294</v>
      </c>
      <c r="B160" t="s">
        <v>295</v>
      </c>
    </row>
    <row r="161" spans="1:2" x14ac:dyDescent="0.25">
      <c r="A161" t="s">
        <v>296</v>
      </c>
      <c r="B161" t="s">
        <v>297</v>
      </c>
    </row>
    <row r="162" spans="1:2" x14ac:dyDescent="0.25">
      <c r="A162" t="s">
        <v>298</v>
      </c>
      <c r="B162" t="s">
        <v>299</v>
      </c>
    </row>
    <row r="163" spans="1:2" x14ac:dyDescent="0.25">
      <c r="A163" t="s">
        <v>300</v>
      </c>
      <c r="B163" t="s">
        <v>301</v>
      </c>
    </row>
    <row r="164" spans="1:2" x14ac:dyDescent="0.25">
      <c r="A164" t="s">
        <v>302</v>
      </c>
      <c r="B164" t="s">
        <v>303</v>
      </c>
    </row>
    <row r="165" spans="1:2" x14ac:dyDescent="0.25">
      <c r="A165" t="s">
        <v>304</v>
      </c>
      <c r="B165" t="s">
        <v>305</v>
      </c>
    </row>
    <row r="166" spans="1:2" x14ac:dyDescent="0.25">
      <c r="A166" t="s">
        <v>306</v>
      </c>
      <c r="B166" t="s">
        <v>305</v>
      </c>
    </row>
    <row r="167" spans="1:2" x14ac:dyDescent="0.25">
      <c r="A167" t="s">
        <v>307</v>
      </c>
      <c r="B167" t="s">
        <v>305</v>
      </c>
    </row>
    <row r="168" spans="1:2" x14ac:dyDescent="0.25">
      <c r="A168" t="s">
        <v>308</v>
      </c>
      <c r="B168" t="s">
        <v>309</v>
      </c>
    </row>
    <row r="169" spans="1:2" x14ac:dyDescent="0.25">
      <c r="A169" t="s">
        <v>310</v>
      </c>
      <c r="B169" t="s">
        <v>311</v>
      </c>
    </row>
    <row r="170" spans="1:2" x14ac:dyDescent="0.25">
      <c r="A170" t="s">
        <v>312</v>
      </c>
      <c r="B170" t="s">
        <v>313</v>
      </c>
    </row>
    <row r="171" spans="1:2" x14ac:dyDescent="0.25">
      <c r="A171" t="s">
        <v>314</v>
      </c>
      <c r="B171" t="s">
        <v>315</v>
      </c>
    </row>
    <row r="172" spans="1:2" x14ac:dyDescent="0.25">
      <c r="A172" t="s">
        <v>316</v>
      </c>
      <c r="B172" t="s">
        <v>315</v>
      </c>
    </row>
    <row r="173" spans="1:2" x14ac:dyDescent="0.25">
      <c r="A173" t="s">
        <v>317</v>
      </c>
      <c r="B173" t="s">
        <v>318</v>
      </c>
    </row>
    <row r="174" spans="1:2" x14ac:dyDescent="0.25">
      <c r="A174" t="s">
        <v>319</v>
      </c>
      <c r="B174" t="s">
        <v>320</v>
      </c>
    </row>
    <row r="175" spans="1:2" x14ac:dyDescent="0.25">
      <c r="A175" t="s">
        <v>321</v>
      </c>
      <c r="B175" t="s">
        <v>322</v>
      </c>
    </row>
    <row r="176" spans="1:2" x14ac:dyDescent="0.25">
      <c r="A176" t="s">
        <v>323</v>
      </c>
      <c r="B176" t="s">
        <v>324</v>
      </c>
    </row>
    <row r="177" spans="1:2" x14ac:dyDescent="0.25">
      <c r="A177" t="s">
        <v>325</v>
      </c>
      <c r="B177" t="s">
        <v>326</v>
      </c>
    </row>
    <row r="178" spans="1:2" x14ac:dyDescent="0.25">
      <c r="A178" t="s">
        <v>327</v>
      </c>
      <c r="B178" t="s">
        <v>328</v>
      </c>
    </row>
    <row r="179" spans="1:2" x14ac:dyDescent="0.25">
      <c r="A179" t="s">
        <v>329</v>
      </c>
      <c r="B179" t="s">
        <v>330</v>
      </c>
    </row>
    <row r="180" spans="1:2" x14ac:dyDescent="0.25">
      <c r="A180" t="s">
        <v>331</v>
      </c>
      <c r="B180" t="s">
        <v>332</v>
      </c>
    </row>
    <row r="181" spans="1:2" x14ac:dyDescent="0.25">
      <c r="A181" t="s">
        <v>333</v>
      </c>
      <c r="B181" t="s">
        <v>334</v>
      </c>
    </row>
    <row r="182" spans="1:2" x14ac:dyDescent="0.25">
      <c r="A182" t="s">
        <v>335</v>
      </c>
      <c r="B182" t="s">
        <v>334</v>
      </c>
    </row>
    <row r="183" spans="1:2" x14ac:dyDescent="0.25">
      <c r="A183" t="s">
        <v>336</v>
      </c>
      <c r="B183" t="s">
        <v>337</v>
      </c>
    </row>
    <row r="184" spans="1:2" x14ac:dyDescent="0.25">
      <c r="A184" t="s">
        <v>338</v>
      </c>
      <c r="B184" t="s">
        <v>339</v>
      </c>
    </row>
    <row r="185" spans="1:2" x14ac:dyDescent="0.25">
      <c r="A185" t="s">
        <v>340</v>
      </c>
      <c r="B185" t="s">
        <v>341</v>
      </c>
    </row>
    <row r="186" spans="1:2" x14ac:dyDescent="0.25">
      <c r="A186" t="s">
        <v>342</v>
      </c>
      <c r="B186" t="s">
        <v>343</v>
      </c>
    </row>
    <row r="187" spans="1:2" x14ac:dyDescent="0.25">
      <c r="A187" t="s">
        <v>344</v>
      </c>
      <c r="B187" t="s">
        <v>345</v>
      </c>
    </row>
    <row r="188" spans="1:2" x14ac:dyDescent="0.25">
      <c r="A188" t="s">
        <v>346</v>
      </c>
      <c r="B188" t="s">
        <v>347</v>
      </c>
    </row>
    <row r="189" spans="1:2" x14ac:dyDescent="0.25">
      <c r="A189" t="s">
        <v>348</v>
      </c>
      <c r="B189" t="s">
        <v>349</v>
      </c>
    </row>
    <row r="190" spans="1:2" x14ac:dyDescent="0.25">
      <c r="A190" t="s">
        <v>350</v>
      </c>
      <c r="B190" t="s">
        <v>351</v>
      </c>
    </row>
    <row r="191" spans="1:2" x14ac:dyDescent="0.25">
      <c r="A191" t="s">
        <v>352</v>
      </c>
      <c r="B191" t="s">
        <v>353</v>
      </c>
    </row>
    <row r="192" spans="1:2" x14ac:dyDescent="0.25">
      <c r="A192" t="s">
        <v>354</v>
      </c>
      <c r="B192" t="s">
        <v>355</v>
      </c>
    </row>
    <row r="193" spans="1:2" x14ac:dyDescent="0.25">
      <c r="A193" t="s">
        <v>356</v>
      </c>
      <c r="B193" t="s">
        <v>357</v>
      </c>
    </row>
    <row r="194" spans="1:2" x14ac:dyDescent="0.25">
      <c r="A194" t="s">
        <v>358</v>
      </c>
      <c r="B194" t="s">
        <v>359</v>
      </c>
    </row>
    <row r="195" spans="1:2" x14ac:dyDescent="0.25">
      <c r="A195" t="s">
        <v>360</v>
      </c>
      <c r="B195" t="s">
        <v>361</v>
      </c>
    </row>
    <row r="196" spans="1:2" x14ac:dyDescent="0.25">
      <c r="A196" t="s">
        <v>362</v>
      </c>
      <c r="B196" t="s">
        <v>363</v>
      </c>
    </row>
    <row r="197" spans="1:2" x14ac:dyDescent="0.25">
      <c r="A197" t="s">
        <v>364</v>
      </c>
      <c r="B197" t="s">
        <v>365</v>
      </c>
    </row>
    <row r="198" spans="1:2" x14ac:dyDescent="0.25">
      <c r="A198" t="s">
        <v>366</v>
      </c>
      <c r="B198" t="s">
        <v>367</v>
      </c>
    </row>
    <row r="199" spans="1:2" x14ac:dyDescent="0.25">
      <c r="A199" t="s">
        <v>368</v>
      </c>
      <c r="B199" t="s">
        <v>369</v>
      </c>
    </row>
    <row r="200" spans="1:2" x14ac:dyDescent="0.25">
      <c r="A200" t="s">
        <v>370</v>
      </c>
      <c r="B200" t="s">
        <v>371</v>
      </c>
    </row>
    <row r="201" spans="1:2" x14ac:dyDescent="0.25">
      <c r="A201" t="s">
        <v>372</v>
      </c>
      <c r="B201" t="s">
        <v>373</v>
      </c>
    </row>
    <row r="202" spans="1:2" x14ac:dyDescent="0.25">
      <c r="A202" t="s">
        <v>374</v>
      </c>
      <c r="B202" t="s">
        <v>375</v>
      </c>
    </row>
    <row r="203" spans="1:2" x14ac:dyDescent="0.25">
      <c r="A203" t="s">
        <v>376</v>
      </c>
      <c r="B203" t="s">
        <v>377</v>
      </c>
    </row>
    <row r="204" spans="1:2" x14ac:dyDescent="0.25">
      <c r="A204" t="s">
        <v>378</v>
      </c>
      <c r="B204" t="s">
        <v>379</v>
      </c>
    </row>
    <row r="205" spans="1:2" x14ac:dyDescent="0.25">
      <c r="A205" t="s">
        <v>380</v>
      </c>
      <c r="B205" t="s">
        <v>379</v>
      </c>
    </row>
    <row r="206" spans="1:2" x14ac:dyDescent="0.25">
      <c r="A206" t="s">
        <v>381</v>
      </c>
      <c r="B206" t="s">
        <v>382</v>
      </c>
    </row>
    <row r="207" spans="1:2" x14ac:dyDescent="0.25">
      <c r="A207" t="s">
        <v>383</v>
      </c>
      <c r="B207" t="s">
        <v>384</v>
      </c>
    </row>
    <row r="208" spans="1:2" x14ac:dyDescent="0.25">
      <c r="A208" t="s">
        <v>385</v>
      </c>
      <c r="B208" t="s">
        <v>386</v>
      </c>
    </row>
    <row r="209" spans="1:2" x14ac:dyDescent="0.25">
      <c r="A209" t="s">
        <v>387</v>
      </c>
      <c r="B209" t="s">
        <v>388</v>
      </c>
    </row>
    <row r="210" spans="1:2" x14ac:dyDescent="0.25">
      <c r="A210" t="s">
        <v>389</v>
      </c>
      <c r="B210" t="s">
        <v>390</v>
      </c>
    </row>
    <row r="211" spans="1:2" x14ac:dyDescent="0.25">
      <c r="A211" t="s">
        <v>391</v>
      </c>
      <c r="B211" t="s">
        <v>390</v>
      </c>
    </row>
    <row r="212" spans="1:2" x14ac:dyDescent="0.25">
      <c r="A212" t="s">
        <v>392</v>
      </c>
      <c r="B212" t="s">
        <v>393</v>
      </c>
    </row>
    <row r="213" spans="1:2" x14ac:dyDescent="0.25">
      <c r="A213" t="s">
        <v>394</v>
      </c>
      <c r="B213" t="s">
        <v>393</v>
      </c>
    </row>
    <row r="214" spans="1:2" x14ac:dyDescent="0.25">
      <c r="A214" t="s">
        <v>395</v>
      </c>
      <c r="B214" t="s">
        <v>396</v>
      </c>
    </row>
    <row r="215" spans="1:2" x14ac:dyDescent="0.25">
      <c r="A215" t="s">
        <v>397</v>
      </c>
      <c r="B215" t="s">
        <v>398</v>
      </c>
    </row>
    <row r="216" spans="1:2" x14ac:dyDescent="0.25">
      <c r="A216" t="s">
        <v>399</v>
      </c>
      <c r="B216" t="s">
        <v>400</v>
      </c>
    </row>
    <row r="217" spans="1:2" x14ac:dyDescent="0.25">
      <c r="A217" t="s">
        <v>401</v>
      </c>
      <c r="B217" t="s">
        <v>400</v>
      </c>
    </row>
    <row r="218" spans="1:2" x14ac:dyDescent="0.25">
      <c r="A218" t="s">
        <v>402</v>
      </c>
      <c r="B218" t="s">
        <v>330</v>
      </c>
    </row>
    <row r="219" spans="1:2" x14ac:dyDescent="0.25">
      <c r="A219" t="s">
        <v>403</v>
      </c>
      <c r="B219" t="s">
        <v>404</v>
      </c>
    </row>
    <row r="220" spans="1:2" x14ac:dyDescent="0.25">
      <c r="A220" t="s">
        <v>405</v>
      </c>
      <c r="B220" t="s">
        <v>406</v>
      </c>
    </row>
    <row r="221" spans="1:2" x14ac:dyDescent="0.25">
      <c r="A221" t="s">
        <v>407</v>
      </c>
      <c r="B221" t="s">
        <v>408</v>
      </c>
    </row>
    <row r="222" spans="1:2" x14ac:dyDescent="0.25">
      <c r="A222" t="s">
        <v>409</v>
      </c>
      <c r="B222" t="s">
        <v>410</v>
      </c>
    </row>
    <row r="223" spans="1:2" x14ac:dyDescent="0.25">
      <c r="A223" t="s">
        <v>411</v>
      </c>
      <c r="B223" t="s">
        <v>412</v>
      </c>
    </row>
    <row r="224" spans="1:2" x14ac:dyDescent="0.25">
      <c r="A224" t="s">
        <v>413</v>
      </c>
      <c r="B224" t="s">
        <v>414</v>
      </c>
    </row>
    <row r="225" spans="1:2" x14ac:dyDescent="0.25">
      <c r="A225" t="s">
        <v>415</v>
      </c>
      <c r="B225" t="s">
        <v>416</v>
      </c>
    </row>
    <row r="226" spans="1:2" x14ac:dyDescent="0.25">
      <c r="A226" t="s">
        <v>417</v>
      </c>
      <c r="B226" t="s">
        <v>416</v>
      </c>
    </row>
    <row r="227" spans="1:2" x14ac:dyDescent="0.25">
      <c r="A227" t="s">
        <v>418</v>
      </c>
      <c r="B227" t="s">
        <v>419</v>
      </c>
    </row>
    <row r="228" spans="1:2" x14ac:dyDescent="0.25">
      <c r="A228" t="s">
        <v>420</v>
      </c>
      <c r="B228" t="s">
        <v>421</v>
      </c>
    </row>
    <row r="229" spans="1:2" x14ac:dyDescent="0.25">
      <c r="A229" t="s">
        <v>422</v>
      </c>
      <c r="B229" t="s">
        <v>423</v>
      </c>
    </row>
    <row r="230" spans="1:2" x14ac:dyDescent="0.25">
      <c r="A230" t="s">
        <v>424</v>
      </c>
      <c r="B230" t="s">
        <v>425</v>
      </c>
    </row>
    <row r="231" spans="1:2" x14ac:dyDescent="0.25">
      <c r="A231" t="s">
        <v>426</v>
      </c>
      <c r="B231" t="s">
        <v>427</v>
      </c>
    </row>
    <row r="232" spans="1:2" x14ac:dyDescent="0.25">
      <c r="A232" t="s">
        <v>428</v>
      </c>
      <c r="B232" t="s">
        <v>429</v>
      </c>
    </row>
    <row r="233" spans="1:2" x14ac:dyDescent="0.25">
      <c r="A233" t="s">
        <v>430</v>
      </c>
      <c r="B233" t="s">
        <v>429</v>
      </c>
    </row>
    <row r="234" spans="1:2" x14ac:dyDescent="0.25">
      <c r="A234" t="s">
        <v>431</v>
      </c>
      <c r="B234" t="s">
        <v>432</v>
      </c>
    </row>
    <row r="235" spans="1:2" x14ac:dyDescent="0.25">
      <c r="A235" t="s">
        <v>433</v>
      </c>
      <c r="B235" t="s">
        <v>434</v>
      </c>
    </row>
    <row r="236" spans="1:2" x14ac:dyDescent="0.25">
      <c r="A236" t="s">
        <v>435</v>
      </c>
      <c r="B236" t="s">
        <v>436</v>
      </c>
    </row>
    <row r="237" spans="1:2" x14ac:dyDescent="0.25">
      <c r="A237" t="s">
        <v>437</v>
      </c>
      <c r="B237" t="s">
        <v>438</v>
      </c>
    </row>
    <row r="238" spans="1:2" x14ac:dyDescent="0.25">
      <c r="A238" t="s">
        <v>439</v>
      </c>
      <c r="B238" t="s">
        <v>440</v>
      </c>
    </row>
    <row r="239" spans="1:2" x14ac:dyDescent="0.25">
      <c r="A239" t="s">
        <v>441</v>
      </c>
      <c r="B239" t="s">
        <v>442</v>
      </c>
    </row>
    <row r="240" spans="1:2" x14ac:dyDescent="0.25">
      <c r="A240" t="s">
        <v>443</v>
      </c>
      <c r="B240" t="s">
        <v>442</v>
      </c>
    </row>
    <row r="241" spans="1:2" x14ac:dyDescent="0.25">
      <c r="A241" t="s">
        <v>444</v>
      </c>
      <c r="B241" t="s">
        <v>445</v>
      </c>
    </row>
    <row r="242" spans="1:2" x14ac:dyDescent="0.25">
      <c r="A242" t="s">
        <v>446</v>
      </c>
      <c r="B242" t="s">
        <v>445</v>
      </c>
    </row>
    <row r="243" spans="1:2" x14ac:dyDescent="0.25">
      <c r="A243" t="s">
        <v>447</v>
      </c>
      <c r="B243" t="s">
        <v>448</v>
      </c>
    </row>
    <row r="244" spans="1:2" x14ac:dyDescent="0.25">
      <c r="A244" t="s">
        <v>449</v>
      </c>
      <c r="B244" t="s">
        <v>450</v>
      </c>
    </row>
    <row r="245" spans="1:2" x14ac:dyDescent="0.25">
      <c r="A245" t="s">
        <v>451</v>
      </c>
      <c r="B245" t="s">
        <v>452</v>
      </c>
    </row>
    <row r="246" spans="1:2" x14ac:dyDescent="0.25">
      <c r="A246" t="s">
        <v>453</v>
      </c>
      <c r="B246" t="s">
        <v>454</v>
      </c>
    </row>
    <row r="247" spans="1:2" x14ac:dyDescent="0.25">
      <c r="A247" t="s">
        <v>455</v>
      </c>
      <c r="B247" t="s">
        <v>456</v>
      </c>
    </row>
    <row r="248" spans="1:2" x14ac:dyDescent="0.25">
      <c r="A248" t="s">
        <v>457</v>
      </c>
      <c r="B248" t="s">
        <v>456</v>
      </c>
    </row>
    <row r="249" spans="1:2" x14ac:dyDescent="0.25">
      <c r="A249" t="s">
        <v>458</v>
      </c>
      <c r="B249" t="s">
        <v>459</v>
      </c>
    </row>
    <row r="250" spans="1:2" x14ac:dyDescent="0.25">
      <c r="A250" t="s">
        <v>460</v>
      </c>
      <c r="B250" t="s">
        <v>461</v>
      </c>
    </row>
    <row r="251" spans="1:2" x14ac:dyDescent="0.25">
      <c r="A251" t="s">
        <v>462</v>
      </c>
      <c r="B251" t="s">
        <v>463</v>
      </c>
    </row>
    <row r="252" spans="1:2" x14ac:dyDescent="0.25">
      <c r="A252" t="s">
        <v>464</v>
      </c>
      <c r="B252" t="s">
        <v>465</v>
      </c>
    </row>
    <row r="253" spans="1:2" x14ac:dyDescent="0.25">
      <c r="A253" t="s">
        <v>466</v>
      </c>
      <c r="B253" t="s">
        <v>467</v>
      </c>
    </row>
    <row r="254" spans="1:2" x14ac:dyDescent="0.25">
      <c r="A254" t="s">
        <v>468</v>
      </c>
      <c r="B254" t="s">
        <v>469</v>
      </c>
    </row>
    <row r="255" spans="1:2" x14ac:dyDescent="0.25">
      <c r="A255" t="s">
        <v>470</v>
      </c>
      <c r="B255" t="s">
        <v>471</v>
      </c>
    </row>
    <row r="256" spans="1:2" x14ac:dyDescent="0.25">
      <c r="A256" t="s">
        <v>472</v>
      </c>
      <c r="B256" t="s">
        <v>473</v>
      </c>
    </row>
    <row r="257" spans="1:2" x14ac:dyDescent="0.25">
      <c r="A257" t="s">
        <v>474</v>
      </c>
      <c r="B257" t="s">
        <v>475</v>
      </c>
    </row>
    <row r="258" spans="1:2" x14ac:dyDescent="0.25">
      <c r="A258" t="s">
        <v>476</v>
      </c>
      <c r="B258" t="s">
        <v>477</v>
      </c>
    </row>
    <row r="259" spans="1:2" x14ac:dyDescent="0.25">
      <c r="A259" t="s">
        <v>478</v>
      </c>
      <c r="B259" t="s">
        <v>479</v>
      </c>
    </row>
    <row r="260" spans="1:2" x14ac:dyDescent="0.25">
      <c r="A260" t="s">
        <v>480</v>
      </c>
      <c r="B260" t="s">
        <v>481</v>
      </c>
    </row>
    <row r="261" spans="1:2" x14ac:dyDescent="0.25">
      <c r="A261" t="s">
        <v>482</v>
      </c>
      <c r="B261" t="s">
        <v>483</v>
      </c>
    </row>
    <row r="262" spans="1:2" x14ac:dyDescent="0.25">
      <c r="A262" t="s">
        <v>484</v>
      </c>
      <c r="B262" t="s">
        <v>485</v>
      </c>
    </row>
    <row r="263" spans="1:2" x14ac:dyDescent="0.25">
      <c r="A263" t="s">
        <v>486</v>
      </c>
      <c r="B263" t="s">
        <v>487</v>
      </c>
    </row>
    <row r="264" spans="1:2" x14ac:dyDescent="0.25">
      <c r="A264" t="s">
        <v>488</v>
      </c>
      <c r="B264" t="s">
        <v>489</v>
      </c>
    </row>
    <row r="265" spans="1:2" x14ac:dyDescent="0.25">
      <c r="A265" t="s">
        <v>490</v>
      </c>
      <c r="B265" t="s">
        <v>491</v>
      </c>
    </row>
    <row r="266" spans="1:2" x14ac:dyDescent="0.25">
      <c r="A266" t="s">
        <v>492</v>
      </c>
      <c r="B266" t="s">
        <v>493</v>
      </c>
    </row>
    <row r="267" spans="1:2" x14ac:dyDescent="0.25">
      <c r="A267" t="s">
        <v>494</v>
      </c>
      <c r="B267" t="s">
        <v>495</v>
      </c>
    </row>
    <row r="268" spans="1:2" x14ac:dyDescent="0.25">
      <c r="A268" t="s">
        <v>496</v>
      </c>
      <c r="B268" t="s">
        <v>497</v>
      </c>
    </row>
    <row r="269" spans="1:2" x14ac:dyDescent="0.25">
      <c r="A269" t="s">
        <v>498</v>
      </c>
      <c r="B269" t="s">
        <v>499</v>
      </c>
    </row>
    <row r="270" spans="1:2" x14ac:dyDescent="0.25">
      <c r="A270" t="s">
        <v>500</v>
      </c>
      <c r="B270" t="s">
        <v>501</v>
      </c>
    </row>
    <row r="271" spans="1:2" x14ac:dyDescent="0.25">
      <c r="A271" t="s">
        <v>502</v>
      </c>
      <c r="B271" t="s">
        <v>503</v>
      </c>
    </row>
    <row r="272" spans="1:2" x14ac:dyDescent="0.25">
      <c r="A272" t="s">
        <v>504</v>
      </c>
      <c r="B272" t="s">
        <v>505</v>
      </c>
    </row>
    <row r="273" spans="1:2" x14ac:dyDescent="0.25">
      <c r="A273" t="s">
        <v>506</v>
      </c>
      <c r="B273" t="s">
        <v>507</v>
      </c>
    </row>
    <row r="274" spans="1:2" x14ac:dyDescent="0.25">
      <c r="A274" t="s">
        <v>508</v>
      </c>
      <c r="B274" t="s">
        <v>509</v>
      </c>
    </row>
    <row r="275" spans="1:2" x14ac:dyDescent="0.25">
      <c r="A275" t="s">
        <v>510</v>
      </c>
      <c r="B275" t="s">
        <v>511</v>
      </c>
    </row>
    <row r="276" spans="1:2" x14ac:dyDescent="0.25">
      <c r="A276" t="s">
        <v>512</v>
      </c>
      <c r="B276" t="s">
        <v>396</v>
      </c>
    </row>
    <row r="277" spans="1:2" x14ac:dyDescent="0.25">
      <c r="A277" t="s">
        <v>513</v>
      </c>
      <c r="B277" t="s">
        <v>514</v>
      </c>
    </row>
    <row r="278" spans="1:2" x14ac:dyDescent="0.25">
      <c r="A278" t="s">
        <v>515</v>
      </c>
      <c r="B278" t="s">
        <v>516</v>
      </c>
    </row>
    <row r="279" spans="1:2" x14ac:dyDescent="0.25">
      <c r="A279" t="s">
        <v>517</v>
      </c>
      <c r="B279" t="s">
        <v>518</v>
      </c>
    </row>
    <row r="280" spans="1:2" x14ac:dyDescent="0.25">
      <c r="A280" t="s">
        <v>519</v>
      </c>
      <c r="B280" t="s">
        <v>520</v>
      </c>
    </row>
    <row r="281" spans="1:2" x14ac:dyDescent="0.25">
      <c r="A281" t="s">
        <v>521</v>
      </c>
      <c r="B281" t="s">
        <v>522</v>
      </c>
    </row>
    <row r="282" spans="1:2" x14ac:dyDescent="0.25">
      <c r="A282" t="s">
        <v>523</v>
      </c>
      <c r="B282" t="s">
        <v>524</v>
      </c>
    </row>
    <row r="283" spans="1:2" x14ac:dyDescent="0.25">
      <c r="A283" t="s">
        <v>525</v>
      </c>
      <c r="B283" t="s">
        <v>526</v>
      </c>
    </row>
    <row r="284" spans="1:2" x14ac:dyDescent="0.25">
      <c r="A284" t="s">
        <v>527</v>
      </c>
      <c r="B284" t="s">
        <v>528</v>
      </c>
    </row>
    <row r="285" spans="1:2" x14ac:dyDescent="0.25">
      <c r="A285" t="s">
        <v>529</v>
      </c>
      <c r="B285" t="s">
        <v>530</v>
      </c>
    </row>
    <row r="286" spans="1:2" x14ac:dyDescent="0.25">
      <c r="A286" t="s">
        <v>531</v>
      </c>
      <c r="B286" t="s">
        <v>530</v>
      </c>
    </row>
    <row r="287" spans="1:2" x14ac:dyDescent="0.25">
      <c r="A287" t="s">
        <v>532</v>
      </c>
      <c r="B287" t="s">
        <v>530</v>
      </c>
    </row>
    <row r="288" spans="1:2" x14ac:dyDescent="0.25">
      <c r="A288" t="s">
        <v>533</v>
      </c>
      <c r="B288" t="s">
        <v>534</v>
      </c>
    </row>
    <row r="289" spans="1:2" x14ac:dyDescent="0.25">
      <c r="A289" t="s">
        <v>535</v>
      </c>
      <c r="B289" t="s">
        <v>536</v>
      </c>
    </row>
    <row r="290" spans="1:2" x14ac:dyDescent="0.25">
      <c r="A290" t="s">
        <v>537</v>
      </c>
      <c r="B290" t="s">
        <v>538</v>
      </c>
    </row>
    <row r="291" spans="1:2" x14ac:dyDescent="0.25">
      <c r="A291" t="s">
        <v>539</v>
      </c>
      <c r="B291" t="s">
        <v>540</v>
      </c>
    </row>
    <row r="292" spans="1:2" x14ac:dyDescent="0.25">
      <c r="A292" t="s">
        <v>541</v>
      </c>
      <c r="B292" t="s">
        <v>542</v>
      </c>
    </row>
    <row r="293" spans="1:2" x14ac:dyDescent="0.25">
      <c r="A293" t="s">
        <v>543</v>
      </c>
      <c r="B293" t="s">
        <v>544</v>
      </c>
    </row>
    <row r="294" spans="1:2" x14ac:dyDescent="0.25">
      <c r="A294" t="s">
        <v>545</v>
      </c>
      <c r="B294" t="s">
        <v>544</v>
      </c>
    </row>
    <row r="295" spans="1:2" x14ac:dyDescent="0.25">
      <c r="A295" t="s">
        <v>546</v>
      </c>
      <c r="B295" t="s">
        <v>547</v>
      </c>
    </row>
    <row r="296" spans="1:2" x14ac:dyDescent="0.25">
      <c r="A296" t="s">
        <v>548</v>
      </c>
      <c r="B296" t="s">
        <v>549</v>
      </c>
    </row>
    <row r="297" spans="1:2" x14ac:dyDescent="0.25">
      <c r="A297" t="s">
        <v>550</v>
      </c>
      <c r="B297" t="s">
        <v>551</v>
      </c>
    </row>
    <row r="298" spans="1:2" x14ac:dyDescent="0.25">
      <c r="A298" t="s">
        <v>552</v>
      </c>
      <c r="B298" t="s">
        <v>553</v>
      </c>
    </row>
    <row r="299" spans="1:2" x14ac:dyDescent="0.25">
      <c r="A299" t="s">
        <v>554</v>
      </c>
      <c r="B299" t="s">
        <v>555</v>
      </c>
    </row>
    <row r="300" spans="1:2" x14ac:dyDescent="0.25">
      <c r="A300" t="s">
        <v>556</v>
      </c>
      <c r="B300" t="s">
        <v>557</v>
      </c>
    </row>
    <row r="301" spans="1:2" x14ac:dyDescent="0.25">
      <c r="A301" t="s">
        <v>558</v>
      </c>
      <c r="B301" t="s">
        <v>559</v>
      </c>
    </row>
    <row r="302" spans="1:2" x14ac:dyDescent="0.25">
      <c r="A302" t="s">
        <v>560</v>
      </c>
      <c r="B302" t="s">
        <v>561</v>
      </c>
    </row>
    <row r="303" spans="1:2" x14ac:dyDescent="0.25">
      <c r="A303" t="s">
        <v>562</v>
      </c>
      <c r="B303" t="s">
        <v>563</v>
      </c>
    </row>
    <row r="304" spans="1:2" x14ac:dyDescent="0.25">
      <c r="A304" t="s">
        <v>564</v>
      </c>
      <c r="B304" t="s">
        <v>565</v>
      </c>
    </row>
    <row r="305" spans="1:2" x14ac:dyDescent="0.25">
      <c r="A305" t="s">
        <v>566</v>
      </c>
      <c r="B305" t="s">
        <v>567</v>
      </c>
    </row>
    <row r="306" spans="1:2" x14ac:dyDescent="0.25">
      <c r="A306" t="s">
        <v>568</v>
      </c>
      <c r="B306" t="s">
        <v>569</v>
      </c>
    </row>
    <row r="307" spans="1:2" x14ac:dyDescent="0.25">
      <c r="A307" t="s">
        <v>570</v>
      </c>
      <c r="B307" t="s">
        <v>571</v>
      </c>
    </row>
    <row r="308" spans="1:2" x14ac:dyDescent="0.25">
      <c r="A308" t="s">
        <v>572</v>
      </c>
      <c r="B308" t="s">
        <v>573</v>
      </c>
    </row>
    <row r="309" spans="1:2" x14ac:dyDescent="0.25">
      <c r="A309" t="s">
        <v>574</v>
      </c>
      <c r="B309" t="s">
        <v>575</v>
      </c>
    </row>
    <row r="310" spans="1:2" x14ac:dyDescent="0.25">
      <c r="A310" t="s">
        <v>576</v>
      </c>
      <c r="B310" t="s">
        <v>577</v>
      </c>
    </row>
    <row r="311" spans="1:2" x14ac:dyDescent="0.25">
      <c r="A311" t="s">
        <v>578</v>
      </c>
      <c r="B311" t="s">
        <v>579</v>
      </c>
    </row>
    <row r="312" spans="1:2" x14ac:dyDescent="0.25">
      <c r="A312" t="s">
        <v>580</v>
      </c>
      <c r="B312" t="s">
        <v>579</v>
      </c>
    </row>
    <row r="313" spans="1:2" x14ac:dyDescent="0.25">
      <c r="A313" t="s">
        <v>581</v>
      </c>
      <c r="B313" t="s">
        <v>582</v>
      </c>
    </row>
    <row r="314" spans="1:2" x14ac:dyDescent="0.25">
      <c r="A314" t="s">
        <v>583</v>
      </c>
      <c r="B314" t="s">
        <v>584</v>
      </c>
    </row>
    <row r="315" spans="1:2" x14ac:dyDescent="0.25">
      <c r="A315" t="s">
        <v>585</v>
      </c>
      <c r="B315" t="s">
        <v>586</v>
      </c>
    </row>
    <row r="316" spans="1:2" x14ac:dyDescent="0.25">
      <c r="A316" t="s">
        <v>587</v>
      </c>
      <c r="B316" t="s">
        <v>588</v>
      </c>
    </row>
    <row r="317" spans="1:2" x14ac:dyDescent="0.25">
      <c r="A317" t="s">
        <v>589</v>
      </c>
      <c r="B317" t="s">
        <v>588</v>
      </c>
    </row>
    <row r="318" spans="1:2" x14ac:dyDescent="0.25">
      <c r="A318" t="s">
        <v>590</v>
      </c>
      <c r="B318" t="s">
        <v>591</v>
      </c>
    </row>
    <row r="319" spans="1:2" x14ac:dyDescent="0.25">
      <c r="A319" t="s">
        <v>592</v>
      </c>
      <c r="B319" t="s">
        <v>593</v>
      </c>
    </row>
    <row r="320" spans="1:2" x14ac:dyDescent="0.25">
      <c r="A320" t="s">
        <v>594</v>
      </c>
      <c r="B320" t="s">
        <v>595</v>
      </c>
    </row>
    <row r="321" spans="1:2" x14ac:dyDescent="0.25">
      <c r="A321" t="s">
        <v>596</v>
      </c>
      <c r="B321" t="s">
        <v>597</v>
      </c>
    </row>
    <row r="322" spans="1:2" x14ac:dyDescent="0.25">
      <c r="A322" t="s">
        <v>598</v>
      </c>
      <c r="B322" t="s">
        <v>599</v>
      </c>
    </row>
    <row r="323" spans="1:2" x14ac:dyDescent="0.25">
      <c r="A323" t="s">
        <v>600</v>
      </c>
      <c r="B323" t="s">
        <v>601</v>
      </c>
    </row>
    <row r="324" spans="1:2" x14ac:dyDescent="0.25">
      <c r="A324" t="s">
        <v>602</v>
      </c>
      <c r="B324" t="s">
        <v>603</v>
      </c>
    </row>
    <row r="325" spans="1:2" x14ac:dyDescent="0.25">
      <c r="A325" t="s">
        <v>604</v>
      </c>
      <c r="B325" t="s">
        <v>605</v>
      </c>
    </row>
    <row r="326" spans="1:2" x14ac:dyDescent="0.25">
      <c r="A326" t="s">
        <v>606</v>
      </c>
      <c r="B326" t="s">
        <v>607</v>
      </c>
    </row>
    <row r="327" spans="1:2" x14ac:dyDescent="0.25">
      <c r="A327" t="s">
        <v>608</v>
      </c>
      <c r="B327" t="s">
        <v>609</v>
      </c>
    </row>
    <row r="328" spans="1:2" x14ac:dyDescent="0.25">
      <c r="A328" t="s">
        <v>610</v>
      </c>
      <c r="B328" t="s">
        <v>611</v>
      </c>
    </row>
    <row r="329" spans="1:2" x14ac:dyDescent="0.25">
      <c r="A329" t="s">
        <v>612</v>
      </c>
      <c r="B329" t="s">
        <v>613</v>
      </c>
    </row>
    <row r="330" spans="1:2" x14ac:dyDescent="0.25">
      <c r="A330" t="s">
        <v>614</v>
      </c>
      <c r="B330" t="s">
        <v>615</v>
      </c>
    </row>
    <row r="331" spans="1:2" x14ac:dyDescent="0.25">
      <c r="A331" t="s">
        <v>616</v>
      </c>
      <c r="B331" t="s">
        <v>617</v>
      </c>
    </row>
    <row r="332" spans="1:2" x14ac:dyDescent="0.25">
      <c r="A332" t="s">
        <v>618</v>
      </c>
      <c r="B332" t="s">
        <v>619</v>
      </c>
    </row>
    <row r="333" spans="1:2" x14ac:dyDescent="0.25">
      <c r="A333" t="s">
        <v>620</v>
      </c>
      <c r="B333" t="s">
        <v>619</v>
      </c>
    </row>
    <row r="334" spans="1:2" x14ac:dyDescent="0.25">
      <c r="A334" t="s">
        <v>621</v>
      </c>
      <c r="B334" t="s">
        <v>622</v>
      </c>
    </row>
    <row r="335" spans="1:2" x14ac:dyDescent="0.25">
      <c r="A335" t="s">
        <v>623</v>
      </c>
      <c r="B335" t="s">
        <v>624</v>
      </c>
    </row>
    <row r="336" spans="1:2" x14ac:dyDescent="0.25">
      <c r="A336" t="s">
        <v>625</v>
      </c>
      <c r="B336" t="s">
        <v>626</v>
      </c>
    </row>
    <row r="337" spans="1:2" x14ac:dyDescent="0.25">
      <c r="A337" t="s">
        <v>627</v>
      </c>
      <c r="B337" t="s">
        <v>628</v>
      </c>
    </row>
    <row r="338" spans="1:2" x14ac:dyDescent="0.25">
      <c r="A338" t="s">
        <v>629</v>
      </c>
      <c r="B338" t="s">
        <v>630</v>
      </c>
    </row>
    <row r="339" spans="1:2" x14ac:dyDescent="0.25">
      <c r="A339" t="s">
        <v>631</v>
      </c>
      <c r="B339" t="s">
        <v>632</v>
      </c>
    </row>
    <row r="340" spans="1:2" x14ac:dyDescent="0.25">
      <c r="A340" t="s">
        <v>633</v>
      </c>
      <c r="B340" t="s">
        <v>632</v>
      </c>
    </row>
    <row r="341" spans="1:2" x14ac:dyDescent="0.25">
      <c r="A341" t="s">
        <v>634</v>
      </c>
      <c r="B341" t="s">
        <v>635</v>
      </c>
    </row>
    <row r="342" spans="1:2" x14ac:dyDescent="0.25">
      <c r="A342" t="s">
        <v>636</v>
      </c>
      <c r="B342" t="s">
        <v>637</v>
      </c>
    </row>
    <row r="343" spans="1:2" x14ac:dyDescent="0.25">
      <c r="A343" t="s">
        <v>638</v>
      </c>
      <c r="B343" t="s">
        <v>639</v>
      </c>
    </row>
    <row r="344" spans="1:2" x14ac:dyDescent="0.25">
      <c r="A344" t="s">
        <v>640</v>
      </c>
      <c r="B344" t="s">
        <v>641</v>
      </c>
    </row>
    <row r="345" spans="1:2" x14ac:dyDescent="0.25">
      <c r="A345" t="s">
        <v>642</v>
      </c>
      <c r="B345" t="s">
        <v>643</v>
      </c>
    </row>
    <row r="346" spans="1:2" x14ac:dyDescent="0.25">
      <c r="A346" t="s">
        <v>644</v>
      </c>
      <c r="B346" t="s">
        <v>645</v>
      </c>
    </row>
    <row r="347" spans="1:2" x14ac:dyDescent="0.25">
      <c r="A347" t="s">
        <v>646</v>
      </c>
      <c r="B347" t="s">
        <v>647</v>
      </c>
    </row>
    <row r="348" spans="1:2" x14ac:dyDescent="0.25">
      <c r="A348" t="s">
        <v>648</v>
      </c>
      <c r="B348" t="s">
        <v>649</v>
      </c>
    </row>
    <row r="349" spans="1:2" x14ac:dyDescent="0.25">
      <c r="A349" t="s">
        <v>650</v>
      </c>
      <c r="B349" t="s">
        <v>651</v>
      </c>
    </row>
    <row r="350" spans="1:2" x14ac:dyDescent="0.25">
      <c r="A350" t="s">
        <v>652</v>
      </c>
      <c r="B350" t="s">
        <v>653</v>
      </c>
    </row>
    <row r="351" spans="1:2" x14ac:dyDescent="0.25">
      <c r="A351" t="s">
        <v>654</v>
      </c>
      <c r="B351" t="s">
        <v>655</v>
      </c>
    </row>
    <row r="352" spans="1:2" x14ac:dyDescent="0.25">
      <c r="A352" t="s">
        <v>656</v>
      </c>
      <c r="B352" t="s">
        <v>657</v>
      </c>
    </row>
    <row r="353" spans="1:2" x14ac:dyDescent="0.25">
      <c r="A353" t="s">
        <v>658</v>
      </c>
      <c r="B353" t="s">
        <v>659</v>
      </c>
    </row>
    <row r="354" spans="1:2" x14ac:dyDescent="0.25">
      <c r="A354" t="s">
        <v>660</v>
      </c>
      <c r="B354" t="s">
        <v>661</v>
      </c>
    </row>
    <row r="355" spans="1:2" x14ac:dyDescent="0.25">
      <c r="A355" t="s">
        <v>662</v>
      </c>
      <c r="B355" t="s">
        <v>663</v>
      </c>
    </row>
    <row r="356" spans="1:2" x14ac:dyDescent="0.25">
      <c r="A356" t="s">
        <v>664</v>
      </c>
      <c r="B356" t="s">
        <v>665</v>
      </c>
    </row>
    <row r="357" spans="1:2" x14ac:dyDescent="0.25">
      <c r="A357" t="s">
        <v>666</v>
      </c>
      <c r="B357" t="s">
        <v>667</v>
      </c>
    </row>
    <row r="358" spans="1:2" x14ac:dyDescent="0.25">
      <c r="A358" t="s">
        <v>668</v>
      </c>
      <c r="B358" t="s">
        <v>669</v>
      </c>
    </row>
    <row r="359" spans="1:2" x14ac:dyDescent="0.25">
      <c r="A359" t="s">
        <v>670</v>
      </c>
      <c r="B359" t="s">
        <v>671</v>
      </c>
    </row>
    <row r="360" spans="1:2" x14ac:dyDescent="0.25">
      <c r="A360" t="s">
        <v>672</v>
      </c>
      <c r="B360" t="s">
        <v>673</v>
      </c>
    </row>
    <row r="361" spans="1:2" x14ac:dyDescent="0.25">
      <c r="A361" t="s">
        <v>674</v>
      </c>
      <c r="B361" t="s">
        <v>675</v>
      </c>
    </row>
    <row r="362" spans="1:2" x14ac:dyDescent="0.25">
      <c r="A362" t="s">
        <v>676</v>
      </c>
      <c r="B362" t="s">
        <v>677</v>
      </c>
    </row>
    <row r="363" spans="1:2" x14ac:dyDescent="0.25">
      <c r="A363" t="s">
        <v>678</v>
      </c>
      <c r="B363" t="s">
        <v>679</v>
      </c>
    </row>
    <row r="364" spans="1:2" x14ac:dyDescent="0.25">
      <c r="A364" t="s">
        <v>680</v>
      </c>
      <c r="B364" t="s">
        <v>681</v>
      </c>
    </row>
    <row r="365" spans="1:2" x14ac:dyDescent="0.25">
      <c r="A365" t="s">
        <v>682</v>
      </c>
      <c r="B365" t="s">
        <v>683</v>
      </c>
    </row>
    <row r="366" spans="1:2" x14ac:dyDescent="0.25">
      <c r="A366" t="s">
        <v>684</v>
      </c>
      <c r="B366" t="s">
        <v>685</v>
      </c>
    </row>
    <row r="367" spans="1:2" x14ac:dyDescent="0.25">
      <c r="A367" t="s">
        <v>686</v>
      </c>
      <c r="B367" t="s">
        <v>687</v>
      </c>
    </row>
    <row r="368" spans="1:2" x14ac:dyDescent="0.25">
      <c r="A368" t="s">
        <v>688</v>
      </c>
      <c r="B368" t="s">
        <v>689</v>
      </c>
    </row>
    <row r="369" spans="1:2" x14ac:dyDescent="0.25">
      <c r="A369" t="s">
        <v>690</v>
      </c>
      <c r="B369" t="s">
        <v>691</v>
      </c>
    </row>
    <row r="370" spans="1:2" x14ac:dyDescent="0.25">
      <c r="A370" t="s">
        <v>692</v>
      </c>
      <c r="B370" t="s">
        <v>693</v>
      </c>
    </row>
    <row r="371" spans="1:2" x14ac:dyDescent="0.25">
      <c r="A371" t="s">
        <v>694</v>
      </c>
      <c r="B371" t="s">
        <v>695</v>
      </c>
    </row>
    <row r="372" spans="1:2" x14ac:dyDescent="0.25">
      <c r="A372" t="s">
        <v>696</v>
      </c>
      <c r="B372" t="s">
        <v>697</v>
      </c>
    </row>
    <row r="373" spans="1:2" x14ac:dyDescent="0.25">
      <c r="A373" t="s">
        <v>698</v>
      </c>
      <c r="B373" t="s">
        <v>699</v>
      </c>
    </row>
    <row r="374" spans="1:2" x14ac:dyDescent="0.25">
      <c r="A374" t="s">
        <v>700</v>
      </c>
      <c r="B374" t="s">
        <v>701</v>
      </c>
    </row>
    <row r="375" spans="1:2" x14ac:dyDescent="0.25">
      <c r="A375" t="s">
        <v>702</v>
      </c>
      <c r="B375" t="s">
        <v>651</v>
      </c>
    </row>
    <row r="376" spans="1:2" x14ac:dyDescent="0.25">
      <c r="A376" t="s">
        <v>703</v>
      </c>
      <c r="B376" t="s">
        <v>704</v>
      </c>
    </row>
    <row r="377" spans="1:2" x14ac:dyDescent="0.25">
      <c r="A377" t="s">
        <v>705</v>
      </c>
      <c r="B377" t="s">
        <v>706</v>
      </c>
    </row>
    <row r="378" spans="1:2" x14ac:dyDescent="0.25">
      <c r="A378" t="s">
        <v>707</v>
      </c>
      <c r="B378" t="s">
        <v>708</v>
      </c>
    </row>
    <row r="379" spans="1:2" x14ac:dyDescent="0.25">
      <c r="A379" t="s">
        <v>709</v>
      </c>
      <c r="B379" t="s">
        <v>710</v>
      </c>
    </row>
    <row r="380" spans="1:2" x14ac:dyDescent="0.25">
      <c r="A380" t="s">
        <v>711</v>
      </c>
      <c r="B380" t="s">
        <v>712</v>
      </c>
    </row>
    <row r="381" spans="1:2" x14ac:dyDescent="0.25">
      <c r="A381" t="s">
        <v>713</v>
      </c>
      <c r="B381" t="s">
        <v>714</v>
      </c>
    </row>
    <row r="382" spans="1:2" x14ac:dyDescent="0.25">
      <c r="A382" t="s">
        <v>715</v>
      </c>
      <c r="B382" t="s">
        <v>716</v>
      </c>
    </row>
    <row r="383" spans="1:2" x14ac:dyDescent="0.25">
      <c r="A383" t="s">
        <v>717</v>
      </c>
      <c r="B383" t="s">
        <v>718</v>
      </c>
    </row>
    <row r="384" spans="1:2" x14ac:dyDescent="0.25">
      <c r="A384" t="s">
        <v>719</v>
      </c>
      <c r="B384" t="s">
        <v>720</v>
      </c>
    </row>
    <row r="385" spans="1:2" x14ac:dyDescent="0.25">
      <c r="A385" t="s">
        <v>721</v>
      </c>
      <c r="B385" t="s">
        <v>722</v>
      </c>
    </row>
    <row r="386" spans="1:2" x14ac:dyDescent="0.25">
      <c r="A386" t="s">
        <v>723</v>
      </c>
      <c r="B386" t="s">
        <v>724</v>
      </c>
    </row>
    <row r="387" spans="1:2" x14ac:dyDescent="0.25">
      <c r="A387" t="s">
        <v>725</v>
      </c>
      <c r="B387" t="s">
        <v>726</v>
      </c>
    </row>
    <row r="388" spans="1:2" x14ac:dyDescent="0.25">
      <c r="A388" t="s">
        <v>727</v>
      </c>
      <c r="B388" t="s">
        <v>728</v>
      </c>
    </row>
    <row r="389" spans="1:2" x14ac:dyDescent="0.25">
      <c r="A389" t="s">
        <v>729</v>
      </c>
      <c r="B389" t="s">
        <v>730</v>
      </c>
    </row>
    <row r="390" spans="1:2" x14ac:dyDescent="0.25">
      <c r="A390" t="s">
        <v>731</v>
      </c>
      <c r="B390" t="s">
        <v>730</v>
      </c>
    </row>
    <row r="391" spans="1:2" x14ac:dyDescent="0.25">
      <c r="A391" t="s">
        <v>732</v>
      </c>
      <c r="B391" t="s">
        <v>730</v>
      </c>
    </row>
    <row r="392" spans="1:2" x14ac:dyDescent="0.25">
      <c r="A392" t="s">
        <v>733</v>
      </c>
      <c r="B392" t="s">
        <v>734</v>
      </c>
    </row>
    <row r="393" spans="1:2" x14ac:dyDescent="0.25">
      <c r="A393" t="s">
        <v>735</v>
      </c>
      <c r="B393" t="s">
        <v>736</v>
      </c>
    </row>
    <row r="394" spans="1:2" x14ac:dyDescent="0.25">
      <c r="A394" t="s">
        <v>737</v>
      </c>
      <c r="B394" t="s">
        <v>738</v>
      </c>
    </row>
    <row r="395" spans="1:2" x14ac:dyDescent="0.25">
      <c r="A395" t="s">
        <v>739</v>
      </c>
      <c r="B395" t="s">
        <v>730</v>
      </c>
    </row>
    <row r="396" spans="1:2" x14ac:dyDescent="0.25">
      <c r="A396" t="s">
        <v>740</v>
      </c>
      <c r="B396" t="s">
        <v>741</v>
      </c>
    </row>
    <row r="397" spans="1:2" x14ac:dyDescent="0.25">
      <c r="A397" t="s">
        <v>742</v>
      </c>
      <c r="B397" t="s">
        <v>743</v>
      </c>
    </row>
    <row r="398" spans="1:2" x14ac:dyDescent="0.25">
      <c r="A398" t="s">
        <v>744</v>
      </c>
      <c r="B398" t="s">
        <v>745</v>
      </c>
    </row>
    <row r="399" spans="1:2" x14ac:dyDescent="0.25">
      <c r="A399" t="s">
        <v>746</v>
      </c>
      <c r="B399" t="s">
        <v>747</v>
      </c>
    </row>
    <row r="400" spans="1:2" x14ac:dyDescent="0.25">
      <c r="A400" t="s">
        <v>748</v>
      </c>
      <c r="B400" t="s">
        <v>749</v>
      </c>
    </row>
    <row r="401" spans="1:2" x14ac:dyDescent="0.25">
      <c r="A401" t="s">
        <v>750</v>
      </c>
      <c r="B401" t="s">
        <v>751</v>
      </c>
    </row>
    <row r="402" spans="1:2" x14ac:dyDescent="0.25">
      <c r="A402" t="s">
        <v>752</v>
      </c>
      <c r="B402" t="s">
        <v>753</v>
      </c>
    </row>
    <row r="403" spans="1:2" x14ac:dyDescent="0.25">
      <c r="A403" t="s">
        <v>754</v>
      </c>
      <c r="B403" t="s">
        <v>755</v>
      </c>
    </row>
    <row r="404" spans="1:2" x14ac:dyDescent="0.25">
      <c r="A404" t="s">
        <v>756</v>
      </c>
      <c r="B404" t="s">
        <v>757</v>
      </c>
    </row>
    <row r="405" spans="1:2" x14ac:dyDescent="0.25">
      <c r="A405" t="s">
        <v>758</v>
      </c>
      <c r="B405" t="s">
        <v>759</v>
      </c>
    </row>
    <row r="406" spans="1:2" x14ac:dyDescent="0.25">
      <c r="A406" t="s">
        <v>760</v>
      </c>
      <c r="B406" t="s">
        <v>761</v>
      </c>
    </row>
    <row r="407" spans="1:2" x14ac:dyDescent="0.25">
      <c r="A407" t="s">
        <v>762</v>
      </c>
      <c r="B407" t="s">
        <v>763</v>
      </c>
    </row>
    <row r="408" spans="1:2" x14ac:dyDescent="0.25">
      <c r="A408" t="s">
        <v>764</v>
      </c>
      <c r="B408" t="s">
        <v>765</v>
      </c>
    </row>
    <row r="409" spans="1:2" x14ac:dyDescent="0.25">
      <c r="A409" t="s">
        <v>766</v>
      </c>
      <c r="B409" t="s">
        <v>767</v>
      </c>
    </row>
    <row r="410" spans="1:2" x14ac:dyDescent="0.25">
      <c r="A410" t="s">
        <v>768</v>
      </c>
      <c r="B410" t="s">
        <v>769</v>
      </c>
    </row>
    <row r="411" spans="1:2" x14ac:dyDescent="0.25">
      <c r="A411" t="s">
        <v>770</v>
      </c>
      <c r="B411" t="s">
        <v>726</v>
      </c>
    </row>
    <row r="412" spans="1:2" x14ac:dyDescent="0.25">
      <c r="A412" t="s">
        <v>771</v>
      </c>
      <c r="B412" t="s">
        <v>772</v>
      </c>
    </row>
    <row r="413" spans="1:2" x14ac:dyDescent="0.25">
      <c r="A413" t="s">
        <v>773</v>
      </c>
      <c r="B413" t="s">
        <v>774</v>
      </c>
    </row>
    <row r="414" spans="1:2" x14ac:dyDescent="0.25">
      <c r="A414" t="s">
        <v>775</v>
      </c>
      <c r="B414" t="s">
        <v>776</v>
      </c>
    </row>
    <row r="415" spans="1:2" x14ac:dyDescent="0.25">
      <c r="A415" t="s">
        <v>777</v>
      </c>
      <c r="B415" t="s">
        <v>778</v>
      </c>
    </row>
    <row r="416" spans="1:2" x14ac:dyDescent="0.25">
      <c r="A416" t="s">
        <v>779</v>
      </c>
      <c r="B416" t="s">
        <v>780</v>
      </c>
    </row>
    <row r="417" spans="1:2" x14ac:dyDescent="0.25">
      <c r="A417" t="s">
        <v>781</v>
      </c>
      <c r="B417" t="s">
        <v>782</v>
      </c>
    </row>
    <row r="418" spans="1:2" x14ac:dyDescent="0.25">
      <c r="A418" t="s">
        <v>783</v>
      </c>
      <c r="B418" t="s">
        <v>784</v>
      </c>
    </row>
    <row r="419" spans="1:2" x14ac:dyDescent="0.25">
      <c r="A419" t="s">
        <v>785</v>
      </c>
      <c r="B419" t="s">
        <v>786</v>
      </c>
    </row>
    <row r="420" spans="1:2" x14ac:dyDescent="0.25">
      <c r="A420" t="s">
        <v>787</v>
      </c>
      <c r="B420" t="s">
        <v>788</v>
      </c>
    </row>
    <row r="421" spans="1:2" x14ac:dyDescent="0.25">
      <c r="A421" t="s">
        <v>789</v>
      </c>
      <c r="B421" t="s">
        <v>790</v>
      </c>
    </row>
    <row r="422" spans="1:2" x14ac:dyDescent="0.25">
      <c r="A422" t="s">
        <v>791</v>
      </c>
      <c r="B422" t="s">
        <v>792</v>
      </c>
    </row>
    <row r="423" spans="1:2" x14ac:dyDescent="0.25">
      <c r="A423" t="s">
        <v>793</v>
      </c>
      <c r="B423" t="s">
        <v>794</v>
      </c>
    </row>
    <row r="424" spans="1:2" x14ac:dyDescent="0.25">
      <c r="A424" t="s">
        <v>795</v>
      </c>
      <c r="B424" t="s">
        <v>796</v>
      </c>
    </row>
    <row r="425" spans="1:2" x14ac:dyDescent="0.25">
      <c r="A425" t="s">
        <v>797</v>
      </c>
      <c r="B425" t="s">
        <v>798</v>
      </c>
    </row>
    <row r="426" spans="1:2" x14ac:dyDescent="0.25">
      <c r="A426" t="s">
        <v>799</v>
      </c>
      <c r="B426" t="s">
        <v>798</v>
      </c>
    </row>
    <row r="427" spans="1:2" x14ac:dyDescent="0.25">
      <c r="A427" t="s">
        <v>800</v>
      </c>
      <c r="B427" t="s">
        <v>801</v>
      </c>
    </row>
    <row r="428" spans="1:2" x14ac:dyDescent="0.25">
      <c r="A428" t="s">
        <v>802</v>
      </c>
      <c r="B428" t="s">
        <v>803</v>
      </c>
    </row>
    <row r="429" spans="1:2" x14ac:dyDescent="0.25">
      <c r="A429" t="s">
        <v>804</v>
      </c>
      <c r="B429" t="s">
        <v>805</v>
      </c>
    </row>
    <row r="430" spans="1:2" x14ac:dyDescent="0.25">
      <c r="A430" t="s">
        <v>806</v>
      </c>
      <c r="B430" t="s">
        <v>805</v>
      </c>
    </row>
    <row r="431" spans="1:2" x14ac:dyDescent="0.25">
      <c r="A431" t="s">
        <v>807</v>
      </c>
      <c r="B431" t="s">
        <v>808</v>
      </c>
    </row>
    <row r="432" spans="1:2" x14ac:dyDescent="0.25">
      <c r="A432" t="s">
        <v>809</v>
      </c>
      <c r="B432" t="s">
        <v>810</v>
      </c>
    </row>
    <row r="433" spans="1:2" x14ac:dyDescent="0.25">
      <c r="A433" t="s">
        <v>811</v>
      </c>
      <c r="B433" t="s">
        <v>810</v>
      </c>
    </row>
    <row r="434" spans="1:2" x14ac:dyDescent="0.25">
      <c r="A434" t="s">
        <v>812</v>
      </c>
      <c r="B434" t="s">
        <v>813</v>
      </c>
    </row>
    <row r="435" spans="1:2" x14ac:dyDescent="0.25">
      <c r="A435" t="s">
        <v>814</v>
      </c>
      <c r="B435" t="s">
        <v>815</v>
      </c>
    </row>
    <row r="436" spans="1:2" x14ac:dyDescent="0.25">
      <c r="A436" t="s">
        <v>816</v>
      </c>
      <c r="B436" t="s">
        <v>815</v>
      </c>
    </row>
    <row r="437" spans="1:2" x14ac:dyDescent="0.25">
      <c r="A437" t="s">
        <v>817</v>
      </c>
      <c r="B437" t="s">
        <v>818</v>
      </c>
    </row>
    <row r="438" spans="1:2" x14ac:dyDescent="0.25">
      <c r="A438" t="s">
        <v>819</v>
      </c>
      <c r="B438" t="s">
        <v>820</v>
      </c>
    </row>
    <row r="439" spans="1:2" x14ac:dyDescent="0.25">
      <c r="A439" t="s">
        <v>821</v>
      </c>
      <c r="B439" t="s">
        <v>822</v>
      </c>
    </row>
    <row r="440" spans="1:2" x14ac:dyDescent="0.25">
      <c r="A440" t="s">
        <v>823</v>
      </c>
      <c r="B440" t="s">
        <v>824</v>
      </c>
    </row>
    <row r="441" spans="1:2" x14ac:dyDescent="0.25">
      <c r="A441" t="s">
        <v>825</v>
      </c>
      <c r="B441" t="s">
        <v>826</v>
      </c>
    </row>
    <row r="442" spans="1:2" x14ac:dyDescent="0.25">
      <c r="A442" t="s">
        <v>827</v>
      </c>
      <c r="B442" t="s">
        <v>803</v>
      </c>
    </row>
    <row r="443" spans="1:2" x14ac:dyDescent="0.25">
      <c r="A443" t="s">
        <v>828</v>
      </c>
      <c r="B443" t="s">
        <v>829</v>
      </c>
    </row>
    <row r="444" spans="1:2" x14ac:dyDescent="0.25">
      <c r="A444" t="s">
        <v>830</v>
      </c>
      <c r="B444" t="s">
        <v>831</v>
      </c>
    </row>
    <row r="445" spans="1:2" x14ac:dyDescent="0.25">
      <c r="A445" t="s">
        <v>832</v>
      </c>
      <c r="B445" t="s">
        <v>833</v>
      </c>
    </row>
    <row r="446" spans="1:2" x14ac:dyDescent="0.25">
      <c r="A446" t="s">
        <v>834</v>
      </c>
      <c r="B446" t="s">
        <v>833</v>
      </c>
    </row>
    <row r="447" spans="1:2" x14ac:dyDescent="0.25">
      <c r="A447" t="s">
        <v>835</v>
      </c>
      <c r="B447" t="s">
        <v>836</v>
      </c>
    </row>
    <row r="448" spans="1:2" x14ac:dyDescent="0.25">
      <c r="A448" t="s">
        <v>837</v>
      </c>
      <c r="B448" t="s">
        <v>836</v>
      </c>
    </row>
    <row r="449" spans="1:2" x14ac:dyDescent="0.25">
      <c r="A449" t="s">
        <v>838</v>
      </c>
      <c r="B449" t="s">
        <v>839</v>
      </c>
    </row>
    <row r="450" spans="1:2" x14ac:dyDescent="0.25">
      <c r="A450" t="s">
        <v>840</v>
      </c>
      <c r="B450" t="s">
        <v>841</v>
      </c>
    </row>
    <row r="451" spans="1:2" x14ac:dyDescent="0.25">
      <c r="A451" t="s">
        <v>842</v>
      </c>
      <c r="B451" t="s">
        <v>843</v>
      </c>
    </row>
    <row r="452" spans="1:2" x14ac:dyDescent="0.25">
      <c r="A452" t="s">
        <v>844</v>
      </c>
      <c r="B452" t="s">
        <v>845</v>
      </c>
    </row>
    <row r="453" spans="1:2" x14ac:dyDescent="0.25">
      <c r="A453" t="s">
        <v>846</v>
      </c>
      <c r="B453" t="s">
        <v>847</v>
      </c>
    </row>
    <row r="454" spans="1:2" x14ac:dyDescent="0.25">
      <c r="A454" t="s">
        <v>848</v>
      </c>
      <c r="B454" t="s">
        <v>849</v>
      </c>
    </row>
    <row r="455" spans="1:2" x14ac:dyDescent="0.25">
      <c r="A455" t="s">
        <v>850</v>
      </c>
      <c r="B455" t="s">
        <v>849</v>
      </c>
    </row>
    <row r="456" spans="1:2" x14ac:dyDescent="0.25">
      <c r="A456" t="s">
        <v>851</v>
      </c>
      <c r="B456" t="s">
        <v>852</v>
      </c>
    </row>
    <row r="457" spans="1:2" x14ac:dyDescent="0.25">
      <c r="A457" t="s">
        <v>853</v>
      </c>
      <c r="B457" t="s">
        <v>854</v>
      </c>
    </row>
    <row r="458" spans="1:2" x14ac:dyDescent="0.25">
      <c r="A458" t="s">
        <v>855</v>
      </c>
      <c r="B458" t="s">
        <v>856</v>
      </c>
    </row>
    <row r="459" spans="1:2" x14ac:dyDescent="0.25">
      <c r="A459" t="s">
        <v>857</v>
      </c>
      <c r="B459" t="s">
        <v>858</v>
      </c>
    </row>
    <row r="460" spans="1:2" x14ac:dyDescent="0.25">
      <c r="A460" t="s">
        <v>859</v>
      </c>
      <c r="B460" t="s">
        <v>794</v>
      </c>
    </row>
    <row r="461" spans="1:2" x14ac:dyDescent="0.25">
      <c r="A461" t="s">
        <v>860</v>
      </c>
      <c r="B461" t="s">
        <v>861</v>
      </c>
    </row>
    <row r="462" spans="1:2" x14ac:dyDescent="0.25">
      <c r="A462" t="s">
        <v>862</v>
      </c>
      <c r="B462" t="s">
        <v>863</v>
      </c>
    </row>
    <row r="463" spans="1:2" x14ac:dyDescent="0.25">
      <c r="A463" t="s">
        <v>864</v>
      </c>
      <c r="B463" t="s">
        <v>865</v>
      </c>
    </row>
    <row r="464" spans="1:2" x14ac:dyDescent="0.25">
      <c r="A464" t="s">
        <v>866</v>
      </c>
      <c r="B464" t="s">
        <v>867</v>
      </c>
    </row>
    <row r="465" spans="1:2" x14ac:dyDescent="0.25">
      <c r="A465" t="s">
        <v>868</v>
      </c>
      <c r="B465" t="s">
        <v>869</v>
      </c>
    </row>
    <row r="466" spans="1:2" x14ac:dyDescent="0.25">
      <c r="A466" t="s">
        <v>870</v>
      </c>
      <c r="B466" t="s">
        <v>871</v>
      </c>
    </row>
    <row r="467" spans="1:2" x14ac:dyDescent="0.25">
      <c r="A467" t="s">
        <v>872</v>
      </c>
      <c r="B467" t="s">
        <v>873</v>
      </c>
    </row>
    <row r="468" spans="1:2" x14ac:dyDescent="0.25">
      <c r="A468" t="s">
        <v>874</v>
      </c>
      <c r="B468" t="s">
        <v>873</v>
      </c>
    </row>
    <row r="469" spans="1:2" x14ac:dyDescent="0.25">
      <c r="A469" t="s">
        <v>875</v>
      </c>
      <c r="B469" t="s">
        <v>876</v>
      </c>
    </row>
    <row r="470" spans="1:2" x14ac:dyDescent="0.25">
      <c r="A470" t="s">
        <v>877</v>
      </c>
      <c r="B470" t="s">
        <v>878</v>
      </c>
    </row>
    <row r="471" spans="1:2" x14ac:dyDescent="0.25">
      <c r="A471" t="s">
        <v>879</v>
      </c>
      <c r="B471" t="s">
        <v>880</v>
      </c>
    </row>
    <row r="472" spans="1:2" x14ac:dyDescent="0.25">
      <c r="A472" t="s">
        <v>881</v>
      </c>
      <c r="B472" t="s">
        <v>882</v>
      </c>
    </row>
    <row r="473" spans="1:2" x14ac:dyDescent="0.25">
      <c r="A473" t="s">
        <v>883</v>
      </c>
      <c r="B473" t="s">
        <v>522</v>
      </c>
    </row>
    <row r="474" spans="1:2" x14ac:dyDescent="0.25">
      <c r="A474" t="s">
        <v>884</v>
      </c>
      <c r="B474" t="s">
        <v>522</v>
      </c>
    </row>
    <row r="475" spans="1:2" x14ac:dyDescent="0.25">
      <c r="A475" t="s">
        <v>885</v>
      </c>
      <c r="B475" t="s">
        <v>522</v>
      </c>
    </row>
    <row r="476" spans="1:2" x14ac:dyDescent="0.25">
      <c r="A476" t="s">
        <v>886</v>
      </c>
      <c r="B476" t="s">
        <v>522</v>
      </c>
    </row>
    <row r="477" spans="1:2" x14ac:dyDescent="0.25">
      <c r="A477" t="s">
        <v>887</v>
      </c>
      <c r="B477" t="s">
        <v>888</v>
      </c>
    </row>
    <row r="478" spans="1:2" x14ac:dyDescent="0.25">
      <c r="A478" t="s">
        <v>889</v>
      </c>
      <c r="B478" t="s">
        <v>890</v>
      </c>
    </row>
    <row r="479" spans="1:2" x14ac:dyDescent="0.25">
      <c r="A479" t="s">
        <v>891</v>
      </c>
      <c r="B479" t="s">
        <v>375</v>
      </c>
    </row>
    <row r="480" spans="1:2" x14ac:dyDescent="0.25">
      <c r="A480" t="s">
        <v>892</v>
      </c>
      <c r="B480" t="s">
        <v>893</v>
      </c>
    </row>
    <row r="481" spans="1:2" x14ac:dyDescent="0.25">
      <c r="A481" t="s">
        <v>894</v>
      </c>
      <c r="B481" t="s">
        <v>893</v>
      </c>
    </row>
    <row r="482" spans="1:2" x14ac:dyDescent="0.25">
      <c r="A482" t="s">
        <v>895</v>
      </c>
      <c r="B482" t="s">
        <v>893</v>
      </c>
    </row>
    <row r="483" spans="1:2" x14ac:dyDescent="0.25">
      <c r="A483" t="s">
        <v>896</v>
      </c>
      <c r="B483" t="s">
        <v>897</v>
      </c>
    </row>
    <row r="484" spans="1:2" x14ac:dyDescent="0.25">
      <c r="A484" t="s">
        <v>898</v>
      </c>
      <c r="B484" t="s">
        <v>897</v>
      </c>
    </row>
    <row r="485" spans="1:2" x14ac:dyDescent="0.25">
      <c r="A485" t="s">
        <v>899</v>
      </c>
      <c r="B485" t="s">
        <v>897</v>
      </c>
    </row>
    <row r="486" spans="1:2" x14ac:dyDescent="0.25">
      <c r="A486" t="s">
        <v>900</v>
      </c>
      <c r="B486" t="s">
        <v>901</v>
      </c>
    </row>
    <row r="487" spans="1:2" x14ac:dyDescent="0.25">
      <c r="A487" t="s">
        <v>902</v>
      </c>
      <c r="B487" t="s">
        <v>901</v>
      </c>
    </row>
    <row r="488" spans="1:2" x14ac:dyDescent="0.25">
      <c r="A488" t="s">
        <v>903</v>
      </c>
      <c r="B488" t="s">
        <v>901</v>
      </c>
    </row>
    <row r="489" spans="1:2" x14ac:dyDescent="0.25">
      <c r="A489" t="s">
        <v>904</v>
      </c>
      <c r="B489" t="s">
        <v>905</v>
      </c>
    </row>
    <row r="490" spans="1:2" x14ac:dyDescent="0.25">
      <c r="A490" t="s">
        <v>906</v>
      </c>
      <c r="B490" t="s">
        <v>905</v>
      </c>
    </row>
    <row r="491" spans="1:2" x14ac:dyDescent="0.25">
      <c r="A491" t="s">
        <v>907</v>
      </c>
      <c r="B491" t="s">
        <v>905</v>
      </c>
    </row>
    <row r="492" spans="1:2" x14ac:dyDescent="0.25">
      <c r="A492" t="s">
        <v>908</v>
      </c>
      <c r="B492" t="s">
        <v>499</v>
      </c>
    </row>
    <row r="493" spans="1:2" x14ac:dyDescent="0.25">
      <c r="A493" t="s">
        <v>909</v>
      </c>
      <c r="B493" t="s">
        <v>910</v>
      </c>
    </row>
    <row r="494" spans="1:2" x14ac:dyDescent="0.25">
      <c r="A494" t="s">
        <v>911</v>
      </c>
      <c r="B494" t="s">
        <v>910</v>
      </c>
    </row>
    <row r="495" spans="1:2" x14ac:dyDescent="0.25">
      <c r="A495" t="s">
        <v>912</v>
      </c>
      <c r="B495" t="s">
        <v>910</v>
      </c>
    </row>
    <row r="496" spans="1:2" x14ac:dyDescent="0.25">
      <c r="A496" t="s">
        <v>913</v>
      </c>
      <c r="B496" t="s">
        <v>914</v>
      </c>
    </row>
    <row r="497" spans="1:2" x14ac:dyDescent="0.25">
      <c r="A497" t="s">
        <v>915</v>
      </c>
      <c r="B497" t="s">
        <v>916</v>
      </c>
    </row>
    <row r="498" spans="1:2" x14ac:dyDescent="0.25">
      <c r="A498" t="s">
        <v>917</v>
      </c>
      <c r="B498" t="s">
        <v>918</v>
      </c>
    </row>
    <row r="499" spans="1:2" x14ac:dyDescent="0.25">
      <c r="A499" t="s">
        <v>919</v>
      </c>
      <c r="B499" t="s">
        <v>920</v>
      </c>
    </row>
    <row r="500" spans="1:2" x14ac:dyDescent="0.25">
      <c r="A500" t="s">
        <v>921</v>
      </c>
      <c r="B500" t="s">
        <v>922</v>
      </c>
    </row>
    <row r="501" spans="1:2" x14ac:dyDescent="0.25">
      <c r="A501" t="s">
        <v>923</v>
      </c>
      <c r="B501" t="s">
        <v>924</v>
      </c>
    </row>
    <row r="502" spans="1:2" x14ac:dyDescent="0.25">
      <c r="A502" t="s">
        <v>925</v>
      </c>
      <c r="B502" t="s">
        <v>926</v>
      </c>
    </row>
    <row r="503" spans="1:2" x14ac:dyDescent="0.25">
      <c r="A503" t="s">
        <v>927</v>
      </c>
      <c r="B503" t="s">
        <v>928</v>
      </c>
    </row>
    <row r="504" spans="1:2" x14ac:dyDescent="0.25">
      <c r="A504" t="s">
        <v>929</v>
      </c>
      <c r="B504" t="s">
        <v>930</v>
      </c>
    </row>
    <row r="505" spans="1:2" x14ac:dyDescent="0.25">
      <c r="A505" t="s">
        <v>931</v>
      </c>
      <c r="B505" t="s">
        <v>932</v>
      </c>
    </row>
    <row r="506" spans="1:2" x14ac:dyDescent="0.25">
      <c r="A506" t="s">
        <v>933</v>
      </c>
      <c r="B506" t="s">
        <v>934</v>
      </c>
    </row>
    <row r="507" spans="1:2" x14ac:dyDescent="0.25">
      <c r="A507" t="s">
        <v>935</v>
      </c>
      <c r="B507" t="s">
        <v>936</v>
      </c>
    </row>
    <row r="508" spans="1:2" x14ac:dyDescent="0.25">
      <c r="A508" t="s">
        <v>937</v>
      </c>
      <c r="B508" t="s">
        <v>938</v>
      </c>
    </row>
    <row r="509" spans="1:2" x14ac:dyDescent="0.25">
      <c r="A509" t="s">
        <v>939</v>
      </c>
      <c r="B509" t="s">
        <v>940</v>
      </c>
    </row>
    <row r="510" spans="1:2" x14ac:dyDescent="0.25">
      <c r="A510" t="s">
        <v>941</v>
      </c>
      <c r="B510" t="s">
        <v>940</v>
      </c>
    </row>
    <row r="511" spans="1:2" x14ac:dyDescent="0.25">
      <c r="A511" t="s">
        <v>942</v>
      </c>
      <c r="B511" t="s">
        <v>940</v>
      </c>
    </row>
    <row r="512" spans="1:2" x14ac:dyDescent="0.25">
      <c r="A512" t="s">
        <v>943</v>
      </c>
      <c r="B512" t="s">
        <v>944</v>
      </c>
    </row>
    <row r="513" spans="1:2" x14ac:dyDescent="0.25">
      <c r="A513" t="s">
        <v>945</v>
      </c>
      <c r="B513" t="s">
        <v>946</v>
      </c>
    </row>
    <row r="514" spans="1:2" x14ac:dyDescent="0.25">
      <c r="A514" t="s">
        <v>947</v>
      </c>
      <c r="B514" t="s">
        <v>948</v>
      </c>
    </row>
    <row r="515" spans="1:2" x14ac:dyDescent="0.25">
      <c r="A515" t="s">
        <v>949</v>
      </c>
      <c r="B515" t="s">
        <v>950</v>
      </c>
    </row>
    <row r="516" spans="1:2" x14ac:dyDescent="0.25">
      <c r="A516" t="s">
        <v>951</v>
      </c>
      <c r="B516" t="s">
        <v>952</v>
      </c>
    </row>
    <row r="517" spans="1:2" x14ac:dyDescent="0.25">
      <c r="A517" t="s">
        <v>953</v>
      </c>
      <c r="B517" t="s">
        <v>954</v>
      </c>
    </row>
    <row r="518" spans="1:2" x14ac:dyDescent="0.25">
      <c r="A518" t="s">
        <v>955</v>
      </c>
      <c r="B518" t="s">
        <v>956</v>
      </c>
    </row>
    <row r="519" spans="1:2" x14ac:dyDescent="0.25">
      <c r="A519" t="s">
        <v>957</v>
      </c>
      <c r="B519" t="s">
        <v>958</v>
      </c>
    </row>
    <row r="520" spans="1:2" x14ac:dyDescent="0.25">
      <c r="A520" t="s">
        <v>959</v>
      </c>
      <c r="B520" t="s">
        <v>960</v>
      </c>
    </row>
    <row r="521" spans="1:2" x14ac:dyDescent="0.25">
      <c r="A521" t="s">
        <v>961</v>
      </c>
      <c r="B521" t="s">
        <v>962</v>
      </c>
    </row>
    <row r="522" spans="1:2" x14ac:dyDescent="0.25">
      <c r="A522" t="s">
        <v>963</v>
      </c>
      <c r="B522" t="s">
        <v>964</v>
      </c>
    </row>
    <row r="523" spans="1:2" x14ac:dyDescent="0.25">
      <c r="A523" t="s">
        <v>965</v>
      </c>
      <c r="B523" t="s">
        <v>966</v>
      </c>
    </row>
    <row r="524" spans="1:2" x14ac:dyDescent="0.25">
      <c r="A524" t="s">
        <v>967</v>
      </c>
      <c r="B524" t="s">
        <v>968</v>
      </c>
    </row>
    <row r="525" spans="1:2" x14ac:dyDescent="0.25">
      <c r="A525" t="s">
        <v>969</v>
      </c>
      <c r="B525" t="s">
        <v>970</v>
      </c>
    </row>
    <row r="526" spans="1:2" x14ac:dyDescent="0.25">
      <c r="A526" t="s">
        <v>971</v>
      </c>
      <c r="B526" t="s">
        <v>970</v>
      </c>
    </row>
    <row r="527" spans="1:2" x14ac:dyDescent="0.25">
      <c r="A527" t="s">
        <v>972</v>
      </c>
      <c r="B527" t="s">
        <v>970</v>
      </c>
    </row>
    <row r="528" spans="1:2" x14ac:dyDescent="0.25">
      <c r="A528" t="s">
        <v>973</v>
      </c>
      <c r="B528" t="s">
        <v>970</v>
      </c>
    </row>
    <row r="529" spans="1:2" x14ac:dyDescent="0.25">
      <c r="A529" t="s">
        <v>974</v>
      </c>
      <c r="B529" t="s">
        <v>970</v>
      </c>
    </row>
    <row r="530" spans="1:2" x14ac:dyDescent="0.25">
      <c r="A530" t="s">
        <v>975</v>
      </c>
      <c r="B530" t="s">
        <v>970</v>
      </c>
    </row>
    <row r="531" spans="1:2" x14ac:dyDescent="0.25">
      <c r="A531" t="s">
        <v>976</v>
      </c>
      <c r="B531" t="s">
        <v>977</v>
      </c>
    </row>
    <row r="532" spans="1:2" x14ac:dyDescent="0.25">
      <c r="A532" t="s">
        <v>978</v>
      </c>
      <c r="B532" t="s">
        <v>979</v>
      </c>
    </row>
    <row r="533" spans="1:2" x14ac:dyDescent="0.25">
      <c r="A533" t="s">
        <v>980</v>
      </c>
      <c r="B533" t="s">
        <v>981</v>
      </c>
    </row>
    <row r="534" spans="1:2" x14ac:dyDescent="0.25">
      <c r="A534" t="s">
        <v>982</v>
      </c>
      <c r="B534" t="s">
        <v>983</v>
      </c>
    </row>
    <row r="535" spans="1:2" x14ac:dyDescent="0.25">
      <c r="A535" t="s">
        <v>984</v>
      </c>
      <c r="B535" t="s">
        <v>985</v>
      </c>
    </row>
    <row r="536" spans="1:2" x14ac:dyDescent="0.25">
      <c r="A536" t="s">
        <v>986</v>
      </c>
      <c r="B536" t="s">
        <v>987</v>
      </c>
    </row>
    <row r="537" spans="1:2" x14ac:dyDescent="0.25">
      <c r="A537" t="s">
        <v>988</v>
      </c>
      <c r="B537" t="s">
        <v>989</v>
      </c>
    </row>
    <row r="538" spans="1:2" x14ac:dyDescent="0.25">
      <c r="A538" t="s">
        <v>990</v>
      </c>
      <c r="B538" t="s">
        <v>991</v>
      </c>
    </row>
    <row r="539" spans="1:2" x14ac:dyDescent="0.25">
      <c r="A539" t="s">
        <v>992</v>
      </c>
      <c r="B539" t="s">
        <v>993</v>
      </c>
    </row>
    <row r="540" spans="1:2" x14ac:dyDescent="0.25">
      <c r="A540" t="s">
        <v>994</v>
      </c>
      <c r="B540" t="s">
        <v>995</v>
      </c>
    </row>
    <row r="541" spans="1:2" x14ac:dyDescent="0.25">
      <c r="A541" t="s">
        <v>996</v>
      </c>
      <c r="B541" t="s">
        <v>997</v>
      </c>
    </row>
    <row r="542" spans="1:2" x14ac:dyDescent="0.25">
      <c r="A542" t="s">
        <v>998</v>
      </c>
      <c r="B542" t="s">
        <v>999</v>
      </c>
    </row>
    <row r="543" spans="1:2" x14ac:dyDescent="0.25">
      <c r="A543" t="s">
        <v>1000</v>
      </c>
      <c r="B543" t="s">
        <v>1001</v>
      </c>
    </row>
    <row r="544" spans="1:2" x14ac:dyDescent="0.25">
      <c r="A544" t="s">
        <v>1002</v>
      </c>
      <c r="B544" t="s">
        <v>1003</v>
      </c>
    </row>
    <row r="545" spans="1:2" x14ac:dyDescent="0.25">
      <c r="A545" t="s">
        <v>1004</v>
      </c>
      <c r="B545" t="s">
        <v>1005</v>
      </c>
    </row>
    <row r="546" spans="1:2" x14ac:dyDescent="0.25">
      <c r="A546" t="s">
        <v>1006</v>
      </c>
      <c r="B546" t="s">
        <v>1005</v>
      </c>
    </row>
    <row r="547" spans="1:2" x14ac:dyDescent="0.25">
      <c r="A547" t="s">
        <v>1007</v>
      </c>
      <c r="B547" t="s">
        <v>1005</v>
      </c>
    </row>
    <row r="548" spans="1:2" x14ac:dyDescent="0.25">
      <c r="A548" t="s">
        <v>1008</v>
      </c>
      <c r="B548" t="s">
        <v>1005</v>
      </c>
    </row>
    <row r="549" spans="1:2" x14ac:dyDescent="0.25">
      <c r="A549" t="s">
        <v>1009</v>
      </c>
      <c r="B549" t="s">
        <v>1010</v>
      </c>
    </row>
    <row r="550" spans="1:2" x14ac:dyDescent="0.25">
      <c r="A550" t="s">
        <v>1011</v>
      </c>
      <c r="B550" t="s">
        <v>1012</v>
      </c>
    </row>
    <row r="551" spans="1:2" x14ac:dyDescent="0.25">
      <c r="A551" t="s">
        <v>1013</v>
      </c>
      <c r="B551" t="s">
        <v>1014</v>
      </c>
    </row>
    <row r="552" spans="1:2" x14ac:dyDescent="0.25">
      <c r="A552" t="s">
        <v>1015</v>
      </c>
      <c r="B552" t="s">
        <v>1016</v>
      </c>
    </row>
    <row r="553" spans="1:2" x14ac:dyDescent="0.25">
      <c r="A553" t="s">
        <v>1017</v>
      </c>
      <c r="B553" t="s">
        <v>1018</v>
      </c>
    </row>
    <row r="554" spans="1:2" x14ac:dyDescent="0.25">
      <c r="A554" t="s">
        <v>1019</v>
      </c>
      <c r="B554" t="s">
        <v>1020</v>
      </c>
    </row>
    <row r="555" spans="1:2" x14ac:dyDescent="0.25">
      <c r="A555" t="s">
        <v>1021</v>
      </c>
      <c r="B555" t="s">
        <v>1022</v>
      </c>
    </row>
    <row r="556" spans="1:2" x14ac:dyDescent="0.25">
      <c r="A556" t="s">
        <v>1023</v>
      </c>
      <c r="B556" t="s">
        <v>1024</v>
      </c>
    </row>
    <row r="557" spans="1:2" x14ac:dyDescent="0.25">
      <c r="A557" t="s">
        <v>1025</v>
      </c>
      <c r="B557" t="s">
        <v>1026</v>
      </c>
    </row>
    <row r="558" spans="1:2" x14ac:dyDescent="0.25">
      <c r="A558" t="s">
        <v>1027</v>
      </c>
      <c r="B558" t="s">
        <v>1028</v>
      </c>
    </row>
    <row r="559" spans="1:2" x14ac:dyDescent="0.25">
      <c r="A559" t="s">
        <v>1029</v>
      </c>
      <c r="B559" t="s">
        <v>905</v>
      </c>
    </row>
    <row r="560" spans="1:2" x14ac:dyDescent="0.25">
      <c r="A560" t="s">
        <v>1030</v>
      </c>
      <c r="B560" t="s">
        <v>1031</v>
      </c>
    </row>
    <row r="561" spans="1:2" x14ac:dyDescent="0.25">
      <c r="A561" t="s">
        <v>1032</v>
      </c>
      <c r="B561" t="s">
        <v>1033</v>
      </c>
    </row>
    <row r="562" spans="1:2" x14ac:dyDescent="0.25">
      <c r="A562" t="s">
        <v>1034</v>
      </c>
      <c r="B562" t="s">
        <v>1035</v>
      </c>
    </row>
    <row r="563" spans="1:2" x14ac:dyDescent="0.25">
      <c r="A563" t="s">
        <v>1036</v>
      </c>
      <c r="B563" t="s">
        <v>1037</v>
      </c>
    </row>
    <row r="564" spans="1:2" x14ac:dyDescent="0.25">
      <c r="A564" t="s">
        <v>1038</v>
      </c>
      <c r="B564" t="s">
        <v>1039</v>
      </c>
    </row>
    <row r="565" spans="1:2" x14ac:dyDescent="0.25">
      <c r="A565" t="s">
        <v>1040</v>
      </c>
      <c r="B565" t="s">
        <v>1041</v>
      </c>
    </row>
    <row r="566" spans="1:2" x14ac:dyDescent="0.25">
      <c r="A566" t="s">
        <v>1042</v>
      </c>
      <c r="B566" t="s">
        <v>1043</v>
      </c>
    </row>
    <row r="567" spans="1:2" x14ac:dyDescent="0.25">
      <c r="A567" t="s">
        <v>1044</v>
      </c>
      <c r="B567" t="s">
        <v>1045</v>
      </c>
    </row>
    <row r="568" spans="1:2" x14ac:dyDescent="0.25">
      <c r="A568" t="s">
        <v>1046</v>
      </c>
      <c r="B568" t="s">
        <v>1047</v>
      </c>
    </row>
    <row r="569" spans="1:2" x14ac:dyDescent="0.25">
      <c r="A569" t="s">
        <v>1048</v>
      </c>
      <c r="B569" t="s">
        <v>1049</v>
      </c>
    </row>
    <row r="570" spans="1:2" x14ac:dyDescent="0.25">
      <c r="A570" t="s">
        <v>1050</v>
      </c>
      <c r="B570" t="s">
        <v>1051</v>
      </c>
    </row>
    <row r="571" spans="1:2" x14ac:dyDescent="0.25">
      <c r="A571" t="s">
        <v>1052</v>
      </c>
      <c r="B571" t="s">
        <v>1053</v>
      </c>
    </row>
    <row r="572" spans="1:2" x14ac:dyDescent="0.25">
      <c r="A572" t="s">
        <v>1054</v>
      </c>
      <c r="B572" t="s">
        <v>1055</v>
      </c>
    </row>
    <row r="573" spans="1:2" x14ac:dyDescent="0.25">
      <c r="A573" t="s">
        <v>1056</v>
      </c>
      <c r="B573" t="s">
        <v>1057</v>
      </c>
    </row>
    <row r="574" spans="1:2" x14ac:dyDescent="0.25">
      <c r="A574" t="s">
        <v>1058</v>
      </c>
      <c r="B574" t="s">
        <v>1059</v>
      </c>
    </row>
    <row r="575" spans="1:2" x14ac:dyDescent="0.25">
      <c r="A575" t="s">
        <v>1060</v>
      </c>
      <c r="B575" t="s">
        <v>1061</v>
      </c>
    </row>
    <row r="576" spans="1:2" x14ac:dyDescent="0.25">
      <c r="A576" t="s">
        <v>1062</v>
      </c>
      <c r="B576" t="s">
        <v>1063</v>
      </c>
    </row>
    <row r="577" spans="1:2" x14ac:dyDescent="0.25">
      <c r="A577" t="s">
        <v>1064</v>
      </c>
      <c r="B577" t="s">
        <v>1065</v>
      </c>
    </row>
    <row r="578" spans="1:2" x14ac:dyDescent="0.25">
      <c r="A578" t="s">
        <v>1066</v>
      </c>
      <c r="B578" t="s">
        <v>1067</v>
      </c>
    </row>
    <row r="579" spans="1:2" x14ac:dyDescent="0.25">
      <c r="A579" t="s">
        <v>1068</v>
      </c>
      <c r="B579" t="s">
        <v>1067</v>
      </c>
    </row>
    <row r="580" spans="1:2" x14ac:dyDescent="0.25">
      <c r="A580" t="s">
        <v>1069</v>
      </c>
      <c r="B580" t="s">
        <v>1070</v>
      </c>
    </row>
    <row r="581" spans="1:2" x14ac:dyDescent="0.25">
      <c r="A581" t="s">
        <v>1071</v>
      </c>
      <c r="B581" t="s">
        <v>1072</v>
      </c>
    </row>
    <row r="582" spans="1:2" x14ac:dyDescent="0.25">
      <c r="A582" t="s">
        <v>1073</v>
      </c>
      <c r="B582" t="s">
        <v>1074</v>
      </c>
    </row>
    <row r="583" spans="1:2" x14ac:dyDescent="0.25">
      <c r="A583" t="s">
        <v>1075</v>
      </c>
      <c r="B583" t="s">
        <v>1074</v>
      </c>
    </row>
    <row r="584" spans="1:2" x14ac:dyDescent="0.25">
      <c r="A584" t="s">
        <v>1076</v>
      </c>
      <c r="B584" t="s">
        <v>1074</v>
      </c>
    </row>
    <row r="585" spans="1:2" x14ac:dyDescent="0.25">
      <c r="A585" t="s">
        <v>1077</v>
      </c>
      <c r="B585" t="s">
        <v>1074</v>
      </c>
    </row>
    <row r="586" spans="1:2" x14ac:dyDescent="0.25">
      <c r="A586" t="s">
        <v>1078</v>
      </c>
      <c r="B586" t="s">
        <v>1079</v>
      </c>
    </row>
    <row r="587" spans="1:2" x14ac:dyDescent="0.25">
      <c r="A587" t="s">
        <v>1080</v>
      </c>
      <c r="B587" t="s">
        <v>1081</v>
      </c>
    </row>
    <row r="588" spans="1:2" x14ac:dyDescent="0.25">
      <c r="A588" t="s">
        <v>1082</v>
      </c>
      <c r="B588" t="s">
        <v>1081</v>
      </c>
    </row>
    <row r="589" spans="1:2" x14ac:dyDescent="0.25">
      <c r="A589" t="s">
        <v>1083</v>
      </c>
      <c r="B589" t="s">
        <v>1081</v>
      </c>
    </row>
    <row r="590" spans="1:2" x14ac:dyDescent="0.25">
      <c r="A590" t="s">
        <v>1084</v>
      </c>
      <c r="B590" t="s">
        <v>1081</v>
      </c>
    </row>
    <row r="591" spans="1:2" x14ac:dyDescent="0.25">
      <c r="A591" t="s">
        <v>1085</v>
      </c>
      <c r="B591" t="s">
        <v>1086</v>
      </c>
    </row>
    <row r="592" spans="1:2" x14ac:dyDescent="0.25">
      <c r="A592" t="s">
        <v>1087</v>
      </c>
      <c r="B592" t="s">
        <v>1088</v>
      </c>
    </row>
    <row r="593" spans="1:2" x14ac:dyDescent="0.25">
      <c r="A593" t="s">
        <v>1089</v>
      </c>
      <c r="B593" t="s">
        <v>1090</v>
      </c>
    </row>
    <row r="594" spans="1:2" x14ac:dyDescent="0.25">
      <c r="A594" t="s">
        <v>1091</v>
      </c>
      <c r="B594" t="s">
        <v>1092</v>
      </c>
    </row>
    <row r="595" spans="1:2" x14ac:dyDescent="0.25">
      <c r="A595" t="s">
        <v>1093</v>
      </c>
      <c r="B595" t="s">
        <v>1094</v>
      </c>
    </row>
    <row r="596" spans="1:2" x14ac:dyDescent="0.25">
      <c r="A596" t="s">
        <v>1095</v>
      </c>
      <c r="B596" t="s">
        <v>1096</v>
      </c>
    </row>
    <row r="597" spans="1:2" x14ac:dyDescent="0.25">
      <c r="A597" t="s">
        <v>1097</v>
      </c>
      <c r="B597" t="s">
        <v>1096</v>
      </c>
    </row>
    <row r="598" spans="1:2" x14ac:dyDescent="0.25">
      <c r="A598" t="s">
        <v>1098</v>
      </c>
      <c r="B598" t="s">
        <v>1096</v>
      </c>
    </row>
    <row r="599" spans="1:2" x14ac:dyDescent="0.25">
      <c r="A599" t="s">
        <v>1099</v>
      </c>
      <c r="B599" t="s">
        <v>1096</v>
      </c>
    </row>
    <row r="600" spans="1:2" x14ac:dyDescent="0.25">
      <c r="A600" t="s">
        <v>1100</v>
      </c>
      <c r="B600" t="s">
        <v>1096</v>
      </c>
    </row>
    <row r="601" spans="1:2" x14ac:dyDescent="0.25">
      <c r="A601" t="s">
        <v>1101</v>
      </c>
      <c r="B601" t="s">
        <v>1102</v>
      </c>
    </row>
    <row r="602" spans="1:2" x14ac:dyDescent="0.25">
      <c r="A602" t="s">
        <v>1103</v>
      </c>
      <c r="B602" t="s">
        <v>1104</v>
      </c>
    </row>
    <row r="603" spans="1:2" x14ac:dyDescent="0.25">
      <c r="A603" t="s">
        <v>1105</v>
      </c>
      <c r="B603" t="s">
        <v>1106</v>
      </c>
    </row>
    <row r="604" spans="1:2" x14ac:dyDescent="0.25">
      <c r="A604" t="s">
        <v>1107</v>
      </c>
      <c r="B604" t="s">
        <v>1108</v>
      </c>
    </row>
    <row r="605" spans="1:2" x14ac:dyDescent="0.25">
      <c r="A605" t="s">
        <v>1109</v>
      </c>
      <c r="B605" t="s">
        <v>1108</v>
      </c>
    </row>
    <row r="606" spans="1:2" x14ac:dyDescent="0.25">
      <c r="A606" t="s">
        <v>1110</v>
      </c>
      <c r="B606" t="s">
        <v>1108</v>
      </c>
    </row>
    <row r="607" spans="1:2" x14ac:dyDescent="0.25">
      <c r="A607" t="s">
        <v>1111</v>
      </c>
      <c r="B607" t="s">
        <v>1108</v>
      </c>
    </row>
    <row r="608" spans="1:2" x14ac:dyDescent="0.25">
      <c r="A608" t="s">
        <v>1112</v>
      </c>
      <c r="B608" t="s">
        <v>1108</v>
      </c>
    </row>
    <row r="609" spans="1:2" x14ac:dyDescent="0.25">
      <c r="A609" t="s">
        <v>1113</v>
      </c>
      <c r="B609" t="s">
        <v>1114</v>
      </c>
    </row>
    <row r="610" spans="1:2" x14ac:dyDescent="0.25">
      <c r="A610" t="s">
        <v>1115</v>
      </c>
      <c r="B610" t="s">
        <v>1116</v>
      </c>
    </row>
    <row r="611" spans="1:2" x14ac:dyDescent="0.25">
      <c r="A611" t="s">
        <v>1117</v>
      </c>
      <c r="B611" t="s">
        <v>1092</v>
      </c>
    </row>
    <row r="612" spans="1:2" x14ac:dyDescent="0.25">
      <c r="A612" t="s">
        <v>1118</v>
      </c>
      <c r="B612" t="s">
        <v>1119</v>
      </c>
    </row>
    <row r="613" spans="1:2" x14ac:dyDescent="0.25">
      <c r="A613" t="s">
        <v>1120</v>
      </c>
      <c r="B613" t="s">
        <v>1121</v>
      </c>
    </row>
    <row r="614" spans="1:2" x14ac:dyDescent="0.25">
      <c r="A614" t="s">
        <v>1122</v>
      </c>
      <c r="B614" t="s">
        <v>1121</v>
      </c>
    </row>
    <row r="615" spans="1:2" x14ac:dyDescent="0.25">
      <c r="A615" t="s">
        <v>1123</v>
      </c>
      <c r="B615" t="s">
        <v>1121</v>
      </c>
    </row>
    <row r="616" spans="1:2" x14ac:dyDescent="0.25">
      <c r="A616" t="s">
        <v>1124</v>
      </c>
      <c r="B616" t="s">
        <v>1121</v>
      </c>
    </row>
    <row r="617" spans="1:2" x14ac:dyDescent="0.25">
      <c r="A617" t="s">
        <v>1125</v>
      </c>
      <c r="B617" t="s">
        <v>1126</v>
      </c>
    </row>
    <row r="618" spans="1:2" x14ac:dyDescent="0.25">
      <c r="A618" t="s">
        <v>1127</v>
      </c>
      <c r="B618" t="s">
        <v>1128</v>
      </c>
    </row>
    <row r="619" spans="1:2" x14ac:dyDescent="0.25">
      <c r="A619" t="s">
        <v>1129</v>
      </c>
      <c r="B619" t="s">
        <v>1130</v>
      </c>
    </row>
    <row r="620" spans="1:2" x14ac:dyDescent="0.25">
      <c r="A620" t="s">
        <v>1131</v>
      </c>
      <c r="B620" t="s">
        <v>1132</v>
      </c>
    </row>
    <row r="621" spans="1:2" x14ac:dyDescent="0.25">
      <c r="A621" t="s">
        <v>1133</v>
      </c>
      <c r="B621" t="s">
        <v>1134</v>
      </c>
    </row>
    <row r="622" spans="1:2" x14ac:dyDescent="0.25">
      <c r="A622" t="s">
        <v>1135</v>
      </c>
      <c r="B622" t="s">
        <v>1136</v>
      </c>
    </row>
    <row r="623" spans="1:2" x14ac:dyDescent="0.25">
      <c r="A623" t="s">
        <v>1137</v>
      </c>
      <c r="B623" t="s">
        <v>1138</v>
      </c>
    </row>
    <row r="624" spans="1:2" x14ac:dyDescent="0.25">
      <c r="A624" t="s">
        <v>1139</v>
      </c>
      <c r="B624" t="s">
        <v>1140</v>
      </c>
    </row>
    <row r="625" spans="1:2" x14ac:dyDescent="0.25">
      <c r="A625" t="s">
        <v>1141</v>
      </c>
      <c r="B625" t="s">
        <v>1142</v>
      </c>
    </row>
    <row r="626" spans="1:2" x14ac:dyDescent="0.25">
      <c r="A626" t="s">
        <v>1143</v>
      </c>
      <c r="B626" t="s">
        <v>1144</v>
      </c>
    </row>
    <row r="627" spans="1:2" x14ac:dyDescent="0.25">
      <c r="A627" t="s">
        <v>1145</v>
      </c>
      <c r="B627" t="s">
        <v>1146</v>
      </c>
    </row>
    <row r="628" spans="1:2" x14ac:dyDescent="0.25">
      <c r="A628" t="s">
        <v>1147</v>
      </c>
      <c r="B628" t="s">
        <v>1148</v>
      </c>
    </row>
    <row r="629" spans="1:2" x14ac:dyDescent="0.25">
      <c r="A629" t="s">
        <v>1149</v>
      </c>
      <c r="B629" t="s">
        <v>1150</v>
      </c>
    </row>
    <row r="630" spans="1:2" x14ac:dyDescent="0.25">
      <c r="A630" t="s">
        <v>1151</v>
      </c>
      <c r="B630" t="s">
        <v>1152</v>
      </c>
    </row>
    <row r="631" spans="1:2" x14ac:dyDescent="0.25">
      <c r="A631" t="s">
        <v>1153</v>
      </c>
      <c r="B631" t="s">
        <v>1154</v>
      </c>
    </row>
    <row r="632" spans="1:2" x14ac:dyDescent="0.25">
      <c r="A632" t="s">
        <v>1155</v>
      </c>
      <c r="B632" t="s">
        <v>1156</v>
      </c>
    </row>
    <row r="633" spans="1:2" x14ac:dyDescent="0.25">
      <c r="A633" t="s">
        <v>1157</v>
      </c>
      <c r="B633" t="s">
        <v>1158</v>
      </c>
    </row>
    <row r="634" spans="1:2" x14ac:dyDescent="0.25">
      <c r="A634" t="s">
        <v>1159</v>
      </c>
      <c r="B634" t="s">
        <v>1160</v>
      </c>
    </row>
    <row r="635" spans="1:2" x14ac:dyDescent="0.25">
      <c r="A635" t="s">
        <v>1161</v>
      </c>
      <c r="B635" t="s">
        <v>1162</v>
      </c>
    </row>
    <row r="636" spans="1:2" x14ac:dyDescent="0.25">
      <c r="A636" t="s">
        <v>1163</v>
      </c>
      <c r="B636" t="s">
        <v>1164</v>
      </c>
    </row>
    <row r="637" spans="1:2" x14ac:dyDescent="0.25">
      <c r="A637" t="s">
        <v>1165</v>
      </c>
      <c r="B637" t="s">
        <v>1166</v>
      </c>
    </row>
    <row r="638" spans="1:2" x14ac:dyDescent="0.25">
      <c r="A638" t="s">
        <v>1167</v>
      </c>
      <c r="B638" t="s">
        <v>1168</v>
      </c>
    </row>
    <row r="639" spans="1:2" x14ac:dyDescent="0.25">
      <c r="A639" t="s">
        <v>1169</v>
      </c>
      <c r="B639" t="s">
        <v>1170</v>
      </c>
    </row>
    <row r="640" spans="1:2" x14ac:dyDescent="0.25">
      <c r="A640" t="s">
        <v>1171</v>
      </c>
      <c r="B640" t="s">
        <v>1172</v>
      </c>
    </row>
    <row r="641" spans="1:2" x14ac:dyDescent="0.25">
      <c r="A641" t="s">
        <v>1173</v>
      </c>
      <c r="B641" t="s">
        <v>1174</v>
      </c>
    </row>
    <row r="642" spans="1:2" x14ac:dyDescent="0.25">
      <c r="A642" t="s">
        <v>1175</v>
      </c>
      <c r="B642" t="s">
        <v>1176</v>
      </c>
    </row>
    <row r="643" spans="1:2" x14ac:dyDescent="0.25">
      <c r="A643" t="s">
        <v>1177</v>
      </c>
      <c r="B643" t="s">
        <v>1178</v>
      </c>
    </row>
    <row r="644" spans="1:2" x14ac:dyDescent="0.25">
      <c r="A644" t="s">
        <v>1179</v>
      </c>
      <c r="B644" t="s">
        <v>1178</v>
      </c>
    </row>
    <row r="645" spans="1:2" x14ac:dyDescent="0.25">
      <c r="A645" t="s">
        <v>1180</v>
      </c>
      <c r="B645" t="s">
        <v>1178</v>
      </c>
    </row>
    <row r="646" spans="1:2" x14ac:dyDescent="0.25">
      <c r="A646" t="s">
        <v>1181</v>
      </c>
      <c r="B646" t="s">
        <v>1178</v>
      </c>
    </row>
    <row r="647" spans="1:2" x14ac:dyDescent="0.25">
      <c r="A647" t="s">
        <v>1182</v>
      </c>
      <c r="B647" t="s">
        <v>1144</v>
      </c>
    </row>
    <row r="648" spans="1:2" x14ac:dyDescent="0.25">
      <c r="A648" t="s">
        <v>1183</v>
      </c>
      <c r="B648" t="s">
        <v>1184</v>
      </c>
    </row>
    <row r="649" spans="1:2" x14ac:dyDescent="0.25">
      <c r="A649" t="s">
        <v>1185</v>
      </c>
      <c r="B649" t="s">
        <v>1186</v>
      </c>
    </row>
    <row r="650" spans="1:2" x14ac:dyDescent="0.25">
      <c r="A650" t="s">
        <v>1187</v>
      </c>
      <c r="B650" t="s">
        <v>1188</v>
      </c>
    </row>
    <row r="651" spans="1:2" x14ac:dyDescent="0.25">
      <c r="A651" t="s">
        <v>1189</v>
      </c>
      <c r="B651" t="s">
        <v>1190</v>
      </c>
    </row>
    <row r="652" spans="1:2" x14ac:dyDescent="0.25">
      <c r="A652" t="s">
        <v>1191</v>
      </c>
      <c r="B652" t="s">
        <v>1192</v>
      </c>
    </row>
    <row r="653" spans="1:2" x14ac:dyDescent="0.25">
      <c r="A653" t="s">
        <v>1193</v>
      </c>
      <c r="B653" t="s">
        <v>1194</v>
      </c>
    </row>
    <row r="654" spans="1:2" x14ac:dyDescent="0.25">
      <c r="A654" t="s">
        <v>1195</v>
      </c>
      <c r="B654" t="s">
        <v>1196</v>
      </c>
    </row>
    <row r="655" spans="1:2" x14ac:dyDescent="0.25">
      <c r="A655" t="s">
        <v>1197</v>
      </c>
      <c r="B655" t="s">
        <v>1198</v>
      </c>
    </row>
    <row r="656" spans="1:2" x14ac:dyDescent="0.25">
      <c r="A656" t="s">
        <v>1199</v>
      </c>
      <c r="B656" t="s">
        <v>1200</v>
      </c>
    </row>
    <row r="657" spans="1:2" x14ac:dyDescent="0.25">
      <c r="A657" t="s">
        <v>1201</v>
      </c>
      <c r="B657" t="s">
        <v>1202</v>
      </c>
    </row>
    <row r="658" spans="1:2" x14ac:dyDescent="0.25">
      <c r="A658" t="s">
        <v>1203</v>
      </c>
      <c r="B658" t="s">
        <v>1204</v>
      </c>
    </row>
    <row r="659" spans="1:2" x14ac:dyDescent="0.25">
      <c r="A659" t="s">
        <v>1205</v>
      </c>
      <c r="B659" t="s">
        <v>1206</v>
      </c>
    </row>
    <row r="660" spans="1:2" x14ac:dyDescent="0.25">
      <c r="A660" t="s">
        <v>1207</v>
      </c>
      <c r="B660" t="s">
        <v>1208</v>
      </c>
    </row>
    <row r="661" spans="1:2" x14ac:dyDescent="0.25">
      <c r="A661" t="s">
        <v>1209</v>
      </c>
      <c r="B661" t="s">
        <v>1210</v>
      </c>
    </row>
    <row r="662" spans="1:2" x14ac:dyDescent="0.25">
      <c r="A662" t="s">
        <v>1211</v>
      </c>
      <c r="B662" t="s">
        <v>1212</v>
      </c>
    </row>
    <row r="663" spans="1:2" x14ac:dyDescent="0.25">
      <c r="A663" t="s">
        <v>1213</v>
      </c>
      <c r="B663" t="s">
        <v>1214</v>
      </c>
    </row>
    <row r="664" spans="1:2" x14ac:dyDescent="0.25">
      <c r="A664" t="s">
        <v>1215</v>
      </c>
      <c r="B664" t="s">
        <v>1216</v>
      </c>
    </row>
    <row r="665" spans="1:2" x14ac:dyDescent="0.25">
      <c r="A665" t="s">
        <v>1217</v>
      </c>
      <c r="B665" t="s">
        <v>1218</v>
      </c>
    </row>
    <row r="666" spans="1:2" x14ac:dyDescent="0.25">
      <c r="A666" t="s">
        <v>1219</v>
      </c>
      <c r="B666" t="s">
        <v>1220</v>
      </c>
    </row>
    <row r="667" spans="1:2" x14ac:dyDescent="0.25">
      <c r="A667" t="s">
        <v>1221</v>
      </c>
      <c r="B667" t="s">
        <v>1222</v>
      </c>
    </row>
    <row r="668" spans="1:2" x14ac:dyDescent="0.25">
      <c r="A668" t="s">
        <v>1223</v>
      </c>
      <c r="B668" t="s">
        <v>1224</v>
      </c>
    </row>
    <row r="669" spans="1:2" x14ac:dyDescent="0.25">
      <c r="A669" t="s">
        <v>1225</v>
      </c>
      <c r="B669" t="s">
        <v>1226</v>
      </c>
    </row>
    <row r="670" spans="1:2" x14ac:dyDescent="0.25">
      <c r="A670" t="s">
        <v>1227</v>
      </c>
      <c r="B670" t="s">
        <v>1160</v>
      </c>
    </row>
    <row r="671" spans="1:2" x14ac:dyDescent="0.25">
      <c r="A671" t="s">
        <v>1228</v>
      </c>
      <c r="B671" t="s">
        <v>1229</v>
      </c>
    </row>
    <row r="672" spans="1:2" x14ac:dyDescent="0.25">
      <c r="A672" t="s">
        <v>1230</v>
      </c>
      <c r="B672" t="s">
        <v>1231</v>
      </c>
    </row>
    <row r="673" spans="1:2" x14ac:dyDescent="0.25">
      <c r="A673" t="s">
        <v>1232</v>
      </c>
      <c r="B673" t="s">
        <v>1233</v>
      </c>
    </row>
    <row r="674" spans="1:2" x14ac:dyDescent="0.25">
      <c r="A674" t="s">
        <v>1234</v>
      </c>
      <c r="B674" t="s">
        <v>1235</v>
      </c>
    </row>
    <row r="675" spans="1:2" x14ac:dyDescent="0.25">
      <c r="A675" t="s">
        <v>1236</v>
      </c>
      <c r="B675" t="s">
        <v>1237</v>
      </c>
    </row>
    <row r="676" spans="1:2" x14ac:dyDescent="0.25">
      <c r="A676" t="s">
        <v>1238</v>
      </c>
      <c r="B676" t="s">
        <v>1239</v>
      </c>
    </row>
    <row r="677" spans="1:2" x14ac:dyDescent="0.25">
      <c r="A677" t="s">
        <v>1240</v>
      </c>
      <c r="B677" t="s">
        <v>1241</v>
      </c>
    </row>
    <row r="678" spans="1:2" x14ac:dyDescent="0.25">
      <c r="A678" t="s">
        <v>1242</v>
      </c>
      <c r="B678" t="s">
        <v>1243</v>
      </c>
    </row>
    <row r="679" spans="1:2" x14ac:dyDescent="0.25">
      <c r="A679" t="s">
        <v>1244</v>
      </c>
      <c r="B679" t="s">
        <v>1245</v>
      </c>
    </row>
    <row r="680" spans="1:2" x14ac:dyDescent="0.25">
      <c r="A680" t="s">
        <v>1246</v>
      </c>
      <c r="B680" t="s">
        <v>1247</v>
      </c>
    </row>
    <row r="681" spans="1:2" x14ac:dyDescent="0.25">
      <c r="A681" t="s">
        <v>1248</v>
      </c>
      <c r="B681" t="s">
        <v>1146</v>
      </c>
    </row>
    <row r="682" spans="1:2" x14ac:dyDescent="0.25">
      <c r="A682" t="s">
        <v>1249</v>
      </c>
      <c r="B682" t="s">
        <v>1250</v>
      </c>
    </row>
    <row r="683" spans="1:2" x14ac:dyDescent="0.25">
      <c r="A683" t="s">
        <v>1251</v>
      </c>
      <c r="B683" t="s">
        <v>1252</v>
      </c>
    </row>
    <row r="684" spans="1:2" x14ac:dyDescent="0.25">
      <c r="A684" t="s">
        <v>1253</v>
      </c>
      <c r="B684" t="s">
        <v>1254</v>
      </c>
    </row>
    <row r="685" spans="1:2" x14ac:dyDescent="0.25">
      <c r="A685" t="s">
        <v>1255</v>
      </c>
      <c r="B685" t="s">
        <v>1256</v>
      </c>
    </row>
    <row r="686" spans="1:2" x14ac:dyDescent="0.25">
      <c r="A686" t="s">
        <v>1257</v>
      </c>
      <c r="B686" t="s">
        <v>1258</v>
      </c>
    </row>
    <row r="687" spans="1:2" x14ac:dyDescent="0.25">
      <c r="A687" t="s">
        <v>1259</v>
      </c>
      <c r="B687" t="s">
        <v>1260</v>
      </c>
    </row>
    <row r="688" spans="1:2" x14ac:dyDescent="0.25">
      <c r="A688" t="s">
        <v>1261</v>
      </c>
      <c r="B688" t="s">
        <v>1262</v>
      </c>
    </row>
    <row r="689" spans="1:2" x14ac:dyDescent="0.25">
      <c r="A689" t="s">
        <v>1263</v>
      </c>
      <c r="B689" t="s">
        <v>1264</v>
      </c>
    </row>
    <row r="690" spans="1:2" x14ac:dyDescent="0.25">
      <c r="A690" t="s">
        <v>1265</v>
      </c>
      <c r="B690" t="s">
        <v>1266</v>
      </c>
    </row>
    <row r="691" spans="1:2" x14ac:dyDescent="0.25">
      <c r="A691" t="s">
        <v>1267</v>
      </c>
      <c r="B691" t="s">
        <v>1268</v>
      </c>
    </row>
    <row r="692" spans="1:2" x14ac:dyDescent="0.25">
      <c r="A692" t="s">
        <v>1269</v>
      </c>
      <c r="B692" t="s">
        <v>1270</v>
      </c>
    </row>
    <row r="693" spans="1:2" x14ac:dyDescent="0.25">
      <c r="A693" t="s">
        <v>1271</v>
      </c>
      <c r="B693" t="s">
        <v>1272</v>
      </c>
    </row>
    <row r="694" spans="1:2" x14ac:dyDescent="0.25">
      <c r="A694" t="s">
        <v>1273</v>
      </c>
      <c r="B694" t="s">
        <v>1274</v>
      </c>
    </row>
    <row r="695" spans="1:2" x14ac:dyDescent="0.25">
      <c r="A695" t="s">
        <v>1275</v>
      </c>
      <c r="B695" t="s">
        <v>1276</v>
      </c>
    </row>
    <row r="696" spans="1:2" x14ac:dyDescent="0.25">
      <c r="A696" t="s">
        <v>1277</v>
      </c>
      <c r="B696" t="s">
        <v>1278</v>
      </c>
    </row>
    <row r="697" spans="1:2" x14ac:dyDescent="0.25">
      <c r="A697" t="s">
        <v>1279</v>
      </c>
      <c r="B697" t="s">
        <v>1280</v>
      </c>
    </row>
    <row r="698" spans="1:2" x14ac:dyDescent="0.25">
      <c r="A698" t="s">
        <v>1281</v>
      </c>
      <c r="B698" t="s">
        <v>1282</v>
      </c>
    </row>
    <row r="699" spans="1:2" x14ac:dyDescent="0.25">
      <c r="A699" t="s">
        <v>1283</v>
      </c>
      <c r="B699" t="s">
        <v>1284</v>
      </c>
    </row>
    <row r="700" spans="1:2" x14ac:dyDescent="0.25">
      <c r="A700" t="s">
        <v>1285</v>
      </c>
      <c r="B700" t="s">
        <v>1286</v>
      </c>
    </row>
    <row r="701" spans="1:2" x14ac:dyDescent="0.25">
      <c r="A701" t="s">
        <v>1287</v>
      </c>
      <c r="B701" t="s">
        <v>1288</v>
      </c>
    </row>
    <row r="702" spans="1:2" x14ac:dyDescent="0.25">
      <c r="A702" t="s">
        <v>1289</v>
      </c>
      <c r="B702" t="s">
        <v>1290</v>
      </c>
    </row>
    <row r="703" spans="1:2" x14ac:dyDescent="0.25">
      <c r="A703" t="s">
        <v>1291</v>
      </c>
      <c r="B703" t="s">
        <v>1292</v>
      </c>
    </row>
    <row r="704" spans="1:2" x14ac:dyDescent="0.25">
      <c r="A704" t="s">
        <v>1293</v>
      </c>
      <c r="B704" t="s">
        <v>1294</v>
      </c>
    </row>
    <row r="705" spans="1:2" x14ac:dyDescent="0.25">
      <c r="A705" t="s">
        <v>1295</v>
      </c>
      <c r="B705" t="s">
        <v>1296</v>
      </c>
    </row>
    <row r="706" spans="1:2" x14ac:dyDescent="0.25">
      <c r="A706" t="s">
        <v>1297</v>
      </c>
      <c r="B706" t="s">
        <v>1298</v>
      </c>
    </row>
    <row r="707" spans="1:2" x14ac:dyDescent="0.25">
      <c r="A707" t="s">
        <v>1299</v>
      </c>
      <c r="B707" t="s">
        <v>1300</v>
      </c>
    </row>
    <row r="708" spans="1:2" x14ac:dyDescent="0.25">
      <c r="A708" t="s">
        <v>1301</v>
      </c>
      <c r="B708" t="s">
        <v>1302</v>
      </c>
    </row>
    <row r="709" spans="1:2" x14ac:dyDescent="0.25">
      <c r="A709" t="s">
        <v>1303</v>
      </c>
      <c r="B709" t="s">
        <v>1304</v>
      </c>
    </row>
    <row r="710" spans="1:2" x14ac:dyDescent="0.25">
      <c r="A710" t="s">
        <v>1305</v>
      </c>
      <c r="B710" t="s">
        <v>1306</v>
      </c>
    </row>
    <row r="711" spans="1:2" x14ac:dyDescent="0.25">
      <c r="A711" t="s">
        <v>1307</v>
      </c>
      <c r="B711" t="s">
        <v>1308</v>
      </c>
    </row>
    <row r="712" spans="1:2" x14ac:dyDescent="0.25">
      <c r="A712" t="s">
        <v>1309</v>
      </c>
      <c r="B712" t="s">
        <v>1310</v>
      </c>
    </row>
    <row r="713" spans="1:2" x14ac:dyDescent="0.25">
      <c r="A713" t="s">
        <v>1311</v>
      </c>
      <c r="B713" t="s">
        <v>1312</v>
      </c>
    </row>
    <row r="714" spans="1:2" x14ac:dyDescent="0.25">
      <c r="A714" t="s">
        <v>1313</v>
      </c>
      <c r="B714" t="s">
        <v>1314</v>
      </c>
    </row>
    <row r="715" spans="1:2" x14ac:dyDescent="0.25">
      <c r="A715" t="s">
        <v>1315</v>
      </c>
      <c r="B715" t="s">
        <v>1316</v>
      </c>
    </row>
    <row r="716" spans="1:2" x14ac:dyDescent="0.25">
      <c r="A716" t="s">
        <v>1317</v>
      </c>
      <c r="B716" t="s">
        <v>1318</v>
      </c>
    </row>
    <row r="717" spans="1:2" x14ac:dyDescent="0.25">
      <c r="A717" t="s">
        <v>1319</v>
      </c>
      <c r="B717" t="s">
        <v>1320</v>
      </c>
    </row>
    <row r="718" spans="1:2" x14ac:dyDescent="0.25">
      <c r="A718" t="s">
        <v>1321</v>
      </c>
      <c r="B718" t="s">
        <v>1322</v>
      </c>
    </row>
    <row r="719" spans="1:2" x14ac:dyDescent="0.25">
      <c r="A719" t="s">
        <v>1323</v>
      </c>
      <c r="B719" t="s">
        <v>1324</v>
      </c>
    </row>
    <row r="720" spans="1:2" x14ac:dyDescent="0.25">
      <c r="A720" t="s">
        <v>1325</v>
      </c>
      <c r="B720" t="s">
        <v>1138</v>
      </c>
    </row>
    <row r="721" spans="1:2" x14ac:dyDescent="0.25">
      <c r="A721" t="s">
        <v>1326</v>
      </c>
      <c r="B721" t="s">
        <v>1327</v>
      </c>
    </row>
    <row r="722" spans="1:2" x14ac:dyDescent="0.25">
      <c r="A722" t="s">
        <v>1328</v>
      </c>
      <c r="B722" t="s">
        <v>1138</v>
      </c>
    </row>
    <row r="723" spans="1:2" x14ac:dyDescent="0.25">
      <c r="A723" t="s">
        <v>1329</v>
      </c>
      <c r="B723" t="s">
        <v>1327</v>
      </c>
    </row>
    <row r="724" spans="1:2" x14ac:dyDescent="0.25">
      <c r="A724" t="s">
        <v>1330</v>
      </c>
      <c r="B724" t="s">
        <v>1331</v>
      </c>
    </row>
    <row r="725" spans="1:2" x14ac:dyDescent="0.25">
      <c r="A725" t="s">
        <v>1332</v>
      </c>
      <c r="B725" t="s">
        <v>1333</v>
      </c>
    </row>
    <row r="726" spans="1:2" x14ac:dyDescent="0.25">
      <c r="A726" t="s">
        <v>1334</v>
      </c>
      <c r="B726" t="s">
        <v>747</v>
      </c>
    </row>
    <row r="727" spans="1:2" x14ac:dyDescent="0.25">
      <c r="A727" t="s">
        <v>1335</v>
      </c>
      <c r="B727" t="s">
        <v>747</v>
      </c>
    </row>
    <row r="728" spans="1:2" x14ac:dyDescent="0.25">
      <c r="A728" t="s">
        <v>1336</v>
      </c>
      <c r="B728" t="s">
        <v>751</v>
      </c>
    </row>
    <row r="729" spans="1:2" x14ac:dyDescent="0.25">
      <c r="A729" t="s">
        <v>1337</v>
      </c>
      <c r="B729" t="s">
        <v>1338</v>
      </c>
    </row>
    <row r="730" spans="1:2" x14ac:dyDescent="0.25">
      <c r="A730" t="s">
        <v>1339</v>
      </c>
      <c r="B730" t="s">
        <v>755</v>
      </c>
    </row>
    <row r="731" spans="1:2" x14ac:dyDescent="0.25">
      <c r="A731" t="s">
        <v>1340</v>
      </c>
      <c r="B731" t="s">
        <v>757</v>
      </c>
    </row>
    <row r="732" spans="1:2" x14ac:dyDescent="0.25">
      <c r="A732" t="s">
        <v>1341</v>
      </c>
      <c r="B732" t="s">
        <v>759</v>
      </c>
    </row>
    <row r="733" spans="1:2" x14ac:dyDescent="0.25">
      <c r="A733" t="s">
        <v>1342</v>
      </c>
      <c r="B733" t="s">
        <v>761</v>
      </c>
    </row>
    <row r="734" spans="1:2" x14ac:dyDescent="0.25">
      <c r="A734" t="s">
        <v>1343</v>
      </c>
      <c r="B734" t="s">
        <v>776</v>
      </c>
    </row>
    <row r="735" spans="1:2" x14ac:dyDescent="0.25">
      <c r="A735" t="s">
        <v>1344</v>
      </c>
      <c r="B735" t="s">
        <v>1345</v>
      </c>
    </row>
    <row r="736" spans="1:2" x14ac:dyDescent="0.25">
      <c r="A736" t="s">
        <v>1346</v>
      </c>
      <c r="B736" t="s">
        <v>1347</v>
      </c>
    </row>
    <row r="737" spans="1:2" x14ac:dyDescent="0.25">
      <c r="A737" t="s">
        <v>1348</v>
      </c>
      <c r="B737" t="s">
        <v>1349</v>
      </c>
    </row>
    <row r="738" spans="1:2" x14ac:dyDescent="0.25">
      <c r="A738" t="s">
        <v>1350</v>
      </c>
      <c r="B738" t="s">
        <v>1351</v>
      </c>
    </row>
    <row r="739" spans="1:2" x14ac:dyDescent="0.25">
      <c r="A739" t="s">
        <v>1352</v>
      </c>
      <c r="B739" t="s">
        <v>782</v>
      </c>
    </row>
    <row r="740" spans="1:2" x14ac:dyDescent="0.25">
      <c r="A740" t="s">
        <v>1353</v>
      </c>
      <c r="B740" t="s">
        <v>1354</v>
      </c>
    </row>
    <row r="741" spans="1:2" x14ac:dyDescent="0.25">
      <c r="A741" t="s">
        <v>1355</v>
      </c>
      <c r="B741" t="s">
        <v>1356</v>
      </c>
    </row>
    <row r="742" spans="1:2" x14ac:dyDescent="0.25">
      <c r="A742" t="s">
        <v>1357</v>
      </c>
      <c r="B742" t="s">
        <v>784</v>
      </c>
    </row>
    <row r="743" spans="1:2" x14ac:dyDescent="0.25">
      <c r="A743" t="s">
        <v>1358</v>
      </c>
      <c r="B743" t="s">
        <v>786</v>
      </c>
    </row>
    <row r="744" spans="1:2" x14ac:dyDescent="0.25">
      <c r="A744" t="s">
        <v>1359</v>
      </c>
      <c r="B744" t="s">
        <v>790</v>
      </c>
    </row>
    <row r="745" spans="1:2" x14ac:dyDescent="0.25">
      <c r="A745" t="s">
        <v>1360</v>
      </c>
      <c r="B745" t="s">
        <v>1361</v>
      </c>
    </row>
    <row r="746" spans="1:2" x14ac:dyDescent="0.25">
      <c r="A746" t="s">
        <v>1362</v>
      </c>
      <c r="B746" t="s">
        <v>1363</v>
      </c>
    </row>
    <row r="747" spans="1:2" x14ac:dyDescent="0.25">
      <c r="A747" t="s">
        <v>1364</v>
      </c>
      <c r="B747" t="s">
        <v>445</v>
      </c>
    </row>
    <row r="748" spans="1:2" x14ac:dyDescent="0.25">
      <c r="A748" t="s">
        <v>1365</v>
      </c>
      <c r="B748" t="s">
        <v>1366</v>
      </c>
    </row>
    <row r="749" spans="1:2" x14ac:dyDescent="0.25">
      <c r="A749" t="s">
        <v>1367</v>
      </c>
      <c r="B749" t="s">
        <v>1368</v>
      </c>
    </row>
    <row r="750" spans="1:2" x14ac:dyDescent="0.25">
      <c r="A750" t="s">
        <v>1369</v>
      </c>
      <c r="B750" t="s">
        <v>1370</v>
      </c>
    </row>
    <row r="751" spans="1:2" x14ac:dyDescent="0.25">
      <c r="A751" t="s">
        <v>1371</v>
      </c>
      <c r="B751" t="s">
        <v>1372</v>
      </c>
    </row>
    <row r="752" spans="1:2" x14ac:dyDescent="0.25">
      <c r="A752" t="s">
        <v>1373</v>
      </c>
      <c r="B752" t="s">
        <v>1374</v>
      </c>
    </row>
    <row r="753" spans="1:2" x14ac:dyDescent="0.25">
      <c r="A753" t="s">
        <v>1375</v>
      </c>
      <c r="B753" t="s">
        <v>1376</v>
      </c>
    </row>
    <row r="754" spans="1:2" x14ac:dyDescent="0.25">
      <c r="A754" s="8" t="s">
        <v>1409</v>
      </c>
      <c r="B754" s="9" t="s">
        <v>1494</v>
      </c>
    </row>
    <row r="755" spans="1:2" x14ac:dyDescent="0.25">
      <c r="A755" s="8" t="s">
        <v>1410</v>
      </c>
      <c r="B755" s="9" t="s">
        <v>1174</v>
      </c>
    </row>
    <row r="756" spans="1:2" x14ac:dyDescent="0.25">
      <c r="A756" s="8" t="s">
        <v>1411</v>
      </c>
      <c r="B756" s="9" t="s">
        <v>1176</v>
      </c>
    </row>
    <row r="757" spans="1:2" x14ac:dyDescent="0.25">
      <c r="A757" s="8" t="s">
        <v>1412</v>
      </c>
      <c r="B757" s="9" t="s">
        <v>1178</v>
      </c>
    </row>
    <row r="758" spans="1:2" x14ac:dyDescent="0.25">
      <c r="A758" s="8" t="s">
        <v>1413</v>
      </c>
      <c r="B758" s="9" t="s">
        <v>1178</v>
      </c>
    </row>
    <row r="759" spans="1:2" x14ac:dyDescent="0.25">
      <c r="A759" s="8" t="s">
        <v>1414</v>
      </c>
      <c r="B759" s="9" t="s">
        <v>1178</v>
      </c>
    </row>
    <row r="760" spans="1:2" x14ac:dyDescent="0.25">
      <c r="A760" s="8" t="s">
        <v>1415</v>
      </c>
      <c r="B760" s="9" t="s">
        <v>1178</v>
      </c>
    </row>
    <row r="761" spans="1:2" x14ac:dyDescent="0.25">
      <c r="A761" s="8" t="s">
        <v>1416</v>
      </c>
      <c r="B761" s="9" t="s">
        <v>1144</v>
      </c>
    </row>
    <row r="762" spans="1:2" x14ac:dyDescent="0.25">
      <c r="A762" s="8" t="s">
        <v>1417</v>
      </c>
      <c r="B762" s="9" t="s">
        <v>1184</v>
      </c>
    </row>
    <row r="763" spans="1:2" x14ac:dyDescent="0.25">
      <c r="A763" s="8" t="s">
        <v>1418</v>
      </c>
      <c r="B763" s="9" t="s">
        <v>1186</v>
      </c>
    </row>
    <row r="764" spans="1:2" x14ac:dyDescent="0.25">
      <c r="A764" s="8" t="s">
        <v>1419</v>
      </c>
      <c r="B764" s="9" t="s">
        <v>1188</v>
      </c>
    </row>
    <row r="765" spans="1:2" x14ac:dyDescent="0.25">
      <c r="A765" s="8" t="s">
        <v>1420</v>
      </c>
      <c r="B765" s="9" t="s">
        <v>1190</v>
      </c>
    </row>
    <row r="766" spans="1:2" x14ac:dyDescent="0.25">
      <c r="A766" s="8" t="s">
        <v>1421</v>
      </c>
      <c r="B766" s="9" t="s">
        <v>1192</v>
      </c>
    </row>
    <row r="767" spans="1:2" x14ac:dyDescent="0.25">
      <c r="A767" s="8" t="s">
        <v>1422</v>
      </c>
      <c r="B767" s="9" t="s">
        <v>1194</v>
      </c>
    </row>
    <row r="768" spans="1:2" x14ac:dyDescent="0.25">
      <c r="A768" s="8" t="s">
        <v>1423</v>
      </c>
      <c r="B768" s="9" t="s">
        <v>1196</v>
      </c>
    </row>
    <row r="769" spans="1:2" x14ac:dyDescent="0.25">
      <c r="A769" s="8" t="s">
        <v>1424</v>
      </c>
      <c r="B769" s="9" t="s">
        <v>1198</v>
      </c>
    </row>
    <row r="770" spans="1:2" x14ac:dyDescent="0.25">
      <c r="A770" s="8" t="s">
        <v>1425</v>
      </c>
      <c r="B770" s="9" t="s">
        <v>1200</v>
      </c>
    </row>
    <row r="771" spans="1:2" x14ac:dyDescent="0.25">
      <c r="A771" s="8" t="s">
        <v>1426</v>
      </c>
      <c r="B771" s="9" t="s">
        <v>1202</v>
      </c>
    </row>
    <row r="772" spans="1:2" x14ac:dyDescent="0.25">
      <c r="A772" s="8" t="s">
        <v>1427</v>
      </c>
      <c r="B772" s="9" t="s">
        <v>1204</v>
      </c>
    </row>
    <row r="773" spans="1:2" x14ac:dyDescent="0.25">
      <c r="A773" s="8" t="s">
        <v>1428</v>
      </c>
      <c r="B773" s="9" t="s">
        <v>1206</v>
      </c>
    </row>
    <row r="774" spans="1:2" x14ac:dyDescent="0.25">
      <c r="A774" s="8" t="s">
        <v>1429</v>
      </c>
      <c r="B774" s="9" t="s">
        <v>1208</v>
      </c>
    </row>
    <row r="775" spans="1:2" x14ac:dyDescent="0.25">
      <c r="A775" s="8" t="s">
        <v>1430</v>
      </c>
      <c r="B775" s="9" t="s">
        <v>1210</v>
      </c>
    </row>
    <row r="776" spans="1:2" x14ac:dyDescent="0.25">
      <c r="A776" s="8" t="s">
        <v>1431</v>
      </c>
      <c r="B776" s="9" t="s">
        <v>1212</v>
      </c>
    </row>
    <row r="777" spans="1:2" x14ac:dyDescent="0.25">
      <c r="A777" s="8" t="s">
        <v>1432</v>
      </c>
      <c r="B777" s="9" t="s">
        <v>1214</v>
      </c>
    </row>
    <row r="778" spans="1:2" x14ac:dyDescent="0.25">
      <c r="A778" s="8" t="s">
        <v>1433</v>
      </c>
      <c r="B778" s="9" t="s">
        <v>1216</v>
      </c>
    </row>
    <row r="779" spans="1:2" x14ac:dyDescent="0.25">
      <c r="A779" s="8" t="s">
        <v>1434</v>
      </c>
      <c r="B779" s="9" t="s">
        <v>1218</v>
      </c>
    </row>
    <row r="780" spans="1:2" x14ac:dyDescent="0.25">
      <c r="A780" s="8" t="s">
        <v>1435</v>
      </c>
      <c r="B780" s="9" t="s">
        <v>1220</v>
      </c>
    </row>
    <row r="781" spans="1:2" x14ac:dyDescent="0.25">
      <c r="A781" s="8" t="s">
        <v>1436</v>
      </c>
      <c r="B781" s="9" t="s">
        <v>1222</v>
      </c>
    </row>
    <row r="782" spans="1:2" x14ac:dyDescent="0.25">
      <c r="A782" s="8" t="s">
        <v>1437</v>
      </c>
      <c r="B782" s="9" t="s">
        <v>1224</v>
      </c>
    </row>
    <row r="783" spans="1:2" x14ac:dyDescent="0.25">
      <c r="A783" s="8" t="s">
        <v>1438</v>
      </c>
      <c r="B783" s="9" t="s">
        <v>1226</v>
      </c>
    </row>
    <row r="784" spans="1:2" x14ac:dyDescent="0.25">
      <c r="A784" s="8" t="s">
        <v>1439</v>
      </c>
      <c r="B784" s="9" t="s">
        <v>1160</v>
      </c>
    </row>
    <row r="785" spans="1:2" x14ac:dyDescent="0.25">
      <c r="A785" s="8" t="s">
        <v>1440</v>
      </c>
      <c r="B785" s="9" t="s">
        <v>1229</v>
      </c>
    </row>
    <row r="786" spans="1:2" x14ac:dyDescent="0.25">
      <c r="A786" s="8" t="s">
        <v>1441</v>
      </c>
      <c r="B786" s="9" t="s">
        <v>1231</v>
      </c>
    </row>
    <row r="787" spans="1:2" x14ac:dyDescent="0.25">
      <c r="A787" s="8" t="s">
        <v>1442</v>
      </c>
      <c r="B787" s="9" t="s">
        <v>1233</v>
      </c>
    </row>
    <row r="788" spans="1:2" x14ac:dyDescent="0.25">
      <c r="A788" s="8" t="s">
        <v>1443</v>
      </c>
      <c r="B788" s="9" t="s">
        <v>1235</v>
      </c>
    </row>
    <row r="789" spans="1:2" x14ac:dyDescent="0.25">
      <c r="A789" s="8" t="s">
        <v>1444</v>
      </c>
      <c r="B789" s="9" t="s">
        <v>1237</v>
      </c>
    </row>
    <row r="790" spans="1:2" x14ac:dyDescent="0.25">
      <c r="A790" s="8" t="s">
        <v>1445</v>
      </c>
      <c r="B790" s="9" t="s">
        <v>1239</v>
      </c>
    </row>
    <row r="791" spans="1:2" x14ac:dyDescent="0.25">
      <c r="A791" s="8" t="s">
        <v>1446</v>
      </c>
      <c r="B791" s="9" t="s">
        <v>1241</v>
      </c>
    </row>
    <row r="792" spans="1:2" x14ac:dyDescent="0.25">
      <c r="A792" s="8" t="s">
        <v>1447</v>
      </c>
      <c r="B792" s="9" t="s">
        <v>1243</v>
      </c>
    </row>
    <row r="793" spans="1:2" x14ac:dyDescent="0.25">
      <c r="A793" s="8" t="s">
        <v>1448</v>
      </c>
      <c r="B793" s="9" t="s">
        <v>1245</v>
      </c>
    </row>
    <row r="794" spans="1:2" x14ac:dyDescent="0.25">
      <c r="A794" s="8" t="s">
        <v>1449</v>
      </c>
      <c r="B794" s="9" t="s">
        <v>1247</v>
      </c>
    </row>
    <row r="795" spans="1:2" x14ac:dyDescent="0.25">
      <c r="A795" s="8" t="s">
        <v>1450</v>
      </c>
      <c r="B795" s="9" t="s">
        <v>1146</v>
      </c>
    </row>
    <row r="796" spans="1:2" x14ac:dyDescent="0.25">
      <c r="A796" s="8" t="s">
        <v>1451</v>
      </c>
      <c r="B796" s="9" t="s">
        <v>1250</v>
      </c>
    </row>
    <row r="797" spans="1:2" x14ac:dyDescent="0.25">
      <c r="A797" s="8" t="s">
        <v>1452</v>
      </c>
      <c r="B797" s="9" t="s">
        <v>1252</v>
      </c>
    </row>
    <row r="798" spans="1:2" x14ac:dyDescent="0.25">
      <c r="A798" s="8" t="s">
        <v>1453</v>
      </c>
      <c r="B798" s="9" t="s">
        <v>1254</v>
      </c>
    </row>
    <row r="799" spans="1:2" x14ac:dyDescent="0.25">
      <c r="A799" s="8" t="s">
        <v>1454</v>
      </c>
      <c r="B799" s="9" t="s">
        <v>1256</v>
      </c>
    </row>
    <row r="800" spans="1:2" x14ac:dyDescent="0.25">
      <c r="A800" s="8" t="s">
        <v>1455</v>
      </c>
      <c r="B800" s="9" t="s">
        <v>1258</v>
      </c>
    </row>
    <row r="801" spans="1:2" x14ac:dyDescent="0.25">
      <c r="A801" s="8" t="s">
        <v>1456</v>
      </c>
      <c r="B801" s="9" t="s">
        <v>1260</v>
      </c>
    </row>
    <row r="802" spans="1:2" x14ac:dyDescent="0.25">
      <c r="A802" s="8" t="s">
        <v>1457</v>
      </c>
      <c r="B802" s="9" t="s">
        <v>1262</v>
      </c>
    </row>
    <row r="803" spans="1:2" x14ac:dyDescent="0.25">
      <c r="A803" s="8" t="s">
        <v>1458</v>
      </c>
      <c r="B803" s="9" t="s">
        <v>1264</v>
      </c>
    </row>
    <row r="804" spans="1:2" x14ac:dyDescent="0.25">
      <c r="A804" s="8" t="s">
        <v>1459</v>
      </c>
      <c r="B804" s="9" t="s">
        <v>1266</v>
      </c>
    </row>
    <row r="805" spans="1:2" x14ac:dyDescent="0.25">
      <c r="A805" s="8" t="s">
        <v>1460</v>
      </c>
      <c r="B805" s="9" t="s">
        <v>1268</v>
      </c>
    </row>
    <row r="806" spans="1:2" x14ac:dyDescent="0.25">
      <c r="A806" s="8" t="s">
        <v>1461</v>
      </c>
      <c r="B806" s="9" t="s">
        <v>1270</v>
      </c>
    </row>
    <row r="807" spans="1:2" x14ac:dyDescent="0.25">
      <c r="A807" s="8" t="s">
        <v>1462</v>
      </c>
      <c r="B807" s="9" t="s">
        <v>1272</v>
      </c>
    </row>
    <row r="808" spans="1:2" x14ac:dyDescent="0.25">
      <c r="A808" s="8" t="s">
        <v>1463</v>
      </c>
      <c r="B808" s="9" t="s">
        <v>1274</v>
      </c>
    </row>
    <row r="809" spans="1:2" x14ac:dyDescent="0.25">
      <c r="A809" s="8" t="s">
        <v>1464</v>
      </c>
      <c r="B809" s="9" t="s">
        <v>1276</v>
      </c>
    </row>
    <row r="810" spans="1:2" x14ac:dyDescent="0.25">
      <c r="A810" s="8" t="s">
        <v>1465</v>
      </c>
      <c r="B810" s="9" t="s">
        <v>1278</v>
      </c>
    </row>
    <row r="811" spans="1:2" x14ac:dyDescent="0.25">
      <c r="A811" s="8" t="s">
        <v>1466</v>
      </c>
      <c r="B811" s="9" t="s">
        <v>1280</v>
      </c>
    </row>
    <row r="812" spans="1:2" x14ac:dyDescent="0.25">
      <c r="A812" s="8" t="s">
        <v>1467</v>
      </c>
      <c r="B812" s="9" t="s">
        <v>1282</v>
      </c>
    </row>
    <row r="813" spans="1:2" x14ac:dyDescent="0.25">
      <c r="A813" s="8" t="s">
        <v>1468</v>
      </c>
      <c r="B813" s="9" t="s">
        <v>1284</v>
      </c>
    </row>
    <row r="814" spans="1:2" x14ac:dyDescent="0.25">
      <c r="A814" s="8" t="s">
        <v>1469</v>
      </c>
      <c r="B814" s="9" t="s">
        <v>1286</v>
      </c>
    </row>
    <row r="815" spans="1:2" x14ac:dyDescent="0.25">
      <c r="A815" s="8" t="s">
        <v>1470</v>
      </c>
      <c r="B815" s="9" t="s">
        <v>1288</v>
      </c>
    </row>
    <row r="816" spans="1:2" x14ac:dyDescent="0.25">
      <c r="A816" s="8" t="s">
        <v>1471</v>
      </c>
      <c r="B816" s="9" t="s">
        <v>1290</v>
      </c>
    </row>
    <row r="817" spans="1:2" x14ac:dyDescent="0.25">
      <c r="A817" s="8" t="s">
        <v>1472</v>
      </c>
      <c r="B817" s="9" t="s">
        <v>1292</v>
      </c>
    </row>
    <row r="818" spans="1:2" x14ac:dyDescent="0.25">
      <c r="A818" s="8" t="s">
        <v>1473</v>
      </c>
      <c r="B818" s="9" t="s">
        <v>1294</v>
      </c>
    </row>
    <row r="819" spans="1:2" x14ac:dyDescent="0.25">
      <c r="A819" s="8" t="s">
        <v>1474</v>
      </c>
      <c r="B819" s="9" t="s">
        <v>1296</v>
      </c>
    </row>
    <row r="820" spans="1:2" x14ac:dyDescent="0.25">
      <c r="A820" s="8" t="s">
        <v>1475</v>
      </c>
      <c r="B820" s="9" t="s">
        <v>1298</v>
      </c>
    </row>
    <row r="821" spans="1:2" x14ac:dyDescent="0.25">
      <c r="A821" s="8" t="s">
        <v>1476</v>
      </c>
      <c r="B821" s="9" t="s">
        <v>1300</v>
      </c>
    </row>
    <row r="822" spans="1:2" x14ac:dyDescent="0.25">
      <c r="A822" s="8" t="s">
        <v>1477</v>
      </c>
      <c r="B822" s="9" t="s">
        <v>1302</v>
      </c>
    </row>
    <row r="823" spans="1:2" x14ac:dyDescent="0.25">
      <c r="A823" s="8" t="s">
        <v>1478</v>
      </c>
      <c r="B823" s="9" t="s">
        <v>1304</v>
      </c>
    </row>
    <row r="824" spans="1:2" x14ac:dyDescent="0.25">
      <c r="A824" s="8" t="s">
        <v>1479</v>
      </c>
      <c r="B824" s="9" t="s">
        <v>1306</v>
      </c>
    </row>
    <row r="825" spans="1:2" x14ac:dyDescent="0.25">
      <c r="A825" s="8" t="s">
        <v>1480</v>
      </c>
      <c r="B825" s="9" t="s">
        <v>1308</v>
      </c>
    </row>
    <row r="826" spans="1:2" x14ac:dyDescent="0.25">
      <c r="A826" s="8" t="s">
        <v>1481</v>
      </c>
      <c r="B826" s="9" t="s">
        <v>1310</v>
      </c>
    </row>
    <row r="827" spans="1:2" x14ac:dyDescent="0.25">
      <c r="A827" s="8" t="s">
        <v>1482</v>
      </c>
      <c r="B827" s="9" t="s">
        <v>1312</v>
      </c>
    </row>
    <row r="828" spans="1:2" x14ac:dyDescent="0.25">
      <c r="A828" s="8" t="s">
        <v>1483</v>
      </c>
      <c r="B828" s="9" t="s">
        <v>1314</v>
      </c>
    </row>
    <row r="829" spans="1:2" x14ac:dyDescent="0.25">
      <c r="A829" s="8" t="s">
        <v>1484</v>
      </c>
      <c r="B829" s="9" t="s">
        <v>1316</v>
      </c>
    </row>
    <row r="830" spans="1:2" x14ac:dyDescent="0.25">
      <c r="A830" s="8" t="s">
        <v>1485</v>
      </c>
      <c r="B830" s="9" t="s">
        <v>1318</v>
      </c>
    </row>
    <row r="831" spans="1:2" x14ac:dyDescent="0.25">
      <c r="A831" s="8" t="s">
        <v>1486</v>
      </c>
      <c r="B831" s="9" t="s">
        <v>1320</v>
      </c>
    </row>
    <row r="832" spans="1:2" x14ac:dyDescent="0.25">
      <c r="A832" s="8" t="s">
        <v>1487</v>
      </c>
      <c r="B832" s="9" t="s">
        <v>1322</v>
      </c>
    </row>
    <row r="833" spans="1:2" x14ac:dyDescent="0.25">
      <c r="A833" s="8" t="s">
        <v>1488</v>
      </c>
      <c r="B833" s="9" t="s">
        <v>1324</v>
      </c>
    </row>
    <row r="834" spans="1:2" x14ac:dyDescent="0.25">
      <c r="A834" s="8" t="s">
        <v>1489</v>
      </c>
      <c r="B834" s="9" t="s">
        <v>1138</v>
      </c>
    </row>
    <row r="835" spans="1:2" x14ac:dyDescent="0.25">
      <c r="A835" s="8" t="s">
        <v>1490</v>
      </c>
      <c r="B835" s="9" t="s">
        <v>1327</v>
      </c>
    </row>
    <row r="836" spans="1:2" x14ac:dyDescent="0.25">
      <c r="A836" s="8" t="s">
        <v>1491</v>
      </c>
      <c r="B836" s="9" t="s">
        <v>1138</v>
      </c>
    </row>
    <row r="837" spans="1:2" x14ac:dyDescent="0.25">
      <c r="A837" s="8" t="s">
        <v>1492</v>
      </c>
      <c r="B837" s="9" t="s">
        <v>1327</v>
      </c>
    </row>
    <row r="838" spans="1:2" x14ac:dyDescent="0.25">
      <c r="A838" s="8" t="s">
        <v>1493</v>
      </c>
      <c r="B838" s="9" t="s">
        <v>1331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"/>
  <sheetViews>
    <sheetView zoomScaleNormal="100" workbookViewId="0"/>
  </sheetViews>
  <sheetFormatPr defaultColWidth="19" defaultRowHeight="15" x14ac:dyDescent="0.25"/>
  <cols>
    <col min="1" max="1" width="6.42578125" style="20" bestFit="1" customWidth="1"/>
    <col min="2" max="2" width="26.5703125" style="20" bestFit="1" customWidth="1"/>
    <col min="3" max="3" width="6.7109375" style="4" bestFit="1" customWidth="1"/>
    <col min="4" max="4" width="36.140625" style="20" bestFit="1" customWidth="1"/>
    <col min="5" max="5" width="14" style="20" bestFit="1" customWidth="1"/>
    <col min="6" max="6" width="3" style="20" bestFit="1" customWidth="1"/>
    <col min="7" max="7" width="6.140625" style="20" bestFit="1" customWidth="1"/>
    <col min="8" max="18" width="7.7109375" style="20" bestFit="1" customWidth="1"/>
    <col min="19" max="19" width="9.140625" style="20" bestFit="1" customWidth="1"/>
    <col min="20" max="20" width="10.85546875" style="20" bestFit="1" customWidth="1"/>
    <col min="21" max="21" width="3" style="20" customWidth="1"/>
    <col min="22" max="16384" width="19" style="20"/>
  </cols>
  <sheetData>
    <row r="1" spans="1:20" s="19" customFormat="1" ht="39" x14ac:dyDescent="0.25">
      <c r="A1" s="17" t="s">
        <v>1377</v>
      </c>
      <c r="B1" s="17" t="s">
        <v>1378</v>
      </c>
      <c r="C1" s="17" t="s">
        <v>1379</v>
      </c>
      <c r="D1" s="17" t="s">
        <v>1380</v>
      </c>
      <c r="E1" s="17" t="s">
        <v>1381</v>
      </c>
      <c r="F1" s="18" t="s">
        <v>1382</v>
      </c>
      <c r="G1" s="18" t="s">
        <v>1383</v>
      </c>
      <c r="H1" s="17" t="s">
        <v>1384</v>
      </c>
      <c r="I1" s="17" t="s">
        <v>1385</v>
      </c>
      <c r="J1" s="17" t="s">
        <v>1386</v>
      </c>
      <c r="K1" s="17" t="s">
        <v>1387</v>
      </c>
      <c r="L1" s="17" t="s">
        <v>1388</v>
      </c>
      <c r="M1" s="17" t="s">
        <v>1389</v>
      </c>
      <c r="N1" s="17" t="s">
        <v>1390</v>
      </c>
      <c r="O1" s="17" t="s">
        <v>1391</v>
      </c>
      <c r="P1" s="17" t="s">
        <v>1392</v>
      </c>
      <c r="Q1" s="17" t="s">
        <v>1393</v>
      </c>
      <c r="R1" s="17" t="s">
        <v>1394</v>
      </c>
      <c r="S1" s="17" t="s">
        <v>1395</v>
      </c>
      <c r="T1" s="17" t="s">
        <v>1396</v>
      </c>
    </row>
    <row r="2" spans="1:20" x14ac:dyDescent="0.25">
      <c r="A2" s="5">
        <v>5120</v>
      </c>
      <c r="B2" s="5" t="s">
        <v>1499</v>
      </c>
      <c r="C2" s="5" t="s">
        <v>78</v>
      </c>
      <c r="D2" s="4" t="str">
        <f t="shared" ref="D2:D58" si="0">VLOOKUP(C2,gllu,2,0)</f>
        <v>Unit Rental Income</v>
      </c>
      <c r="E2" s="10">
        <v>-67260</v>
      </c>
      <c r="F2" s="20" t="s">
        <v>1496</v>
      </c>
      <c r="G2" s="20" t="b">
        <f>C1=C2</f>
        <v>0</v>
      </c>
      <c r="H2" s="21">
        <f t="shared" ref="H2:R9" si="1">ROUND(($E2/12),0)</f>
        <v>-5605</v>
      </c>
      <c r="I2" s="21">
        <f t="shared" si="1"/>
        <v>-5605</v>
      </c>
      <c r="J2" s="21">
        <f t="shared" si="1"/>
        <v>-5605</v>
      </c>
      <c r="K2" s="21">
        <f t="shared" si="1"/>
        <v>-5605</v>
      </c>
      <c r="L2" s="21">
        <f t="shared" si="1"/>
        <v>-5605</v>
      </c>
      <c r="M2" s="21">
        <f t="shared" si="1"/>
        <v>-5605</v>
      </c>
      <c r="N2" s="21">
        <f t="shared" si="1"/>
        <v>-5605</v>
      </c>
      <c r="O2" s="21">
        <f t="shared" si="1"/>
        <v>-5605</v>
      </c>
      <c r="P2" s="21">
        <f t="shared" si="1"/>
        <v>-5605</v>
      </c>
      <c r="Q2" s="21">
        <f t="shared" si="1"/>
        <v>-5605</v>
      </c>
      <c r="R2" s="21">
        <f t="shared" si="1"/>
        <v>-5605</v>
      </c>
      <c r="S2" s="21">
        <f t="shared" ref="S2" si="2">ROUND((E2-((ROUND(($E2/12),0))*11)),0)</f>
        <v>-5605</v>
      </c>
      <c r="T2" s="22">
        <f t="shared" ref="T2" si="3">SUM(H2:S2)-E2</f>
        <v>0</v>
      </c>
    </row>
    <row r="3" spans="1:20" x14ac:dyDescent="0.25">
      <c r="A3" s="5">
        <v>5130</v>
      </c>
      <c r="B3" s="5" t="s">
        <v>1500</v>
      </c>
      <c r="C3" s="5" t="s">
        <v>4</v>
      </c>
      <c r="D3" s="4" t="str">
        <f t="shared" si="0"/>
        <v>Assessments - Regular</v>
      </c>
      <c r="E3" s="10">
        <v>-1258300</v>
      </c>
      <c r="F3" s="20" t="s">
        <v>1496</v>
      </c>
      <c r="G3" s="20" t="b">
        <f t="shared" ref="G3:G66" si="4">C2=C3</f>
        <v>0</v>
      </c>
      <c r="H3" s="21">
        <f t="shared" si="1"/>
        <v>-104858</v>
      </c>
      <c r="I3" s="21">
        <f t="shared" si="1"/>
        <v>-104858</v>
      </c>
      <c r="J3" s="21">
        <f t="shared" si="1"/>
        <v>-104858</v>
      </c>
      <c r="K3" s="21">
        <f t="shared" si="1"/>
        <v>-104858</v>
      </c>
      <c r="L3" s="21">
        <f t="shared" si="1"/>
        <v>-104858</v>
      </c>
      <c r="M3" s="21">
        <f t="shared" si="1"/>
        <v>-104858</v>
      </c>
      <c r="N3" s="21">
        <f t="shared" si="1"/>
        <v>-104858</v>
      </c>
      <c r="O3" s="21">
        <f t="shared" si="1"/>
        <v>-104858</v>
      </c>
      <c r="P3" s="21">
        <f t="shared" si="1"/>
        <v>-104858</v>
      </c>
      <c r="Q3" s="21">
        <f t="shared" si="1"/>
        <v>-104858</v>
      </c>
      <c r="R3" s="21">
        <f t="shared" si="1"/>
        <v>-104858</v>
      </c>
      <c r="S3" s="21">
        <f t="shared" ref="S3:S26" si="5">ROUND((E3-((ROUND(($E3/12),0))*11)),0)</f>
        <v>-104862</v>
      </c>
      <c r="T3" s="22">
        <f t="shared" ref="T3:T26" si="6">SUM(H3:S3)-E3</f>
        <v>0</v>
      </c>
    </row>
    <row r="4" spans="1:20" x14ac:dyDescent="0.25">
      <c r="A4" s="5">
        <v>5135</v>
      </c>
      <c r="B4" s="5" t="s">
        <v>1501</v>
      </c>
      <c r="C4" s="5" t="s">
        <v>12</v>
      </c>
      <c r="D4" s="4" t="str">
        <f t="shared" si="0"/>
        <v>Assessment, Reserve</v>
      </c>
      <c r="E4" s="10">
        <v>-485174</v>
      </c>
      <c r="F4" s="20" t="s">
        <v>1496</v>
      </c>
      <c r="G4" s="20" t="b">
        <f t="shared" si="4"/>
        <v>0</v>
      </c>
      <c r="H4" s="21">
        <f t="shared" si="1"/>
        <v>-40431</v>
      </c>
      <c r="I4" s="21">
        <f t="shared" si="1"/>
        <v>-40431</v>
      </c>
      <c r="J4" s="21">
        <f t="shared" si="1"/>
        <v>-40431</v>
      </c>
      <c r="K4" s="21">
        <f t="shared" si="1"/>
        <v>-40431</v>
      </c>
      <c r="L4" s="21">
        <f t="shared" si="1"/>
        <v>-40431</v>
      </c>
      <c r="M4" s="21">
        <f t="shared" si="1"/>
        <v>-40431</v>
      </c>
      <c r="N4" s="21">
        <f t="shared" si="1"/>
        <v>-40431</v>
      </c>
      <c r="O4" s="21">
        <f t="shared" si="1"/>
        <v>-40431</v>
      </c>
      <c r="P4" s="21">
        <f t="shared" si="1"/>
        <v>-40431</v>
      </c>
      <c r="Q4" s="21">
        <f t="shared" si="1"/>
        <v>-40431</v>
      </c>
      <c r="R4" s="21">
        <f t="shared" si="1"/>
        <v>-40431</v>
      </c>
      <c r="S4" s="21">
        <f t="shared" si="5"/>
        <v>-40433</v>
      </c>
      <c r="T4" s="22">
        <f t="shared" si="6"/>
        <v>0</v>
      </c>
    </row>
    <row r="5" spans="1:20" x14ac:dyDescent="0.25">
      <c r="A5" s="5">
        <v>5151</v>
      </c>
      <c r="B5" s="5" t="s">
        <v>1502</v>
      </c>
      <c r="C5" s="5" t="s">
        <v>19</v>
      </c>
      <c r="D5" s="15" t="str">
        <f t="shared" si="0"/>
        <v>Prior Year Assessments</v>
      </c>
      <c r="E5" s="10">
        <v>-140650.07999999999</v>
      </c>
      <c r="F5" s="20" t="s">
        <v>1496</v>
      </c>
      <c r="G5" s="20" t="b">
        <f t="shared" si="4"/>
        <v>0</v>
      </c>
      <c r="H5" s="21">
        <f t="shared" si="1"/>
        <v>-11721</v>
      </c>
      <c r="I5" s="21">
        <f t="shared" si="1"/>
        <v>-11721</v>
      </c>
      <c r="J5" s="21">
        <f t="shared" si="1"/>
        <v>-11721</v>
      </c>
      <c r="K5" s="21">
        <f t="shared" si="1"/>
        <v>-11721</v>
      </c>
      <c r="L5" s="21">
        <f t="shared" si="1"/>
        <v>-11721</v>
      </c>
      <c r="M5" s="21">
        <f t="shared" si="1"/>
        <v>-11721</v>
      </c>
      <c r="N5" s="21">
        <f t="shared" si="1"/>
        <v>-11721</v>
      </c>
      <c r="O5" s="21">
        <f t="shared" si="1"/>
        <v>-11721</v>
      </c>
      <c r="P5" s="21">
        <f t="shared" si="1"/>
        <v>-11721</v>
      </c>
      <c r="Q5" s="21">
        <f t="shared" si="1"/>
        <v>-11721</v>
      </c>
      <c r="R5" s="21">
        <f t="shared" si="1"/>
        <v>-11721</v>
      </c>
      <c r="S5" s="21">
        <f t="shared" si="5"/>
        <v>-11719</v>
      </c>
      <c r="T5" s="22">
        <f t="shared" si="6"/>
        <v>7.9999999987194315E-2</v>
      </c>
    </row>
    <row r="6" spans="1:20" x14ac:dyDescent="0.25">
      <c r="A6" s="5">
        <v>5418</v>
      </c>
      <c r="B6" s="5" t="s">
        <v>1503</v>
      </c>
      <c r="C6" s="5" t="s">
        <v>136</v>
      </c>
      <c r="D6" s="4" t="str">
        <f t="shared" si="0"/>
        <v>Checking Account Interest</v>
      </c>
      <c r="E6" s="10">
        <v>-100</v>
      </c>
      <c r="F6" s="20" t="s">
        <v>1496</v>
      </c>
      <c r="G6" s="20" t="b">
        <f t="shared" si="4"/>
        <v>0</v>
      </c>
      <c r="H6" s="21">
        <f t="shared" si="1"/>
        <v>-8</v>
      </c>
      <c r="I6" s="21">
        <f t="shared" si="1"/>
        <v>-8</v>
      </c>
      <c r="J6" s="21">
        <f t="shared" si="1"/>
        <v>-8</v>
      </c>
      <c r="K6" s="21">
        <f t="shared" si="1"/>
        <v>-8</v>
      </c>
      <c r="L6" s="21">
        <f t="shared" si="1"/>
        <v>-8</v>
      </c>
      <c r="M6" s="21">
        <f t="shared" si="1"/>
        <v>-8</v>
      </c>
      <c r="N6" s="21">
        <f t="shared" si="1"/>
        <v>-8</v>
      </c>
      <c r="O6" s="21">
        <f t="shared" si="1"/>
        <v>-8</v>
      </c>
      <c r="P6" s="21">
        <f t="shared" si="1"/>
        <v>-8</v>
      </c>
      <c r="Q6" s="21">
        <f t="shared" si="1"/>
        <v>-8</v>
      </c>
      <c r="R6" s="21">
        <f t="shared" si="1"/>
        <v>-8</v>
      </c>
      <c r="S6" s="21">
        <f t="shared" si="5"/>
        <v>-12</v>
      </c>
      <c r="T6" s="22">
        <f t="shared" si="6"/>
        <v>0</v>
      </c>
    </row>
    <row r="7" spans="1:20" x14ac:dyDescent="0.25">
      <c r="A7" s="5">
        <v>5301</v>
      </c>
      <c r="B7" s="5" t="s">
        <v>1504</v>
      </c>
      <c r="C7" s="5" t="s">
        <v>66</v>
      </c>
      <c r="D7" s="4" t="str">
        <f t="shared" si="0"/>
        <v>Laundry Room Income</v>
      </c>
      <c r="E7" s="10">
        <v>-52000</v>
      </c>
      <c r="F7" s="20" t="s">
        <v>1496</v>
      </c>
      <c r="G7" s="20" t="b">
        <f t="shared" si="4"/>
        <v>0</v>
      </c>
      <c r="H7" s="21">
        <f t="shared" si="1"/>
        <v>-4333</v>
      </c>
      <c r="I7" s="21">
        <f t="shared" si="1"/>
        <v>-4333</v>
      </c>
      <c r="J7" s="21">
        <f t="shared" si="1"/>
        <v>-4333</v>
      </c>
      <c r="K7" s="21">
        <f t="shared" si="1"/>
        <v>-4333</v>
      </c>
      <c r="L7" s="21">
        <f t="shared" si="1"/>
        <v>-4333</v>
      </c>
      <c r="M7" s="21">
        <f t="shared" si="1"/>
        <v>-4333</v>
      </c>
      <c r="N7" s="21">
        <f t="shared" si="1"/>
        <v>-4333</v>
      </c>
      <c r="O7" s="21">
        <f t="shared" si="1"/>
        <v>-4333</v>
      </c>
      <c r="P7" s="21">
        <f t="shared" si="1"/>
        <v>-4333</v>
      </c>
      <c r="Q7" s="21">
        <f t="shared" si="1"/>
        <v>-4333</v>
      </c>
      <c r="R7" s="21">
        <f t="shared" si="1"/>
        <v>-4333</v>
      </c>
      <c r="S7" s="21">
        <f t="shared" si="5"/>
        <v>-4337</v>
      </c>
      <c r="T7" s="22">
        <f t="shared" si="6"/>
        <v>0</v>
      </c>
    </row>
    <row r="8" spans="1:20" x14ac:dyDescent="0.25">
      <c r="A8" s="5">
        <v>5903</v>
      </c>
      <c r="B8" s="5" t="s">
        <v>1505</v>
      </c>
      <c r="C8" s="5" t="s">
        <v>27</v>
      </c>
      <c r="D8" s="4" t="str">
        <f t="shared" si="0"/>
        <v>Late Charges</v>
      </c>
      <c r="E8" s="10">
        <v>-3600</v>
      </c>
      <c r="F8" s="20" t="s">
        <v>1496</v>
      </c>
      <c r="G8" s="20" t="b">
        <f t="shared" si="4"/>
        <v>0</v>
      </c>
      <c r="H8" s="21">
        <f t="shared" si="1"/>
        <v>-300</v>
      </c>
      <c r="I8" s="21">
        <f t="shared" si="1"/>
        <v>-300</v>
      </c>
      <c r="J8" s="21">
        <f t="shared" si="1"/>
        <v>-300</v>
      </c>
      <c r="K8" s="21">
        <f t="shared" si="1"/>
        <v>-300</v>
      </c>
      <c r="L8" s="21">
        <f t="shared" si="1"/>
        <v>-300</v>
      </c>
      <c r="M8" s="21">
        <f t="shared" si="1"/>
        <v>-300</v>
      </c>
      <c r="N8" s="21">
        <f t="shared" si="1"/>
        <v>-300</v>
      </c>
      <c r="O8" s="21">
        <f t="shared" si="1"/>
        <v>-300</v>
      </c>
      <c r="P8" s="21">
        <f t="shared" si="1"/>
        <v>-300</v>
      </c>
      <c r="Q8" s="21">
        <f t="shared" si="1"/>
        <v>-300</v>
      </c>
      <c r="R8" s="21">
        <f t="shared" si="1"/>
        <v>-300</v>
      </c>
      <c r="S8" s="21">
        <f t="shared" si="5"/>
        <v>-300</v>
      </c>
      <c r="T8" s="22">
        <f t="shared" si="6"/>
        <v>0</v>
      </c>
    </row>
    <row r="9" spans="1:20" x14ac:dyDescent="0.25">
      <c r="A9" s="5">
        <v>5909</v>
      </c>
      <c r="B9" s="5" t="s">
        <v>1506</v>
      </c>
      <c r="C9" s="5" t="s">
        <v>150</v>
      </c>
      <c r="D9" s="4" t="str">
        <f t="shared" si="0"/>
        <v>Miscellaneous Income</v>
      </c>
      <c r="E9" s="10">
        <v>-1000</v>
      </c>
      <c r="F9" s="20" t="s">
        <v>1496</v>
      </c>
      <c r="G9" s="20" t="b">
        <f t="shared" si="4"/>
        <v>0</v>
      </c>
      <c r="H9" s="21">
        <f t="shared" si="1"/>
        <v>-83</v>
      </c>
      <c r="I9" s="21">
        <f t="shared" si="1"/>
        <v>-83</v>
      </c>
      <c r="J9" s="21">
        <f t="shared" si="1"/>
        <v>-83</v>
      </c>
      <c r="K9" s="21">
        <f t="shared" si="1"/>
        <v>-83</v>
      </c>
      <c r="L9" s="21">
        <f t="shared" si="1"/>
        <v>-83</v>
      </c>
      <c r="M9" s="21">
        <f t="shared" si="1"/>
        <v>-83</v>
      </c>
      <c r="N9" s="21">
        <f t="shared" si="1"/>
        <v>-83</v>
      </c>
      <c r="O9" s="21">
        <f t="shared" si="1"/>
        <v>-83</v>
      </c>
      <c r="P9" s="21">
        <f t="shared" si="1"/>
        <v>-83</v>
      </c>
      <c r="Q9" s="21">
        <f t="shared" si="1"/>
        <v>-83</v>
      </c>
      <c r="R9" s="21">
        <f t="shared" si="1"/>
        <v>-83</v>
      </c>
      <c r="S9" s="21">
        <f t="shared" si="5"/>
        <v>-87</v>
      </c>
      <c r="T9" s="22">
        <f t="shared" si="6"/>
        <v>0</v>
      </c>
    </row>
    <row r="10" spans="1:20" x14ac:dyDescent="0.25">
      <c r="A10" s="5">
        <v>5914</v>
      </c>
      <c r="B10" s="5" t="s">
        <v>1507</v>
      </c>
      <c r="C10" s="5" t="s">
        <v>52</v>
      </c>
      <c r="D10" s="4" t="str">
        <f t="shared" si="0"/>
        <v>Violation Income</v>
      </c>
      <c r="E10" s="10">
        <v>-600</v>
      </c>
      <c r="F10" s="20" t="s">
        <v>1496</v>
      </c>
      <c r="G10" s="20" t="b">
        <f t="shared" si="4"/>
        <v>0</v>
      </c>
      <c r="H10" s="21">
        <f t="shared" ref="H10:R26" si="7">ROUND(($E10/12),0)</f>
        <v>-50</v>
      </c>
      <c r="I10" s="21">
        <f t="shared" si="7"/>
        <v>-50</v>
      </c>
      <c r="J10" s="21">
        <f t="shared" si="7"/>
        <v>-50</v>
      </c>
      <c r="K10" s="21">
        <f t="shared" si="7"/>
        <v>-50</v>
      </c>
      <c r="L10" s="21">
        <f t="shared" si="7"/>
        <v>-50</v>
      </c>
      <c r="M10" s="21">
        <f t="shared" si="7"/>
        <v>-50</v>
      </c>
      <c r="N10" s="21">
        <f t="shared" si="7"/>
        <v>-50</v>
      </c>
      <c r="O10" s="21">
        <f t="shared" si="7"/>
        <v>-50</v>
      </c>
      <c r="P10" s="21">
        <f t="shared" si="7"/>
        <v>-50</v>
      </c>
      <c r="Q10" s="21">
        <f t="shared" si="7"/>
        <v>-50</v>
      </c>
      <c r="R10" s="21">
        <f t="shared" si="7"/>
        <v>-50</v>
      </c>
      <c r="S10" s="21">
        <f t="shared" si="5"/>
        <v>-50</v>
      </c>
      <c r="T10" s="22">
        <f t="shared" si="6"/>
        <v>0</v>
      </c>
    </row>
    <row r="11" spans="1:20" x14ac:dyDescent="0.25">
      <c r="A11" s="5">
        <v>5915</v>
      </c>
      <c r="B11" s="5" t="s">
        <v>1508</v>
      </c>
      <c r="C11" s="5" t="s">
        <v>120</v>
      </c>
      <c r="D11" s="4" t="str">
        <f t="shared" si="0"/>
        <v>PAL/Transfer Fees</v>
      </c>
      <c r="E11" s="10">
        <v>-6000</v>
      </c>
      <c r="F11" s="20" t="s">
        <v>1496</v>
      </c>
      <c r="G11" s="20" t="b">
        <f t="shared" si="4"/>
        <v>0</v>
      </c>
      <c r="H11" s="21">
        <f t="shared" si="7"/>
        <v>-500</v>
      </c>
      <c r="I11" s="21">
        <f t="shared" si="7"/>
        <v>-500</v>
      </c>
      <c r="J11" s="21">
        <f t="shared" si="7"/>
        <v>-500</v>
      </c>
      <c r="K11" s="21">
        <f t="shared" si="7"/>
        <v>-500</v>
      </c>
      <c r="L11" s="21">
        <f t="shared" si="7"/>
        <v>-500</v>
      </c>
      <c r="M11" s="21">
        <f t="shared" si="7"/>
        <v>-500</v>
      </c>
      <c r="N11" s="21">
        <f t="shared" si="7"/>
        <v>-500</v>
      </c>
      <c r="O11" s="21">
        <f t="shared" si="7"/>
        <v>-500</v>
      </c>
      <c r="P11" s="21">
        <f t="shared" si="7"/>
        <v>-500</v>
      </c>
      <c r="Q11" s="21">
        <f t="shared" si="7"/>
        <v>-500</v>
      </c>
      <c r="R11" s="21">
        <f t="shared" si="7"/>
        <v>-500</v>
      </c>
      <c r="S11" s="21">
        <f t="shared" si="5"/>
        <v>-500</v>
      </c>
      <c r="T11" s="22">
        <f t="shared" si="6"/>
        <v>0</v>
      </c>
    </row>
    <row r="12" spans="1:20" x14ac:dyDescent="0.25">
      <c r="A12" s="5">
        <v>5919</v>
      </c>
      <c r="B12" s="5" t="s">
        <v>1509</v>
      </c>
      <c r="C12" s="5" t="s">
        <v>36</v>
      </c>
      <c r="D12" s="4" t="str">
        <f t="shared" si="0"/>
        <v>Move In/Move Out Fees</v>
      </c>
      <c r="E12" s="10">
        <v>-10000</v>
      </c>
      <c r="F12" s="20" t="s">
        <v>1496</v>
      </c>
      <c r="G12" s="20" t="b">
        <f t="shared" si="4"/>
        <v>0</v>
      </c>
      <c r="H12" s="21">
        <f t="shared" si="7"/>
        <v>-833</v>
      </c>
      <c r="I12" s="21">
        <f t="shared" si="7"/>
        <v>-833</v>
      </c>
      <c r="J12" s="21">
        <f t="shared" si="7"/>
        <v>-833</v>
      </c>
      <c r="K12" s="21">
        <f t="shared" si="7"/>
        <v>-833</v>
      </c>
      <c r="L12" s="21">
        <f t="shared" si="7"/>
        <v>-833</v>
      </c>
      <c r="M12" s="21">
        <f t="shared" si="7"/>
        <v>-833</v>
      </c>
      <c r="N12" s="21">
        <f t="shared" si="7"/>
        <v>-833</v>
      </c>
      <c r="O12" s="21">
        <f t="shared" si="7"/>
        <v>-833</v>
      </c>
      <c r="P12" s="21">
        <f t="shared" si="7"/>
        <v>-833</v>
      </c>
      <c r="Q12" s="21">
        <f t="shared" si="7"/>
        <v>-833</v>
      </c>
      <c r="R12" s="21">
        <f t="shared" si="7"/>
        <v>-833</v>
      </c>
      <c r="S12" s="21">
        <f t="shared" si="5"/>
        <v>-837</v>
      </c>
      <c r="T12" s="22">
        <f t="shared" si="6"/>
        <v>0</v>
      </c>
    </row>
    <row r="13" spans="1:20" x14ac:dyDescent="0.25">
      <c r="A13" s="5">
        <v>5990</v>
      </c>
      <c r="B13" s="5" t="s">
        <v>1510</v>
      </c>
      <c r="C13" s="5" t="s">
        <v>56</v>
      </c>
      <c r="D13" s="4" t="str">
        <f t="shared" si="0"/>
        <v>Storage Space Rent</v>
      </c>
      <c r="E13" s="10">
        <v>-15360</v>
      </c>
      <c r="F13" s="20" t="s">
        <v>1496</v>
      </c>
      <c r="G13" s="20" t="b">
        <f t="shared" si="4"/>
        <v>0</v>
      </c>
      <c r="H13" s="21">
        <f t="shared" si="7"/>
        <v>-1280</v>
      </c>
      <c r="I13" s="21">
        <f t="shared" si="7"/>
        <v>-1280</v>
      </c>
      <c r="J13" s="21">
        <f t="shared" si="7"/>
        <v>-1280</v>
      </c>
      <c r="K13" s="21">
        <f t="shared" si="7"/>
        <v>-1280</v>
      </c>
      <c r="L13" s="21">
        <f t="shared" si="7"/>
        <v>-1280</v>
      </c>
      <c r="M13" s="21">
        <f t="shared" si="7"/>
        <v>-1280</v>
      </c>
      <c r="N13" s="21">
        <f t="shared" si="7"/>
        <v>-1280</v>
      </c>
      <c r="O13" s="21">
        <f t="shared" si="7"/>
        <v>-1280</v>
      </c>
      <c r="P13" s="21">
        <f t="shared" si="7"/>
        <v>-1280</v>
      </c>
      <c r="Q13" s="21">
        <f t="shared" si="7"/>
        <v>-1280</v>
      </c>
      <c r="R13" s="21">
        <f t="shared" si="7"/>
        <v>-1280</v>
      </c>
      <c r="S13" s="21">
        <f t="shared" si="5"/>
        <v>-1280</v>
      </c>
      <c r="T13" s="22">
        <f t="shared" si="6"/>
        <v>0</v>
      </c>
    </row>
    <row r="14" spans="1:20" x14ac:dyDescent="0.25">
      <c r="A14" s="5">
        <v>6311</v>
      </c>
      <c r="B14" s="5" t="s">
        <v>1511</v>
      </c>
      <c r="C14" s="5" t="s">
        <v>828</v>
      </c>
      <c r="D14" s="4" t="str">
        <f t="shared" si="0"/>
        <v>General Office Expenses</v>
      </c>
      <c r="E14" s="10">
        <v>4500</v>
      </c>
      <c r="F14" s="20" t="s">
        <v>1496</v>
      </c>
      <c r="G14" s="20" t="b">
        <f t="shared" si="4"/>
        <v>0</v>
      </c>
      <c r="H14" s="21">
        <f t="shared" si="7"/>
        <v>375</v>
      </c>
      <c r="I14" s="21">
        <f t="shared" si="7"/>
        <v>375</v>
      </c>
      <c r="J14" s="21">
        <f t="shared" si="7"/>
        <v>375</v>
      </c>
      <c r="K14" s="21">
        <f t="shared" si="7"/>
        <v>375</v>
      </c>
      <c r="L14" s="21">
        <f t="shared" si="7"/>
        <v>375</v>
      </c>
      <c r="M14" s="21">
        <f t="shared" si="7"/>
        <v>375</v>
      </c>
      <c r="N14" s="21">
        <f t="shared" si="7"/>
        <v>375</v>
      </c>
      <c r="O14" s="21">
        <f t="shared" si="7"/>
        <v>375</v>
      </c>
      <c r="P14" s="21">
        <f t="shared" si="7"/>
        <v>375</v>
      </c>
      <c r="Q14" s="21">
        <f t="shared" si="7"/>
        <v>375</v>
      </c>
      <c r="R14" s="21">
        <f t="shared" si="7"/>
        <v>375</v>
      </c>
      <c r="S14" s="21">
        <f t="shared" si="5"/>
        <v>375</v>
      </c>
      <c r="T14" s="22">
        <f t="shared" si="6"/>
        <v>0</v>
      </c>
    </row>
    <row r="15" spans="1:20" x14ac:dyDescent="0.25">
      <c r="A15" s="5">
        <v>6312</v>
      </c>
      <c r="B15" s="5" t="s">
        <v>1512</v>
      </c>
      <c r="C15" s="5" t="s">
        <v>848</v>
      </c>
      <c r="D15" s="4" t="str">
        <f t="shared" si="0"/>
        <v>Office Equipment Expense</v>
      </c>
      <c r="E15" s="10">
        <v>6300</v>
      </c>
      <c r="F15" s="20" t="s">
        <v>1496</v>
      </c>
      <c r="G15" s="20" t="b">
        <f t="shared" si="4"/>
        <v>0</v>
      </c>
      <c r="H15" s="21">
        <f t="shared" si="7"/>
        <v>525</v>
      </c>
      <c r="I15" s="21">
        <f t="shared" si="7"/>
        <v>525</v>
      </c>
      <c r="J15" s="21">
        <f t="shared" si="7"/>
        <v>525</v>
      </c>
      <c r="K15" s="21">
        <f t="shared" si="7"/>
        <v>525</v>
      </c>
      <c r="L15" s="21">
        <f t="shared" si="7"/>
        <v>525</v>
      </c>
      <c r="M15" s="21">
        <f t="shared" si="7"/>
        <v>525</v>
      </c>
      <c r="N15" s="21">
        <f t="shared" si="7"/>
        <v>525</v>
      </c>
      <c r="O15" s="21">
        <f t="shared" si="7"/>
        <v>525</v>
      </c>
      <c r="P15" s="21">
        <f t="shared" si="7"/>
        <v>525</v>
      </c>
      <c r="Q15" s="21">
        <f t="shared" si="7"/>
        <v>525</v>
      </c>
      <c r="R15" s="21">
        <f t="shared" si="7"/>
        <v>525</v>
      </c>
      <c r="S15" s="21">
        <f t="shared" si="5"/>
        <v>525</v>
      </c>
      <c r="T15" s="22">
        <f t="shared" si="6"/>
        <v>0</v>
      </c>
    </row>
    <row r="16" spans="1:20" x14ac:dyDescent="0.25">
      <c r="A16" s="5">
        <v>6313</v>
      </c>
      <c r="B16" s="5" t="s">
        <v>1513</v>
      </c>
      <c r="C16" s="5" t="s">
        <v>832</v>
      </c>
      <c r="D16" s="4" t="str">
        <f t="shared" si="0"/>
        <v>Photocopy/Reproduction</v>
      </c>
      <c r="E16" s="10">
        <v>3420</v>
      </c>
      <c r="F16" s="20" t="s">
        <v>1496</v>
      </c>
      <c r="G16" s="20" t="b">
        <f t="shared" si="4"/>
        <v>0</v>
      </c>
      <c r="H16" s="21">
        <f t="shared" si="7"/>
        <v>285</v>
      </c>
      <c r="I16" s="21">
        <f t="shared" si="7"/>
        <v>285</v>
      </c>
      <c r="J16" s="21">
        <f t="shared" si="7"/>
        <v>285</v>
      </c>
      <c r="K16" s="21">
        <f t="shared" si="7"/>
        <v>285</v>
      </c>
      <c r="L16" s="21">
        <f t="shared" si="7"/>
        <v>285</v>
      </c>
      <c r="M16" s="21">
        <f t="shared" si="7"/>
        <v>285</v>
      </c>
      <c r="N16" s="21">
        <f t="shared" si="7"/>
        <v>285</v>
      </c>
      <c r="O16" s="21">
        <f t="shared" si="7"/>
        <v>285</v>
      </c>
      <c r="P16" s="21">
        <f t="shared" si="7"/>
        <v>285</v>
      </c>
      <c r="Q16" s="21">
        <f t="shared" si="7"/>
        <v>285</v>
      </c>
      <c r="R16" s="21">
        <f t="shared" si="7"/>
        <v>285</v>
      </c>
      <c r="S16" s="21">
        <f t="shared" si="5"/>
        <v>285</v>
      </c>
      <c r="T16" s="22">
        <f t="shared" si="6"/>
        <v>0</v>
      </c>
    </row>
    <row r="17" spans="1:20" x14ac:dyDescent="0.25">
      <c r="A17" s="5">
        <v>6314</v>
      </c>
      <c r="B17" s="5" t="s">
        <v>1514</v>
      </c>
      <c r="C17" s="5" t="s">
        <v>835</v>
      </c>
      <c r="D17" s="4" t="str">
        <f t="shared" si="0"/>
        <v>Postage Expenses</v>
      </c>
      <c r="E17" s="10">
        <v>2700</v>
      </c>
      <c r="F17" s="20" t="s">
        <v>1496</v>
      </c>
      <c r="G17" s="20" t="b">
        <f t="shared" si="4"/>
        <v>0</v>
      </c>
      <c r="H17" s="21">
        <f t="shared" si="7"/>
        <v>225</v>
      </c>
      <c r="I17" s="21">
        <f t="shared" si="7"/>
        <v>225</v>
      </c>
      <c r="J17" s="21">
        <f t="shared" si="7"/>
        <v>225</v>
      </c>
      <c r="K17" s="21">
        <f t="shared" si="7"/>
        <v>225</v>
      </c>
      <c r="L17" s="21">
        <f t="shared" si="7"/>
        <v>225</v>
      </c>
      <c r="M17" s="21">
        <f t="shared" si="7"/>
        <v>225</v>
      </c>
      <c r="N17" s="21">
        <f t="shared" si="7"/>
        <v>225</v>
      </c>
      <c r="O17" s="21">
        <f t="shared" si="7"/>
        <v>225</v>
      </c>
      <c r="P17" s="21">
        <f t="shared" si="7"/>
        <v>225</v>
      </c>
      <c r="Q17" s="21">
        <f t="shared" si="7"/>
        <v>225</v>
      </c>
      <c r="R17" s="21">
        <f t="shared" si="7"/>
        <v>225</v>
      </c>
      <c r="S17" s="21">
        <f t="shared" si="5"/>
        <v>225</v>
      </c>
      <c r="T17" s="22">
        <f t="shared" si="6"/>
        <v>0</v>
      </c>
    </row>
    <row r="18" spans="1:20" x14ac:dyDescent="0.25">
      <c r="A18" s="5">
        <v>6320</v>
      </c>
      <c r="B18" s="5" t="s">
        <v>1515</v>
      </c>
      <c r="C18" s="5" t="s">
        <v>797</v>
      </c>
      <c r="D18" s="4" t="str">
        <f t="shared" si="0"/>
        <v>Management Contract</v>
      </c>
      <c r="E18" s="10">
        <v>154000</v>
      </c>
      <c r="F18" s="20" t="s">
        <v>1496</v>
      </c>
      <c r="G18" s="20" t="b">
        <f t="shared" si="4"/>
        <v>0</v>
      </c>
      <c r="H18" s="21">
        <f t="shared" si="7"/>
        <v>12833</v>
      </c>
      <c r="I18" s="21">
        <f t="shared" si="7"/>
        <v>12833</v>
      </c>
      <c r="J18" s="21">
        <f t="shared" si="7"/>
        <v>12833</v>
      </c>
      <c r="K18" s="21">
        <f t="shared" si="7"/>
        <v>12833</v>
      </c>
      <c r="L18" s="21">
        <f t="shared" si="7"/>
        <v>12833</v>
      </c>
      <c r="M18" s="21">
        <f t="shared" si="7"/>
        <v>12833</v>
      </c>
      <c r="N18" s="21">
        <f t="shared" si="7"/>
        <v>12833</v>
      </c>
      <c r="O18" s="21">
        <f t="shared" si="7"/>
        <v>12833</v>
      </c>
      <c r="P18" s="21">
        <f t="shared" si="7"/>
        <v>12833</v>
      </c>
      <c r="Q18" s="21">
        <f t="shared" si="7"/>
        <v>12833</v>
      </c>
      <c r="R18" s="21">
        <f t="shared" si="7"/>
        <v>12833</v>
      </c>
      <c r="S18" s="21">
        <f t="shared" si="5"/>
        <v>12837</v>
      </c>
      <c r="T18" s="22">
        <f t="shared" si="6"/>
        <v>0</v>
      </c>
    </row>
    <row r="19" spans="1:20" x14ac:dyDescent="0.25">
      <c r="A19" s="5">
        <v>6330</v>
      </c>
      <c r="B19" s="5" t="s">
        <v>1516</v>
      </c>
      <c r="C19" s="5" t="s">
        <v>868</v>
      </c>
      <c r="D19" s="4" t="str">
        <f t="shared" si="0"/>
        <v>Promotions/Social Activity</v>
      </c>
      <c r="E19" s="10">
        <v>1200</v>
      </c>
      <c r="F19" s="20" t="s">
        <v>1496</v>
      </c>
      <c r="G19" s="20" t="b">
        <f t="shared" si="4"/>
        <v>0</v>
      </c>
      <c r="H19" s="21">
        <f t="shared" si="7"/>
        <v>100</v>
      </c>
      <c r="I19" s="21">
        <f t="shared" si="7"/>
        <v>100</v>
      </c>
      <c r="J19" s="21">
        <f t="shared" si="7"/>
        <v>100</v>
      </c>
      <c r="K19" s="21">
        <f t="shared" si="7"/>
        <v>100</v>
      </c>
      <c r="L19" s="21">
        <f t="shared" si="7"/>
        <v>100</v>
      </c>
      <c r="M19" s="21">
        <f t="shared" si="7"/>
        <v>100</v>
      </c>
      <c r="N19" s="21">
        <f t="shared" si="7"/>
        <v>100</v>
      </c>
      <c r="O19" s="21">
        <f t="shared" si="7"/>
        <v>100</v>
      </c>
      <c r="P19" s="21">
        <f t="shared" si="7"/>
        <v>100</v>
      </c>
      <c r="Q19" s="21">
        <f t="shared" si="7"/>
        <v>100</v>
      </c>
      <c r="R19" s="21">
        <f t="shared" si="7"/>
        <v>100</v>
      </c>
      <c r="S19" s="21">
        <f t="shared" si="5"/>
        <v>100</v>
      </c>
      <c r="T19" s="22">
        <f t="shared" si="6"/>
        <v>0</v>
      </c>
    </row>
    <row r="20" spans="1:20" x14ac:dyDescent="0.25">
      <c r="A20" s="5">
        <v>6340</v>
      </c>
      <c r="B20" s="5" t="s">
        <v>1517</v>
      </c>
      <c r="C20" s="5" t="s">
        <v>809</v>
      </c>
      <c r="D20" s="4" t="str">
        <f t="shared" si="0"/>
        <v>Legal Services (Assn)</v>
      </c>
      <c r="E20" s="10">
        <v>9000</v>
      </c>
      <c r="F20" s="20" t="s">
        <v>1496</v>
      </c>
      <c r="G20" s="20" t="b">
        <f t="shared" si="4"/>
        <v>0</v>
      </c>
      <c r="H20" s="21">
        <f t="shared" si="7"/>
        <v>750</v>
      </c>
      <c r="I20" s="21">
        <f t="shared" si="7"/>
        <v>750</v>
      </c>
      <c r="J20" s="21">
        <f t="shared" si="7"/>
        <v>750</v>
      </c>
      <c r="K20" s="21">
        <f t="shared" si="7"/>
        <v>750</v>
      </c>
      <c r="L20" s="21">
        <f t="shared" si="7"/>
        <v>750</v>
      </c>
      <c r="M20" s="21">
        <f t="shared" si="7"/>
        <v>750</v>
      </c>
      <c r="N20" s="21">
        <f t="shared" si="7"/>
        <v>750</v>
      </c>
      <c r="O20" s="21">
        <f t="shared" si="7"/>
        <v>750</v>
      </c>
      <c r="P20" s="21">
        <f t="shared" si="7"/>
        <v>750</v>
      </c>
      <c r="Q20" s="21">
        <f t="shared" si="7"/>
        <v>750</v>
      </c>
      <c r="R20" s="21">
        <f t="shared" si="7"/>
        <v>750</v>
      </c>
      <c r="S20" s="21">
        <f t="shared" si="5"/>
        <v>750</v>
      </c>
      <c r="T20" s="22">
        <f t="shared" si="6"/>
        <v>0</v>
      </c>
    </row>
    <row r="21" spans="1:20" x14ac:dyDescent="0.25">
      <c r="A21" s="5">
        <v>6350</v>
      </c>
      <c r="B21" s="5" t="s">
        <v>1518</v>
      </c>
      <c r="C21" s="5" t="s">
        <v>814</v>
      </c>
      <c r="D21" s="4" t="str">
        <f t="shared" si="0"/>
        <v>Audit &amp; Financial Services</v>
      </c>
      <c r="E21" s="10">
        <v>9000</v>
      </c>
      <c r="F21" s="20" t="s">
        <v>1496</v>
      </c>
      <c r="G21" s="20" t="b">
        <f t="shared" si="4"/>
        <v>0</v>
      </c>
      <c r="H21" s="21">
        <f t="shared" si="7"/>
        <v>750</v>
      </c>
      <c r="I21" s="21">
        <f t="shared" si="7"/>
        <v>750</v>
      </c>
      <c r="J21" s="21">
        <f t="shared" si="7"/>
        <v>750</v>
      </c>
      <c r="K21" s="21">
        <f t="shared" si="7"/>
        <v>750</v>
      </c>
      <c r="L21" s="21">
        <f t="shared" si="7"/>
        <v>750</v>
      </c>
      <c r="M21" s="21">
        <f t="shared" si="7"/>
        <v>750</v>
      </c>
      <c r="N21" s="21">
        <f t="shared" si="7"/>
        <v>750</v>
      </c>
      <c r="O21" s="21">
        <f t="shared" si="7"/>
        <v>750</v>
      </c>
      <c r="P21" s="21">
        <f t="shared" si="7"/>
        <v>750</v>
      </c>
      <c r="Q21" s="21">
        <f t="shared" si="7"/>
        <v>750</v>
      </c>
      <c r="R21" s="21">
        <f t="shared" si="7"/>
        <v>750</v>
      </c>
      <c r="S21" s="21">
        <f t="shared" si="5"/>
        <v>750</v>
      </c>
      <c r="T21" s="22">
        <f t="shared" si="6"/>
        <v>0</v>
      </c>
    </row>
    <row r="22" spans="1:20" s="4" customFormat="1" x14ac:dyDescent="0.25">
      <c r="A22" s="5">
        <v>63551</v>
      </c>
      <c r="B22" s="5" t="s">
        <v>1519</v>
      </c>
      <c r="C22" s="5" t="s">
        <v>215</v>
      </c>
      <c r="D22" s="4" t="str">
        <f t="shared" si="0"/>
        <v>Payroll Process Fees</v>
      </c>
      <c r="E22" s="10">
        <v>864</v>
      </c>
      <c r="F22" s="20" t="s">
        <v>1496</v>
      </c>
      <c r="G22" s="20" t="b">
        <f t="shared" si="4"/>
        <v>0</v>
      </c>
      <c r="H22" s="21">
        <f t="shared" si="7"/>
        <v>72</v>
      </c>
      <c r="I22" s="21">
        <f t="shared" si="7"/>
        <v>72</v>
      </c>
      <c r="J22" s="21">
        <f t="shared" si="7"/>
        <v>72</v>
      </c>
      <c r="K22" s="21">
        <f t="shared" si="7"/>
        <v>72</v>
      </c>
      <c r="L22" s="21">
        <f t="shared" si="7"/>
        <v>72</v>
      </c>
      <c r="M22" s="21">
        <f t="shared" si="7"/>
        <v>72</v>
      </c>
      <c r="N22" s="21">
        <f t="shared" si="7"/>
        <v>72</v>
      </c>
      <c r="O22" s="21">
        <f t="shared" si="7"/>
        <v>72</v>
      </c>
      <c r="P22" s="21">
        <f t="shared" si="7"/>
        <v>72</v>
      </c>
      <c r="Q22" s="21">
        <f t="shared" si="7"/>
        <v>72</v>
      </c>
      <c r="R22" s="21">
        <f t="shared" si="7"/>
        <v>72</v>
      </c>
      <c r="S22" s="21">
        <f t="shared" si="5"/>
        <v>72</v>
      </c>
      <c r="T22" s="22">
        <f t="shared" si="6"/>
        <v>0</v>
      </c>
    </row>
    <row r="23" spans="1:20" x14ac:dyDescent="0.25">
      <c r="A23" s="5">
        <v>6360</v>
      </c>
      <c r="B23" s="5" t="s">
        <v>1520</v>
      </c>
      <c r="C23" s="5" t="s">
        <v>853</v>
      </c>
      <c r="D23" s="4" t="str">
        <f t="shared" si="0"/>
        <v>Telephone/Pager Expense</v>
      </c>
      <c r="E23" s="10">
        <v>16040</v>
      </c>
      <c r="F23" s="20" t="s">
        <v>1496</v>
      </c>
      <c r="G23" s="20" t="b">
        <f t="shared" si="4"/>
        <v>0</v>
      </c>
      <c r="H23" s="21">
        <f t="shared" si="7"/>
        <v>1337</v>
      </c>
      <c r="I23" s="21">
        <f t="shared" si="7"/>
        <v>1337</v>
      </c>
      <c r="J23" s="21">
        <f t="shared" si="7"/>
        <v>1337</v>
      </c>
      <c r="K23" s="21">
        <f t="shared" si="7"/>
        <v>1337</v>
      </c>
      <c r="L23" s="21">
        <f t="shared" si="7"/>
        <v>1337</v>
      </c>
      <c r="M23" s="21">
        <f t="shared" si="7"/>
        <v>1337</v>
      </c>
      <c r="N23" s="21">
        <f t="shared" si="7"/>
        <v>1337</v>
      </c>
      <c r="O23" s="21">
        <f t="shared" si="7"/>
        <v>1337</v>
      </c>
      <c r="P23" s="21">
        <f t="shared" si="7"/>
        <v>1337</v>
      </c>
      <c r="Q23" s="21">
        <f t="shared" si="7"/>
        <v>1337</v>
      </c>
      <c r="R23" s="21">
        <f t="shared" si="7"/>
        <v>1337</v>
      </c>
      <c r="S23" s="21">
        <f t="shared" si="5"/>
        <v>1333</v>
      </c>
      <c r="T23" s="22">
        <f t="shared" si="6"/>
        <v>0</v>
      </c>
    </row>
    <row r="24" spans="1:20" x14ac:dyDescent="0.25">
      <c r="A24" s="5">
        <v>6363</v>
      </c>
      <c r="B24" s="5" t="s">
        <v>1521</v>
      </c>
      <c r="C24" s="5" t="s">
        <v>333</v>
      </c>
      <c r="D24" s="4" t="str">
        <f t="shared" si="0"/>
        <v>Fire Prevention</v>
      </c>
      <c r="E24" s="10">
        <v>22710</v>
      </c>
      <c r="F24" s="20" t="s">
        <v>1496</v>
      </c>
      <c r="G24" s="20" t="b">
        <f t="shared" si="4"/>
        <v>0</v>
      </c>
      <c r="H24" s="21">
        <f t="shared" si="7"/>
        <v>1893</v>
      </c>
      <c r="I24" s="21">
        <f t="shared" si="7"/>
        <v>1893</v>
      </c>
      <c r="J24" s="21">
        <f t="shared" si="7"/>
        <v>1893</v>
      </c>
      <c r="K24" s="21">
        <f t="shared" si="7"/>
        <v>1893</v>
      </c>
      <c r="L24" s="21">
        <f t="shared" si="7"/>
        <v>1893</v>
      </c>
      <c r="M24" s="21">
        <f t="shared" si="7"/>
        <v>1893</v>
      </c>
      <c r="N24" s="21">
        <f t="shared" si="7"/>
        <v>1893</v>
      </c>
      <c r="O24" s="21">
        <f t="shared" si="7"/>
        <v>1893</v>
      </c>
      <c r="P24" s="21">
        <f t="shared" si="7"/>
        <v>1893</v>
      </c>
      <c r="Q24" s="21">
        <f t="shared" si="7"/>
        <v>1893</v>
      </c>
      <c r="R24" s="21">
        <f t="shared" si="7"/>
        <v>1893</v>
      </c>
      <c r="S24" s="21">
        <f t="shared" si="5"/>
        <v>1887</v>
      </c>
      <c r="T24" s="22">
        <f t="shared" si="6"/>
        <v>0</v>
      </c>
    </row>
    <row r="25" spans="1:20" x14ac:dyDescent="0.25">
      <c r="A25" s="5">
        <v>6377</v>
      </c>
      <c r="B25" s="5" t="s">
        <v>1522</v>
      </c>
      <c r="C25" s="5" t="s">
        <v>904</v>
      </c>
      <c r="D25" s="4" t="str">
        <f t="shared" si="0"/>
        <v>Bad Debt Write-Offs</v>
      </c>
      <c r="E25" s="10">
        <v>12000</v>
      </c>
      <c r="F25" s="20" t="s">
        <v>1496</v>
      </c>
      <c r="G25" s="20" t="b">
        <f t="shared" si="4"/>
        <v>0</v>
      </c>
      <c r="H25" s="21">
        <f t="shared" si="7"/>
        <v>1000</v>
      </c>
      <c r="I25" s="21">
        <f t="shared" si="7"/>
        <v>1000</v>
      </c>
      <c r="J25" s="21">
        <f t="shared" si="7"/>
        <v>1000</v>
      </c>
      <c r="K25" s="21">
        <f t="shared" si="7"/>
        <v>1000</v>
      </c>
      <c r="L25" s="21">
        <f t="shared" si="7"/>
        <v>1000</v>
      </c>
      <c r="M25" s="21">
        <f t="shared" si="7"/>
        <v>1000</v>
      </c>
      <c r="N25" s="21">
        <f t="shared" si="7"/>
        <v>1000</v>
      </c>
      <c r="O25" s="21">
        <f t="shared" si="7"/>
        <v>1000</v>
      </c>
      <c r="P25" s="21">
        <f t="shared" si="7"/>
        <v>1000</v>
      </c>
      <c r="Q25" s="21">
        <f t="shared" si="7"/>
        <v>1000</v>
      </c>
      <c r="R25" s="21">
        <f t="shared" si="7"/>
        <v>1000</v>
      </c>
      <c r="S25" s="24">
        <f t="shared" si="5"/>
        <v>1000</v>
      </c>
      <c r="T25" s="22">
        <f t="shared" si="6"/>
        <v>0</v>
      </c>
    </row>
    <row r="26" spans="1:20" x14ac:dyDescent="0.25">
      <c r="A26" s="5">
        <v>6380</v>
      </c>
      <c r="B26" s="5" t="s">
        <v>1523</v>
      </c>
      <c r="C26" s="5" t="s">
        <v>864</v>
      </c>
      <c r="D26" s="4" t="str">
        <f t="shared" si="0"/>
        <v>Community Newsletter</v>
      </c>
      <c r="E26" s="10">
        <v>1800</v>
      </c>
      <c r="F26" s="20" t="s">
        <v>1496</v>
      </c>
      <c r="G26" s="20" t="b">
        <f t="shared" si="4"/>
        <v>0</v>
      </c>
      <c r="H26" s="21">
        <f t="shared" si="7"/>
        <v>150</v>
      </c>
      <c r="I26" s="21">
        <f t="shared" si="7"/>
        <v>150</v>
      </c>
      <c r="J26" s="21">
        <f t="shared" si="7"/>
        <v>150</v>
      </c>
      <c r="K26" s="21">
        <f t="shared" si="7"/>
        <v>150</v>
      </c>
      <c r="L26" s="21">
        <f t="shared" si="7"/>
        <v>150</v>
      </c>
      <c r="M26" s="21">
        <f t="shared" si="7"/>
        <v>150</v>
      </c>
      <c r="N26" s="21">
        <f t="shared" si="7"/>
        <v>150</v>
      </c>
      <c r="O26" s="21">
        <f t="shared" si="7"/>
        <v>150</v>
      </c>
      <c r="P26" s="21">
        <f t="shared" si="7"/>
        <v>150</v>
      </c>
      <c r="Q26" s="21">
        <f t="shared" si="7"/>
        <v>150</v>
      </c>
      <c r="R26" s="21">
        <f t="shared" si="7"/>
        <v>150</v>
      </c>
      <c r="S26" s="21">
        <f t="shared" si="5"/>
        <v>150</v>
      </c>
      <c r="T26" s="22">
        <f t="shared" si="6"/>
        <v>0</v>
      </c>
    </row>
    <row r="27" spans="1:20" x14ac:dyDescent="0.25">
      <c r="A27" s="5">
        <v>6383</v>
      </c>
      <c r="B27" s="5" t="s">
        <v>1524</v>
      </c>
      <c r="C27" s="5" t="s">
        <v>859</v>
      </c>
      <c r="D27" s="15" t="str">
        <f t="shared" si="0"/>
        <v>Office Rent</v>
      </c>
      <c r="E27" s="10">
        <v>2500</v>
      </c>
      <c r="F27" s="20" t="s">
        <v>1496</v>
      </c>
      <c r="G27" s="20" t="b">
        <f t="shared" si="4"/>
        <v>0</v>
      </c>
      <c r="H27" s="21">
        <f t="shared" ref="H27:R50" si="8">ROUND(($E27/12),0)</f>
        <v>208</v>
      </c>
      <c r="I27" s="21">
        <f t="shared" si="8"/>
        <v>208</v>
      </c>
      <c r="J27" s="21">
        <f t="shared" si="8"/>
        <v>208</v>
      </c>
      <c r="K27" s="21">
        <f t="shared" si="8"/>
        <v>208</v>
      </c>
      <c r="L27" s="21">
        <f t="shared" si="8"/>
        <v>208</v>
      </c>
      <c r="M27" s="21">
        <f t="shared" si="8"/>
        <v>208</v>
      </c>
      <c r="N27" s="21">
        <f t="shared" si="8"/>
        <v>208</v>
      </c>
      <c r="O27" s="21">
        <f t="shared" si="8"/>
        <v>208</v>
      </c>
      <c r="P27" s="21">
        <f t="shared" si="8"/>
        <v>208</v>
      </c>
      <c r="Q27" s="21">
        <f t="shared" si="8"/>
        <v>208</v>
      </c>
      <c r="R27" s="21">
        <f t="shared" si="8"/>
        <v>208</v>
      </c>
      <c r="S27" s="21">
        <f t="shared" ref="S27:S75" si="9">ROUND((E27-((ROUND(($E27/12),0))*11)),0)</f>
        <v>212</v>
      </c>
      <c r="T27" s="22">
        <f t="shared" ref="T27:T75" si="10">SUM(H27:S27)-E27</f>
        <v>0</v>
      </c>
    </row>
    <row r="28" spans="1:20" x14ac:dyDescent="0.25">
      <c r="A28" s="5">
        <v>6387</v>
      </c>
      <c r="B28" s="5" t="s">
        <v>1525</v>
      </c>
      <c r="C28" s="5" t="s">
        <v>842</v>
      </c>
      <c r="D28" s="4" t="str">
        <f t="shared" si="0"/>
        <v>Bank Charges</v>
      </c>
      <c r="E28" s="10">
        <v>4008</v>
      </c>
      <c r="F28" s="20" t="s">
        <v>1496</v>
      </c>
      <c r="G28" s="20" t="b">
        <f t="shared" si="4"/>
        <v>0</v>
      </c>
      <c r="H28" s="21">
        <f t="shared" si="8"/>
        <v>334</v>
      </c>
      <c r="I28" s="21">
        <f t="shared" si="8"/>
        <v>334</v>
      </c>
      <c r="J28" s="21">
        <f t="shared" si="8"/>
        <v>334</v>
      </c>
      <c r="K28" s="21">
        <f t="shared" si="8"/>
        <v>334</v>
      </c>
      <c r="L28" s="21">
        <f t="shared" si="8"/>
        <v>334</v>
      </c>
      <c r="M28" s="21">
        <f t="shared" si="8"/>
        <v>334</v>
      </c>
      <c r="N28" s="21">
        <f t="shared" si="8"/>
        <v>334</v>
      </c>
      <c r="O28" s="21">
        <f t="shared" si="8"/>
        <v>334</v>
      </c>
      <c r="P28" s="21">
        <f t="shared" si="8"/>
        <v>334</v>
      </c>
      <c r="Q28" s="21">
        <f t="shared" si="8"/>
        <v>334</v>
      </c>
      <c r="R28" s="21">
        <f t="shared" si="8"/>
        <v>334</v>
      </c>
      <c r="S28" s="21">
        <f t="shared" si="9"/>
        <v>334</v>
      </c>
      <c r="T28" s="22">
        <f t="shared" si="10"/>
        <v>0</v>
      </c>
    </row>
    <row r="29" spans="1:20" x14ac:dyDescent="0.25">
      <c r="A29" s="5">
        <v>6390</v>
      </c>
      <c r="B29" s="5" t="s">
        <v>1526</v>
      </c>
      <c r="C29" s="5" t="s">
        <v>909</v>
      </c>
      <c r="D29" s="4" t="str">
        <f t="shared" si="0"/>
        <v>Other Administrative Expense</v>
      </c>
      <c r="E29" s="10">
        <v>500</v>
      </c>
      <c r="F29" s="20" t="s">
        <v>1496</v>
      </c>
      <c r="G29" s="20" t="b">
        <f t="shared" si="4"/>
        <v>0</v>
      </c>
      <c r="H29" s="21">
        <f t="shared" si="8"/>
        <v>42</v>
      </c>
      <c r="I29" s="21">
        <f t="shared" si="8"/>
        <v>42</v>
      </c>
      <c r="J29" s="21">
        <f t="shared" si="8"/>
        <v>42</v>
      </c>
      <c r="K29" s="21">
        <f t="shared" si="8"/>
        <v>42</v>
      </c>
      <c r="L29" s="21">
        <f t="shared" si="8"/>
        <v>42</v>
      </c>
      <c r="M29" s="21">
        <f t="shared" si="8"/>
        <v>42</v>
      </c>
      <c r="N29" s="21">
        <f t="shared" si="8"/>
        <v>42</v>
      </c>
      <c r="O29" s="21">
        <f t="shared" si="8"/>
        <v>42</v>
      </c>
      <c r="P29" s="21">
        <f t="shared" si="8"/>
        <v>42</v>
      </c>
      <c r="Q29" s="21">
        <f t="shared" si="8"/>
        <v>42</v>
      </c>
      <c r="R29" s="21">
        <f t="shared" si="8"/>
        <v>42</v>
      </c>
      <c r="S29" s="21">
        <f t="shared" si="9"/>
        <v>38</v>
      </c>
      <c r="T29" s="22">
        <f t="shared" si="10"/>
        <v>0</v>
      </c>
    </row>
    <row r="30" spans="1:20" x14ac:dyDescent="0.25">
      <c r="A30" s="5">
        <v>6431</v>
      </c>
      <c r="B30" s="5" t="s">
        <v>1527</v>
      </c>
      <c r="C30" s="5" t="s">
        <v>496</v>
      </c>
      <c r="D30" s="4" t="str">
        <f t="shared" si="0"/>
        <v>Cleaning Supplies</v>
      </c>
      <c r="E30" s="10">
        <v>2000</v>
      </c>
      <c r="F30" s="20" t="s">
        <v>1496</v>
      </c>
      <c r="G30" s="20" t="b">
        <f t="shared" si="4"/>
        <v>0</v>
      </c>
      <c r="H30" s="21">
        <f t="shared" si="8"/>
        <v>167</v>
      </c>
      <c r="I30" s="21">
        <f t="shared" si="8"/>
        <v>167</v>
      </c>
      <c r="J30" s="21">
        <f t="shared" si="8"/>
        <v>167</v>
      </c>
      <c r="K30" s="21">
        <f t="shared" si="8"/>
        <v>167</v>
      </c>
      <c r="L30" s="21">
        <f t="shared" si="8"/>
        <v>167</v>
      </c>
      <c r="M30" s="21">
        <f t="shared" si="8"/>
        <v>167</v>
      </c>
      <c r="N30" s="21">
        <f t="shared" si="8"/>
        <v>167</v>
      </c>
      <c r="O30" s="21">
        <f t="shared" si="8"/>
        <v>167</v>
      </c>
      <c r="P30" s="21">
        <f t="shared" si="8"/>
        <v>167</v>
      </c>
      <c r="Q30" s="21">
        <f t="shared" si="8"/>
        <v>167</v>
      </c>
      <c r="R30" s="21">
        <f t="shared" si="8"/>
        <v>167</v>
      </c>
      <c r="S30" s="21">
        <f t="shared" si="9"/>
        <v>163</v>
      </c>
      <c r="T30" s="22">
        <f t="shared" si="10"/>
        <v>0</v>
      </c>
    </row>
    <row r="31" spans="1:20" x14ac:dyDescent="0.25">
      <c r="A31" s="5">
        <v>6432</v>
      </c>
      <c r="B31" s="5" t="s">
        <v>1528</v>
      </c>
      <c r="C31" s="5" t="s">
        <v>310</v>
      </c>
      <c r="D31" s="4" t="str">
        <f t="shared" si="0"/>
        <v>Cleaning Contract</v>
      </c>
      <c r="E31" s="10">
        <v>73080</v>
      </c>
      <c r="F31" s="20" t="s">
        <v>1496</v>
      </c>
      <c r="G31" s="20" t="b">
        <f t="shared" si="4"/>
        <v>0</v>
      </c>
      <c r="H31" s="21">
        <f t="shared" si="8"/>
        <v>6090</v>
      </c>
      <c r="I31" s="21">
        <f t="shared" si="8"/>
        <v>6090</v>
      </c>
      <c r="J31" s="21">
        <f t="shared" si="8"/>
        <v>6090</v>
      </c>
      <c r="K31" s="21">
        <f t="shared" si="8"/>
        <v>6090</v>
      </c>
      <c r="L31" s="21">
        <f t="shared" si="8"/>
        <v>6090</v>
      </c>
      <c r="M31" s="21">
        <f t="shared" si="8"/>
        <v>6090</v>
      </c>
      <c r="N31" s="21">
        <f t="shared" si="8"/>
        <v>6090</v>
      </c>
      <c r="O31" s="21">
        <f t="shared" si="8"/>
        <v>6090</v>
      </c>
      <c r="P31" s="21">
        <f t="shared" si="8"/>
        <v>6090</v>
      </c>
      <c r="Q31" s="21">
        <f t="shared" si="8"/>
        <v>6090</v>
      </c>
      <c r="R31" s="21">
        <f t="shared" si="8"/>
        <v>6090</v>
      </c>
      <c r="S31" s="21">
        <f t="shared" si="9"/>
        <v>6090</v>
      </c>
      <c r="T31" s="22">
        <f t="shared" si="10"/>
        <v>0</v>
      </c>
    </row>
    <row r="32" spans="1:20" x14ac:dyDescent="0.25">
      <c r="A32" s="5">
        <v>6433</v>
      </c>
      <c r="B32" s="5" t="s">
        <v>1529</v>
      </c>
      <c r="C32" s="5" t="s">
        <v>402</v>
      </c>
      <c r="D32" s="4" t="str">
        <f t="shared" si="0"/>
        <v>Lights, Bulbs and Tubes</v>
      </c>
      <c r="E32" s="10">
        <v>5004</v>
      </c>
      <c r="F32" s="20" t="s">
        <v>1496</v>
      </c>
      <c r="G32" s="20" t="b">
        <f t="shared" si="4"/>
        <v>0</v>
      </c>
      <c r="H32" s="21">
        <f t="shared" si="8"/>
        <v>417</v>
      </c>
      <c r="I32" s="21">
        <f t="shared" si="8"/>
        <v>417</v>
      </c>
      <c r="J32" s="21">
        <f t="shared" si="8"/>
        <v>417</v>
      </c>
      <c r="K32" s="21">
        <f t="shared" si="8"/>
        <v>417</v>
      </c>
      <c r="L32" s="21">
        <f t="shared" si="8"/>
        <v>417</v>
      </c>
      <c r="M32" s="21">
        <f t="shared" si="8"/>
        <v>417</v>
      </c>
      <c r="N32" s="21">
        <f t="shared" si="8"/>
        <v>417</v>
      </c>
      <c r="O32" s="21">
        <f t="shared" si="8"/>
        <v>417</v>
      </c>
      <c r="P32" s="21">
        <f t="shared" si="8"/>
        <v>417</v>
      </c>
      <c r="Q32" s="21">
        <f t="shared" si="8"/>
        <v>417</v>
      </c>
      <c r="R32" s="21">
        <f t="shared" si="8"/>
        <v>417</v>
      </c>
      <c r="S32" s="21">
        <f t="shared" si="9"/>
        <v>417</v>
      </c>
      <c r="T32" s="22">
        <f t="shared" si="10"/>
        <v>0</v>
      </c>
    </row>
    <row r="33" spans="1:20" x14ac:dyDescent="0.25">
      <c r="A33" s="5">
        <v>6434</v>
      </c>
      <c r="B33" s="5" t="s">
        <v>1530</v>
      </c>
      <c r="C33" s="5" t="s">
        <v>352</v>
      </c>
      <c r="D33" s="4" t="str">
        <f t="shared" si="0"/>
        <v>All Uniform Expenses</v>
      </c>
      <c r="E33" s="10">
        <v>1200</v>
      </c>
      <c r="F33" s="20" t="s">
        <v>1496</v>
      </c>
      <c r="G33" s="20" t="b">
        <f t="shared" si="4"/>
        <v>0</v>
      </c>
      <c r="H33" s="21">
        <f t="shared" si="8"/>
        <v>100</v>
      </c>
      <c r="I33" s="21">
        <f t="shared" si="8"/>
        <v>100</v>
      </c>
      <c r="J33" s="21">
        <f t="shared" si="8"/>
        <v>100</v>
      </c>
      <c r="K33" s="21">
        <f t="shared" si="8"/>
        <v>100</v>
      </c>
      <c r="L33" s="21">
        <f t="shared" si="8"/>
        <v>100</v>
      </c>
      <c r="M33" s="21">
        <f t="shared" si="8"/>
        <v>100</v>
      </c>
      <c r="N33" s="21">
        <f t="shared" si="8"/>
        <v>100</v>
      </c>
      <c r="O33" s="21">
        <f t="shared" si="8"/>
        <v>100</v>
      </c>
      <c r="P33" s="21">
        <f t="shared" si="8"/>
        <v>100</v>
      </c>
      <c r="Q33" s="21">
        <f t="shared" si="8"/>
        <v>100</v>
      </c>
      <c r="R33" s="21">
        <f t="shared" si="8"/>
        <v>100</v>
      </c>
      <c r="S33" s="21">
        <f t="shared" si="9"/>
        <v>100</v>
      </c>
      <c r="T33" s="22">
        <f t="shared" si="10"/>
        <v>0</v>
      </c>
    </row>
    <row r="34" spans="1:20" x14ac:dyDescent="0.25">
      <c r="A34" s="5">
        <v>6435</v>
      </c>
      <c r="B34" s="5" t="s">
        <v>1531</v>
      </c>
      <c r="C34" s="5" t="s">
        <v>435</v>
      </c>
      <c r="D34" s="4" t="str">
        <f t="shared" si="0"/>
        <v>Doors, Locks &amp; Keys</v>
      </c>
      <c r="E34" s="10">
        <v>5000</v>
      </c>
      <c r="F34" s="20" t="s">
        <v>1496</v>
      </c>
      <c r="G34" s="20" t="b">
        <f t="shared" si="4"/>
        <v>0</v>
      </c>
      <c r="H34" s="21">
        <f t="shared" si="8"/>
        <v>417</v>
      </c>
      <c r="I34" s="21">
        <f t="shared" si="8"/>
        <v>417</v>
      </c>
      <c r="J34" s="21">
        <f t="shared" si="8"/>
        <v>417</v>
      </c>
      <c r="K34" s="21">
        <f t="shared" si="8"/>
        <v>417</v>
      </c>
      <c r="L34" s="21">
        <f t="shared" si="8"/>
        <v>417</v>
      </c>
      <c r="M34" s="21">
        <f t="shared" si="8"/>
        <v>417</v>
      </c>
      <c r="N34" s="21">
        <f t="shared" si="8"/>
        <v>417</v>
      </c>
      <c r="O34" s="21">
        <f t="shared" si="8"/>
        <v>417</v>
      </c>
      <c r="P34" s="21">
        <f t="shared" si="8"/>
        <v>417</v>
      </c>
      <c r="Q34" s="21">
        <f t="shared" si="8"/>
        <v>417</v>
      </c>
      <c r="R34" s="21">
        <f t="shared" si="8"/>
        <v>417</v>
      </c>
      <c r="S34" s="21">
        <f t="shared" si="9"/>
        <v>413</v>
      </c>
      <c r="T34" s="22">
        <f t="shared" si="10"/>
        <v>0</v>
      </c>
    </row>
    <row r="35" spans="1:20" x14ac:dyDescent="0.25">
      <c r="A35" s="5">
        <v>6441</v>
      </c>
      <c r="B35" s="5" t="s">
        <v>1532</v>
      </c>
      <c r="C35" s="5" t="s">
        <v>616</v>
      </c>
      <c r="D35" s="4" t="str">
        <f t="shared" si="0"/>
        <v>Vehicle Expenses</v>
      </c>
      <c r="E35" s="10">
        <v>900</v>
      </c>
      <c r="F35" s="20" t="s">
        <v>1496</v>
      </c>
      <c r="G35" s="20" t="b">
        <f t="shared" si="4"/>
        <v>0</v>
      </c>
      <c r="H35" s="21">
        <f t="shared" si="8"/>
        <v>75</v>
      </c>
      <c r="I35" s="21">
        <f t="shared" si="8"/>
        <v>75</v>
      </c>
      <c r="J35" s="21">
        <f t="shared" si="8"/>
        <v>75</v>
      </c>
      <c r="K35" s="21">
        <f t="shared" si="8"/>
        <v>75</v>
      </c>
      <c r="L35" s="21">
        <f t="shared" si="8"/>
        <v>75</v>
      </c>
      <c r="M35" s="21">
        <f t="shared" si="8"/>
        <v>75</v>
      </c>
      <c r="N35" s="21">
        <f t="shared" si="8"/>
        <v>75</v>
      </c>
      <c r="O35" s="21">
        <f t="shared" si="8"/>
        <v>75</v>
      </c>
      <c r="P35" s="21">
        <f t="shared" si="8"/>
        <v>75</v>
      </c>
      <c r="Q35" s="21">
        <f t="shared" si="8"/>
        <v>75</v>
      </c>
      <c r="R35" s="21">
        <f t="shared" si="8"/>
        <v>75</v>
      </c>
      <c r="S35" s="21">
        <f t="shared" si="9"/>
        <v>75</v>
      </c>
      <c r="T35" s="22">
        <f t="shared" si="10"/>
        <v>0</v>
      </c>
    </row>
    <row r="36" spans="1:20" x14ac:dyDescent="0.25">
      <c r="A36" s="5">
        <v>6450</v>
      </c>
      <c r="B36" s="5" t="s">
        <v>1533</v>
      </c>
      <c r="C36" s="5" t="s">
        <v>261</v>
      </c>
      <c r="D36" s="4" t="str">
        <f t="shared" si="0"/>
        <v>Electricity</v>
      </c>
      <c r="E36" s="10">
        <v>90500</v>
      </c>
      <c r="F36" s="20" t="s">
        <v>1496</v>
      </c>
      <c r="G36" s="20" t="b">
        <f t="shared" si="4"/>
        <v>0</v>
      </c>
      <c r="H36" s="21">
        <f t="shared" si="8"/>
        <v>7542</v>
      </c>
      <c r="I36" s="21">
        <f t="shared" si="8"/>
        <v>7542</v>
      </c>
      <c r="J36" s="21">
        <f t="shared" si="8"/>
        <v>7542</v>
      </c>
      <c r="K36" s="21">
        <f t="shared" si="8"/>
        <v>7542</v>
      </c>
      <c r="L36" s="21">
        <f t="shared" si="8"/>
        <v>7542</v>
      </c>
      <c r="M36" s="21">
        <f t="shared" si="8"/>
        <v>7542</v>
      </c>
      <c r="N36" s="21">
        <f t="shared" si="8"/>
        <v>7542</v>
      </c>
      <c r="O36" s="21">
        <f t="shared" si="8"/>
        <v>7542</v>
      </c>
      <c r="P36" s="21">
        <f t="shared" si="8"/>
        <v>7542</v>
      </c>
      <c r="Q36" s="21">
        <f t="shared" si="8"/>
        <v>7542</v>
      </c>
      <c r="R36" s="21">
        <f t="shared" si="8"/>
        <v>7542</v>
      </c>
      <c r="S36" s="21">
        <f t="shared" si="9"/>
        <v>7538</v>
      </c>
      <c r="T36" s="22">
        <f t="shared" si="10"/>
        <v>0</v>
      </c>
    </row>
    <row r="37" spans="1:20" x14ac:dyDescent="0.25">
      <c r="A37" s="5">
        <v>6451</v>
      </c>
      <c r="B37" s="5" t="s">
        <v>1535</v>
      </c>
      <c r="C37" s="5" t="s">
        <v>275</v>
      </c>
      <c r="D37" s="4" t="str">
        <f t="shared" si="0"/>
        <v>Water</v>
      </c>
      <c r="E37" s="10">
        <v>115000</v>
      </c>
      <c r="F37" s="20" t="s">
        <v>1496</v>
      </c>
      <c r="G37" s="20" t="b">
        <f t="shared" si="4"/>
        <v>0</v>
      </c>
      <c r="H37" s="21">
        <f t="shared" si="8"/>
        <v>9583</v>
      </c>
      <c r="I37" s="21">
        <f t="shared" si="8"/>
        <v>9583</v>
      </c>
      <c r="J37" s="21">
        <f t="shared" si="8"/>
        <v>9583</v>
      </c>
      <c r="K37" s="21">
        <f t="shared" si="8"/>
        <v>9583</v>
      </c>
      <c r="L37" s="21">
        <f t="shared" si="8"/>
        <v>9583</v>
      </c>
      <c r="M37" s="21">
        <f t="shared" si="8"/>
        <v>9583</v>
      </c>
      <c r="N37" s="21">
        <f t="shared" si="8"/>
        <v>9583</v>
      </c>
      <c r="O37" s="21">
        <f t="shared" si="8"/>
        <v>9583</v>
      </c>
      <c r="P37" s="21">
        <f t="shared" si="8"/>
        <v>9583</v>
      </c>
      <c r="Q37" s="21">
        <f t="shared" si="8"/>
        <v>9583</v>
      </c>
      <c r="R37" s="21">
        <f t="shared" si="8"/>
        <v>9583</v>
      </c>
      <c r="S37" s="21">
        <f t="shared" si="9"/>
        <v>9587</v>
      </c>
      <c r="T37" s="22">
        <f t="shared" si="10"/>
        <v>0</v>
      </c>
    </row>
    <row r="38" spans="1:20" x14ac:dyDescent="0.25">
      <c r="A38" s="5">
        <v>6452</v>
      </c>
      <c r="B38" s="5" t="s">
        <v>1534</v>
      </c>
      <c r="C38" s="5" t="s">
        <v>280</v>
      </c>
      <c r="D38" s="4" t="str">
        <f t="shared" si="0"/>
        <v>Gas</v>
      </c>
      <c r="E38" s="10">
        <v>101970</v>
      </c>
      <c r="F38" s="20" t="s">
        <v>1496</v>
      </c>
      <c r="G38" s="20" t="b">
        <f t="shared" si="4"/>
        <v>0</v>
      </c>
      <c r="H38" s="21">
        <f t="shared" si="8"/>
        <v>8498</v>
      </c>
      <c r="I38" s="21">
        <f t="shared" si="8"/>
        <v>8498</v>
      </c>
      <c r="J38" s="21">
        <f t="shared" si="8"/>
        <v>8498</v>
      </c>
      <c r="K38" s="21">
        <f t="shared" si="8"/>
        <v>8498</v>
      </c>
      <c r="L38" s="21">
        <f t="shared" si="8"/>
        <v>8498</v>
      </c>
      <c r="M38" s="21">
        <f t="shared" si="8"/>
        <v>8498</v>
      </c>
      <c r="N38" s="21">
        <f t="shared" si="8"/>
        <v>8498</v>
      </c>
      <c r="O38" s="21">
        <f t="shared" si="8"/>
        <v>8498</v>
      </c>
      <c r="P38" s="21">
        <f t="shared" si="8"/>
        <v>8498</v>
      </c>
      <c r="Q38" s="21">
        <f t="shared" si="8"/>
        <v>8498</v>
      </c>
      <c r="R38" s="21">
        <f t="shared" si="8"/>
        <v>8498</v>
      </c>
      <c r="S38" s="21">
        <f t="shared" si="9"/>
        <v>8492</v>
      </c>
      <c r="T38" s="22">
        <f t="shared" si="10"/>
        <v>0</v>
      </c>
    </row>
    <row r="39" spans="1:20" x14ac:dyDescent="0.25">
      <c r="A39" s="5">
        <v>6460</v>
      </c>
      <c r="B39" s="5" t="s">
        <v>1536</v>
      </c>
      <c r="C39" s="5" t="s">
        <v>447</v>
      </c>
      <c r="D39" s="4" t="str">
        <f t="shared" si="0"/>
        <v>Building Equipment Repairs</v>
      </c>
      <c r="E39" s="10">
        <v>5990</v>
      </c>
      <c r="F39" s="20" t="s">
        <v>1496</v>
      </c>
      <c r="G39" s="20" t="b">
        <f t="shared" si="4"/>
        <v>0</v>
      </c>
      <c r="H39" s="21">
        <f t="shared" si="8"/>
        <v>499</v>
      </c>
      <c r="I39" s="21">
        <f t="shared" si="8"/>
        <v>499</v>
      </c>
      <c r="J39" s="21">
        <f t="shared" si="8"/>
        <v>499</v>
      </c>
      <c r="K39" s="21">
        <f t="shared" si="8"/>
        <v>499</v>
      </c>
      <c r="L39" s="21">
        <f t="shared" si="8"/>
        <v>499</v>
      </c>
      <c r="M39" s="21">
        <f t="shared" si="8"/>
        <v>499</v>
      </c>
      <c r="N39" s="21">
        <f t="shared" si="8"/>
        <v>499</v>
      </c>
      <c r="O39" s="21">
        <f t="shared" si="8"/>
        <v>499</v>
      </c>
      <c r="P39" s="21">
        <f t="shared" si="8"/>
        <v>499</v>
      </c>
      <c r="Q39" s="21">
        <f t="shared" si="8"/>
        <v>499</v>
      </c>
      <c r="R39" s="21">
        <f t="shared" si="8"/>
        <v>499</v>
      </c>
      <c r="S39" s="21">
        <f t="shared" si="9"/>
        <v>501</v>
      </c>
      <c r="T39" s="22">
        <f t="shared" si="10"/>
        <v>0</v>
      </c>
    </row>
    <row r="40" spans="1:20" x14ac:dyDescent="0.25">
      <c r="A40" s="5">
        <v>6462</v>
      </c>
      <c r="B40" s="5" t="s">
        <v>1537</v>
      </c>
      <c r="C40" s="5" t="s">
        <v>304</v>
      </c>
      <c r="D40" s="4" t="str">
        <f t="shared" si="0"/>
        <v>Exterminating</v>
      </c>
      <c r="E40" s="10">
        <v>9220</v>
      </c>
      <c r="F40" s="20" t="s">
        <v>1496</v>
      </c>
      <c r="G40" s="20" t="b">
        <f t="shared" si="4"/>
        <v>0</v>
      </c>
      <c r="H40" s="21">
        <f t="shared" si="8"/>
        <v>768</v>
      </c>
      <c r="I40" s="21">
        <f t="shared" si="8"/>
        <v>768</v>
      </c>
      <c r="J40" s="21">
        <f t="shared" si="8"/>
        <v>768</v>
      </c>
      <c r="K40" s="21">
        <f t="shared" si="8"/>
        <v>768</v>
      </c>
      <c r="L40" s="21">
        <f t="shared" si="8"/>
        <v>768</v>
      </c>
      <c r="M40" s="21">
        <f t="shared" si="8"/>
        <v>768</v>
      </c>
      <c r="N40" s="21">
        <f t="shared" si="8"/>
        <v>768</v>
      </c>
      <c r="O40" s="21">
        <f t="shared" si="8"/>
        <v>768</v>
      </c>
      <c r="P40" s="21">
        <f t="shared" si="8"/>
        <v>768</v>
      </c>
      <c r="Q40" s="21">
        <f t="shared" si="8"/>
        <v>768</v>
      </c>
      <c r="R40" s="21">
        <f t="shared" si="8"/>
        <v>768</v>
      </c>
      <c r="S40" s="21">
        <f t="shared" si="9"/>
        <v>772</v>
      </c>
      <c r="T40" s="22">
        <f t="shared" si="10"/>
        <v>0</v>
      </c>
    </row>
    <row r="41" spans="1:20" x14ac:dyDescent="0.25">
      <c r="A41" s="5">
        <v>6469</v>
      </c>
      <c r="B41" s="5" t="s">
        <v>1538</v>
      </c>
      <c r="C41" s="5" t="s">
        <v>302</v>
      </c>
      <c r="D41" s="4" t="str">
        <f t="shared" si="0"/>
        <v>Compactor/Trash Chute</v>
      </c>
      <c r="E41" s="10">
        <v>4000</v>
      </c>
      <c r="F41" s="20" t="s">
        <v>1496</v>
      </c>
      <c r="G41" s="20" t="b">
        <f t="shared" si="4"/>
        <v>0</v>
      </c>
      <c r="H41" s="21">
        <f t="shared" si="8"/>
        <v>333</v>
      </c>
      <c r="I41" s="21">
        <f t="shared" si="8"/>
        <v>333</v>
      </c>
      <c r="J41" s="21">
        <f t="shared" si="8"/>
        <v>333</v>
      </c>
      <c r="K41" s="21">
        <f t="shared" si="8"/>
        <v>333</v>
      </c>
      <c r="L41" s="21">
        <f t="shared" si="8"/>
        <v>333</v>
      </c>
      <c r="M41" s="21">
        <f t="shared" si="8"/>
        <v>333</v>
      </c>
      <c r="N41" s="21">
        <f t="shared" si="8"/>
        <v>333</v>
      </c>
      <c r="O41" s="21">
        <f t="shared" si="8"/>
        <v>333</v>
      </c>
      <c r="P41" s="21">
        <f t="shared" si="8"/>
        <v>333</v>
      </c>
      <c r="Q41" s="21">
        <f t="shared" si="8"/>
        <v>333</v>
      </c>
      <c r="R41" s="21">
        <f t="shared" si="8"/>
        <v>333</v>
      </c>
      <c r="S41" s="21">
        <f t="shared" si="9"/>
        <v>337</v>
      </c>
      <c r="T41" s="22">
        <f t="shared" si="10"/>
        <v>0</v>
      </c>
    </row>
    <row r="42" spans="1:20" x14ac:dyDescent="0.25">
      <c r="A42" s="5">
        <v>6470</v>
      </c>
      <c r="B42" s="5" t="s">
        <v>1539</v>
      </c>
      <c r="C42" s="5" t="s">
        <v>296</v>
      </c>
      <c r="D42" s="4" t="str">
        <f t="shared" si="0"/>
        <v>Scavenger Services</v>
      </c>
      <c r="E42" s="10">
        <v>41604</v>
      </c>
      <c r="F42" s="20" t="s">
        <v>1496</v>
      </c>
      <c r="G42" s="20" t="b">
        <f t="shared" si="4"/>
        <v>0</v>
      </c>
      <c r="H42" s="21">
        <f t="shared" si="8"/>
        <v>3467</v>
      </c>
      <c r="I42" s="21">
        <f t="shared" si="8"/>
        <v>3467</v>
      </c>
      <c r="J42" s="21">
        <f t="shared" si="8"/>
        <v>3467</v>
      </c>
      <c r="K42" s="21">
        <f t="shared" si="8"/>
        <v>3467</v>
      </c>
      <c r="L42" s="21">
        <f t="shared" si="8"/>
        <v>3467</v>
      </c>
      <c r="M42" s="21">
        <f t="shared" si="8"/>
        <v>3467</v>
      </c>
      <c r="N42" s="21">
        <f t="shared" si="8"/>
        <v>3467</v>
      </c>
      <c r="O42" s="21">
        <f t="shared" si="8"/>
        <v>3467</v>
      </c>
      <c r="P42" s="21">
        <f t="shared" si="8"/>
        <v>3467</v>
      </c>
      <c r="Q42" s="21">
        <f t="shared" si="8"/>
        <v>3467</v>
      </c>
      <c r="R42" s="21">
        <f t="shared" si="8"/>
        <v>3467</v>
      </c>
      <c r="S42" s="21">
        <f t="shared" si="9"/>
        <v>3467</v>
      </c>
      <c r="T42" s="22">
        <f t="shared" si="10"/>
        <v>0</v>
      </c>
    </row>
    <row r="43" spans="1:20" x14ac:dyDescent="0.25">
      <c r="A43" s="5">
        <v>6491</v>
      </c>
      <c r="B43" s="5" t="s">
        <v>1540</v>
      </c>
      <c r="C43" s="5" t="s">
        <v>846</v>
      </c>
      <c r="D43" s="4" t="str">
        <f t="shared" si="0"/>
        <v>Dues, Fees, &amp; Licenses</v>
      </c>
      <c r="E43" s="10">
        <v>3954</v>
      </c>
      <c r="F43" s="20" t="s">
        <v>1496</v>
      </c>
      <c r="G43" s="20" t="b">
        <f t="shared" si="4"/>
        <v>0</v>
      </c>
      <c r="H43" s="21">
        <f t="shared" si="8"/>
        <v>330</v>
      </c>
      <c r="I43" s="21">
        <f t="shared" si="8"/>
        <v>330</v>
      </c>
      <c r="J43" s="21">
        <f t="shared" si="8"/>
        <v>330</v>
      </c>
      <c r="K43" s="21">
        <f t="shared" si="8"/>
        <v>330</v>
      </c>
      <c r="L43" s="21">
        <f t="shared" si="8"/>
        <v>330</v>
      </c>
      <c r="M43" s="21">
        <f t="shared" si="8"/>
        <v>330</v>
      </c>
      <c r="N43" s="21">
        <f t="shared" si="8"/>
        <v>330</v>
      </c>
      <c r="O43" s="21">
        <f t="shared" si="8"/>
        <v>330</v>
      </c>
      <c r="P43" s="21">
        <f t="shared" si="8"/>
        <v>330</v>
      </c>
      <c r="Q43" s="21">
        <f t="shared" si="8"/>
        <v>330</v>
      </c>
      <c r="R43" s="21">
        <f t="shared" si="8"/>
        <v>330</v>
      </c>
      <c r="S43" s="21">
        <f t="shared" si="9"/>
        <v>324</v>
      </c>
      <c r="T43" s="22">
        <f t="shared" si="10"/>
        <v>0</v>
      </c>
    </row>
    <row r="44" spans="1:20" x14ac:dyDescent="0.25">
      <c r="A44" s="5">
        <v>6500</v>
      </c>
      <c r="B44" s="4" t="s">
        <v>1541</v>
      </c>
      <c r="C44" s="5" t="s">
        <v>631</v>
      </c>
      <c r="D44" s="4" t="str">
        <f t="shared" si="0"/>
        <v>Pool Contract</v>
      </c>
      <c r="E44" s="10">
        <v>28604</v>
      </c>
      <c r="F44" s="20" t="s">
        <v>1496</v>
      </c>
      <c r="G44" s="20" t="b">
        <f t="shared" si="4"/>
        <v>0</v>
      </c>
      <c r="H44" s="21">
        <f t="shared" si="8"/>
        <v>2384</v>
      </c>
      <c r="I44" s="21">
        <f t="shared" si="8"/>
        <v>2384</v>
      </c>
      <c r="J44" s="21">
        <f t="shared" si="8"/>
        <v>2384</v>
      </c>
      <c r="K44" s="21">
        <f t="shared" si="8"/>
        <v>2384</v>
      </c>
      <c r="L44" s="21">
        <f t="shared" si="8"/>
        <v>2384</v>
      </c>
      <c r="M44" s="21">
        <f t="shared" si="8"/>
        <v>2384</v>
      </c>
      <c r="N44" s="21">
        <f t="shared" si="8"/>
        <v>2384</v>
      </c>
      <c r="O44" s="21">
        <f t="shared" si="8"/>
        <v>2384</v>
      </c>
      <c r="P44" s="21">
        <f t="shared" si="8"/>
        <v>2384</v>
      </c>
      <c r="Q44" s="21">
        <f t="shared" si="8"/>
        <v>2384</v>
      </c>
      <c r="R44" s="21">
        <f t="shared" si="8"/>
        <v>2384</v>
      </c>
      <c r="S44" s="21">
        <f t="shared" si="9"/>
        <v>2380</v>
      </c>
      <c r="T44" s="22">
        <f t="shared" si="10"/>
        <v>0</v>
      </c>
    </row>
    <row r="45" spans="1:20" x14ac:dyDescent="0.25">
      <c r="A45" s="5">
        <v>6501</v>
      </c>
      <c r="B45" s="4" t="s">
        <v>1542</v>
      </c>
      <c r="C45" s="5" t="s">
        <v>636</v>
      </c>
      <c r="D45" s="4" t="str">
        <f t="shared" si="0"/>
        <v>Pool Chemicals</v>
      </c>
      <c r="E45" s="10">
        <v>1500</v>
      </c>
      <c r="F45" s="20" t="s">
        <v>1496</v>
      </c>
      <c r="G45" s="20" t="b">
        <f t="shared" si="4"/>
        <v>0</v>
      </c>
      <c r="H45" s="21">
        <f t="shared" si="8"/>
        <v>125</v>
      </c>
      <c r="I45" s="21">
        <f t="shared" si="8"/>
        <v>125</v>
      </c>
      <c r="J45" s="21">
        <f t="shared" si="8"/>
        <v>125</v>
      </c>
      <c r="K45" s="21">
        <f t="shared" si="8"/>
        <v>125</v>
      </c>
      <c r="L45" s="21">
        <f t="shared" si="8"/>
        <v>125</v>
      </c>
      <c r="M45" s="21">
        <f t="shared" si="8"/>
        <v>125</v>
      </c>
      <c r="N45" s="21">
        <f t="shared" si="8"/>
        <v>125</v>
      </c>
      <c r="O45" s="21">
        <f t="shared" si="8"/>
        <v>125</v>
      </c>
      <c r="P45" s="21">
        <f t="shared" si="8"/>
        <v>125</v>
      </c>
      <c r="Q45" s="21">
        <f t="shared" si="8"/>
        <v>125</v>
      </c>
      <c r="R45" s="21">
        <f t="shared" si="8"/>
        <v>125</v>
      </c>
      <c r="S45" s="21">
        <f t="shared" si="9"/>
        <v>125</v>
      </c>
      <c r="T45" s="22">
        <f t="shared" si="10"/>
        <v>0</v>
      </c>
    </row>
    <row r="46" spans="1:20" x14ac:dyDescent="0.25">
      <c r="A46" s="5">
        <v>6503</v>
      </c>
      <c r="B46" s="4" t="s">
        <v>1543</v>
      </c>
      <c r="C46" s="5" t="s">
        <v>660</v>
      </c>
      <c r="D46" s="4" t="str">
        <f t="shared" si="0"/>
        <v>Pool Repairs &amp; Supplies</v>
      </c>
      <c r="E46" s="10">
        <v>2000</v>
      </c>
      <c r="F46" s="20" t="s">
        <v>1496</v>
      </c>
      <c r="G46" s="20" t="b">
        <f t="shared" si="4"/>
        <v>0</v>
      </c>
      <c r="H46" s="21">
        <f t="shared" si="8"/>
        <v>167</v>
      </c>
      <c r="I46" s="21">
        <f t="shared" si="8"/>
        <v>167</v>
      </c>
      <c r="J46" s="21">
        <f t="shared" si="8"/>
        <v>167</v>
      </c>
      <c r="K46" s="21">
        <f t="shared" si="8"/>
        <v>167</v>
      </c>
      <c r="L46" s="21">
        <f t="shared" si="8"/>
        <v>167</v>
      </c>
      <c r="M46" s="21">
        <f t="shared" si="8"/>
        <v>167</v>
      </c>
      <c r="N46" s="21">
        <f t="shared" si="8"/>
        <v>167</v>
      </c>
      <c r="O46" s="21">
        <f t="shared" si="8"/>
        <v>167</v>
      </c>
      <c r="P46" s="21">
        <f t="shared" si="8"/>
        <v>167</v>
      </c>
      <c r="Q46" s="21">
        <f t="shared" si="8"/>
        <v>167</v>
      </c>
      <c r="R46" s="21">
        <f t="shared" si="8"/>
        <v>167</v>
      </c>
      <c r="S46" s="21">
        <f t="shared" si="9"/>
        <v>163</v>
      </c>
      <c r="T46" s="22">
        <f t="shared" si="10"/>
        <v>0</v>
      </c>
    </row>
    <row r="47" spans="1:20" x14ac:dyDescent="0.25">
      <c r="A47" s="5">
        <v>6506</v>
      </c>
      <c r="B47" s="4" t="s">
        <v>1544</v>
      </c>
      <c r="C47" s="5" t="s">
        <v>668</v>
      </c>
      <c r="D47" s="4" t="str">
        <f t="shared" si="0"/>
        <v>Other Pool Expenses</v>
      </c>
      <c r="E47" s="10">
        <v>1200</v>
      </c>
      <c r="F47" s="20" t="s">
        <v>1496</v>
      </c>
      <c r="G47" s="20" t="b">
        <f t="shared" si="4"/>
        <v>0</v>
      </c>
      <c r="H47" s="21">
        <f t="shared" si="8"/>
        <v>100</v>
      </c>
      <c r="I47" s="21">
        <f t="shared" si="8"/>
        <v>100</v>
      </c>
      <c r="J47" s="21">
        <f t="shared" si="8"/>
        <v>100</v>
      </c>
      <c r="K47" s="21">
        <f t="shared" si="8"/>
        <v>100</v>
      </c>
      <c r="L47" s="21">
        <f t="shared" si="8"/>
        <v>100</v>
      </c>
      <c r="M47" s="21">
        <f t="shared" si="8"/>
        <v>100</v>
      </c>
      <c r="N47" s="21">
        <f t="shared" si="8"/>
        <v>100</v>
      </c>
      <c r="O47" s="21">
        <f t="shared" si="8"/>
        <v>100</v>
      </c>
      <c r="P47" s="21">
        <f t="shared" si="8"/>
        <v>100</v>
      </c>
      <c r="Q47" s="21">
        <f t="shared" si="8"/>
        <v>100</v>
      </c>
      <c r="R47" s="21">
        <f t="shared" si="8"/>
        <v>100</v>
      </c>
      <c r="S47" s="21">
        <f t="shared" si="9"/>
        <v>100</v>
      </c>
      <c r="T47" s="22">
        <f t="shared" si="10"/>
        <v>0</v>
      </c>
    </row>
    <row r="48" spans="1:20" x14ac:dyDescent="0.25">
      <c r="A48" s="5">
        <v>6514</v>
      </c>
      <c r="B48" s="4" t="s">
        <v>1545</v>
      </c>
      <c r="C48" s="5" t="s">
        <v>346</v>
      </c>
      <c r="D48" s="4" t="str">
        <f t="shared" si="0"/>
        <v>Security Services</v>
      </c>
      <c r="E48" s="10">
        <v>12000</v>
      </c>
      <c r="F48" s="20" t="s">
        <v>1496</v>
      </c>
      <c r="G48" s="20" t="b">
        <f t="shared" si="4"/>
        <v>0</v>
      </c>
      <c r="H48" s="21">
        <f t="shared" si="8"/>
        <v>1000</v>
      </c>
      <c r="I48" s="21">
        <f t="shared" si="8"/>
        <v>1000</v>
      </c>
      <c r="J48" s="21">
        <f t="shared" si="8"/>
        <v>1000</v>
      </c>
      <c r="K48" s="21">
        <f t="shared" si="8"/>
        <v>1000</v>
      </c>
      <c r="L48" s="21">
        <f t="shared" si="8"/>
        <v>1000</v>
      </c>
      <c r="M48" s="21">
        <f t="shared" si="8"/>
        <v>1000</v>
      </c>
      <c r="N48" s="21">
        <f t="shared" si="8"/>
        <v>1000</v>
      </c>
      <c r="O48" s="21">
        <f t="shared" si="8"/>
        <v>1000</v>
      </c>
      <c r="P48" s="21">
        <f t="shared" si="8"/>
        <v>1000</v>
      </c>
      <c r="Q48" s="21">
        <f t="shared" si="8"/>
        <v>1000</v>
      </c>
      <c r="R48" s="21">
        <f t="shared" si="8"/>
        <v>1000</v>
      </c>
      <c r="S48" s="21">
        <f t="shared" si="9"/>
        <v>1000</v>
      </c>
      <c r="T48" s="22">
        <f t="shared" si="10"/>
        <v>0</v>
      </c>
    </row>
    <row r="49" spans="1:20" x14ac:dyDescent="0.25">
      <c r="A49" s="5">
        <v>6520</v>
      </c>
      <c r="B49" s="4" t="s">
        <v>1546</v>
      </c>
      <c r="C49" s="5" t="s">
        <v>543</v>
      </c>
      <c r="D49" s="4" t="str">
        <f t="shared" si="0"/>
        <v>Trees &amp; Bushes</v>
      </c>
      <c r="E49" s="10">
        <v>17295</v>
      </c>
      <c r="F49" s="20" t="s">
        <v>1496</v>
      </c>
      <c r="G49" s="20" t="b">
        <f t="shared" si="4"/>
        <v>0</v>
      </c>
      <c r="H49" s="21">
        <f t="shared" si="8"/>
        <v>1441</v>
      </c>
      <c r="I49" s="21">
        <f t="shared" si="8"/>
        <v>1441</v>
      </c>
      <c r="J49" s="21">
        <f t="shared" si="8"/>
        <v>1441</v>
      </c>
      <c r="K49" s="21">
        <f t="shared" si="8"/>
        <v>1441</v>
      </c>
      <c r="L49" s="21">
        <f t="shared" si="8"/>
        <v>1441</v>
      </c>
      <c r="M49" s="21">
        <f t="shared" si="8"/>
        <v>1441</v>
      </c>
      <c r="N49" s="21">
        <f t="shared" si="8"/>
        <v>1441</v>
      </c>
      <c r="O49" s="21">
        <f t="shared" si="8"/>
        <v>1441</v>
      </c>
      <c r="P49" s="21">
        <f t="shared" si="8"/>
        <v>1441</v>
      </c>
      <c r="Q49" s="21">
        <f t="shared" si="8"/>
        <v>1441</v>
      </c>
      <c r="R49" s="21">
        <f t="shared" si="8"/>
        <v>1441</v>
      </c>
      <c r="S49" s="21">
        <f t="shared" si="9"/>
        <v>1444</v>
      </c>
      <c r="T49" s="22">
        <f t="shared" si="10"/>
        <v>0</v>
      </c>
    </row>
    <row r="50" spans="1:20" x14ac:dyDescent="0.25">
      <c r="A50" s="5">
        <v>6521</v>
      </c>
      <c r="B50" s="4" t="s">
        <v>1547</v>
      </c>
      <c r="C50" s="5" t="s">
        <v>539</v>
      </c>
      <c r="D50" s="4" t="str">
        <f t="shared" si="0"/>
        <v>Landscape - Additional</v>
      </c>
      <c r="E50" s="10">
        <v>25110</v>
      </c>
      <c r="F50" s="20" t="s">
        <v>1496</v>
      </c>
      <c r="G50" s="20" t="b">
        <f t="shared" si="4"/>
        <v>0</v>
      </c>
      <c r="H50" s="21">
        <f t="shared" si="8"/>
        <v>2093</v>
      </c>
      <c r="I50" s="21">
        <f t="shared" si="8"/>
        <v>2093</v>
      </c>
      <c r="J50" s="21">
        <f t="shared" ref="H50:R73" si="11">ROUND(($E50/12),0)</f>
        <v>2093</v>
      </c>
      <c r="K50" s="21">
        <f t="shared" si="11"/>
        <v>2093</v>
      </c>
      <c r="L50" s="21">
        <f t="shared" si="11"/>
        <v>2093</v>
      </c>
      <c r="M50" s="21">
        <f t="shared" si="11"/>
        <v>2093</v>
      </c>
      <c r="N50" s="21">
        <f t="shared" si="11"/>
        <v>2093</v>
      </c>
      <c r="O50" s="21">
        <f t="shared" si="11"/>
        <v>2093</v>
      </c>
      <c r="P50" s="21">
        <f t="shared" si="11"/>
        <v>2093</v>
      </c>
      <c r="Q50" s="21">
        <f t="shared" si="11"/>
        <v>2093</v>
      </c>
      <c r="R50" s="21">
        <f t="shared" si="11"/>
        <v>2093</v>
      </c>
      <c r="S50" s="21">
        <f t="shared" si="9"/>
        <v>2087</v>
      </c>
      <c r="T50" s="22">
        <f t="shared" si="10"/>
        <v>0</v>
      </c>
    </row>
    <row r="51" spans="1:20" x14ac:dyDescent="0.25">
      <c r="A51" s="5">
        <v>6525</v>
      </c>
      <c r="B51" s="4" t="s">
        <v>1548</v>
      </c>
      <c r="C51" s="5" t="s">
        <v>535</v>
      </c>
      <c r="D51" s="4" t="str">
        <f t="shared" si="0"/>
        <v>Contract Landscape Services</v>
      </c>
      <c r="E51" s="10">
        <v>93800</v>
      </c>
      <c r="F51" s="20" t="s">
        <v>1496</v>
      </c>
      <c r="G51" s="20" t="b">
        <f t="shared" si="4"/>
        <v>0</v>
      </c>
      <c r="H51" s="21">
        <f t="shared" si="11"/>
        <v>7817</v>
      </c>
      <c r="I51" s="21">
        <f t="shared" si="11"/>
        <v>7817</v>
      </c>
      <c r="J51" s="21">
        <f t="shared" si="11"/>
        <v>7817</v>
      </c>
      <c r="K51" s="21">
        <f t="shared" si="11"/>
        <v>7817</v>
      </c>
      <c r="L51" s="21">
        <f t="shared" si="11"/>
        <v>7817</v>
      </c>
      <c r="M51" s="21">
        <f t="shared" si="11"/>
        <v>7817</v>
      </c>
      <c r="N51" s="21">
        <f t="shared" si="11"/>
        <v>7817</v>
      </c>
      <c r="O51" s="21">
        <f t="shared" si="11"/>
        <v>7817</v>
      </c>
      <c r="P51" s="21">
        <f t="shared" si="11"/>
        <v>7817</v>
      </c>
      <c r="Q51" s="21">
        <f t="shared" si="11"/>
        <v>7817</v>
      </c>
      <c r="R51" s="21">
        <f t="shared" si="11"/>
        <v>7817</v>
      </c>
      <c r="S51" s="21">
        <f t="shared" si="9"/>
        <v>7813</v>
      </c>
      <c r="T51" s="22">
        <f t="shared" si="10"/>
        <v>0</v>
      </c>
    </row>
    <row r="52" spans="1:20" x14ac:dyDescent="0.25">
      <c r="A52" s="5">
        <v>6527</v>
      </c>
      <c r="B52" s="4" t="s">
        <v>1549</v>
      </c>
      <c r="C52" s="5" t="s">
        <v>600</v>
      </c>
      <c r="D52" s="4" t="str">
        <f t="shared" si="0"/>
        <v>Streets &amp; Sidewalks</v>
      </c>
      <c r="E52" s="10">
        <v>10000</v>
      </c>
      <c r="F52" s="20" t="s">
        <v>1496</v>
      </c>
      <c r="G52" s="20" t="b">
        <f t="shared" si="4"/>
        <v>0</v>
      </c>
      <c r="H52" s="21">
        <f t="shared" si="11"/>
        <v>833</v>
      </c>
      <c r="I52" s="21">
        <f t="shared" si="11"/>
        <v>833</v>
      </c>
      <c r="J52" s="21">
        <f t="shared" si="11"/>
        <v>833</v>
      </c>
      <c r="K52" s="21">
        <f t="shared" si="11"/>
        <v>833</v>
      </c>
      <c r="L52" s="21">
        <f t="shared" si="11"/>
        <v>833</v>
      </c>
      <c r="M52" s="21">
        <f t="shared" si="11"/>
        <v>833</v>
      </c>
      <c r="N52" s="21">
        <f t="shared" si="11"/>
        <v>833</v>
      </c>
      <c r="O52" s="21">
        <f t="shared" si="11"/>
        <v>833</v>
      </c>
      <c r="P52" s="21">
        <f t="shared" si="11"/>
        <v>833</v>
      </c>
      <c r="Q52" s="21">
        <f t="shared" si="11"/>
        <v>833</v>
      </c>
      <c r="R52" s="21">
        <f t="shared" si="11"/>
        <v>833</v>
      </c>
      <c r="S52" s="21">
        <f t="shared" si="9"/>
        <v>837</v>
      </c>
      <c r="T52" s="22">
        <f t="shared" si="10"/>
        <v>0</v>
      </c>
    </row>
    <row r="53" spans="1:20" x14ac:dyDescent="0.25">
      <c r="A53" s="5">
        <v>6530</v>
      </c>
      <c r="B53" s="4" t="s">
        <v>1550</v>
      </c>
      <c r="C53" s="5" t="s">
        <v>585</v>
      </c>
      <c r="D53" s="4" t="str">
        <f t="shared" si="0"/>
        <v>Ice Control</v>
      </c>
      <c r="E53" s="10">
        <v>30000</v>
      </c>
      <c r="F53" s="20" t="s">
        <v>1496</v>
      </c>
      <c r="G53" s="20" t="b">
        <f t="shared" si="4"/>
        <v>0</v>
      </c>
      <c r="H53" s="21">
        <f t="shared" si="11"/>
        <v>2500</v>
      </c>
      <c r="I53" s="21">
        <f t="shared" si="11"/>
        <v>2500</v>
      </c>
      <c r="J53" s="21">
        <f t="shared" si="11"/>
        <v>2500</v>
      </c>
      <c r="K53" s="21">
        <f t="shared" si="11"/>
        <v>2500</v>
      </c>
      <c r="L53" s="21">
        <f t="shared" si="11"/>
        <v>2500</v>
      </c>
      <c r="M53" s="21">
        <f t="shared" si="11"/>
        <v>2500</v>
      </c>
      <c r="N53" s="21">
        <f t="shared" si="11"/>
        <v>2500</v>
      </c>
      <c r="O53" s="21">
        <f t="shared" si="11"/>
        <v>2500</v>
      </c>
      <c r="P53" s="21">
        <f t="shared" si="11"/>
        <v>2500</v>
      </c>
      <c r="Q53" s="21">
        <f t="shared" si="11"/>
        <v>2500</v>
      </c>
      <c r="R53" s="21">
        <f t="shared" si="11"/>
        <v>2500</v>
      </c>
      <c r="S53" s="21">
        <f t="shared" si="9"/>
        <v>2500</v>
      </c>
      <c r="T53" s="22">
        <f t="shared" si="10"/>
        <v>0</v>
      </c>
    </row>
    <row r="54" spans="1:20" x14ac:dyDescent="0.25">
      <c r="A54" s="5">
        <v>6541</v>
      </c>
      <c r="B54" s="4" t="s">
        <v>1551</v>
      </c>
      <c r="C54" s="5" t="s">
        <v>381</v>
      </c>
      <c r="D54" s="4" t="str">
        <f t="shared" si="0"/>
        <v>Maintenance Supplies</v>
      </c>
      <c r="E54" s="10">
        <v>4200</v>
      </c>
      <c r="F54" s="20" t="s">
        <v>1496</v>
      </c>
      <c r="G54" s="20" t="b">
        <f t="shared" si="4"/>
        <v>0</v>
      </c>
      <c r="H54" s="21">
        <f t="shared" si="11"/>
        <v>350</v>
      </c>
      <c r="I54" s="21">
        <f t="shared" si="11"/>
        <v>350</v>
      </c>
      <c r="J54" s="21">
        <f t="shared" si="11"/>
        <v>350</v>
      </c>
      <c r="K54" s="21">
        <f t="shared" si="11"/>
        <v>350</v>
      </c>
      <c r="L54" s="21">
        <f t="shared" si="11"/>
        <v>350</v>
      </c>
      <c r="M54" s="21">
        <f t="shared" si="11"/>
        <v>350</v>
      </c>
      <c r="N54" s="21">
        <f t="shared" si="11"/>
        <v>350</v>
      </c>
      <c r="O54" s="21">
        <f t="shared" si="11"/>
        <v>350</v>
      </c>
      <c r="P54" s="21">
        <f t="shared" si="11"/>
        <v>350</v>
      </c>
      <c r="Q54" s="21">
        <f t="shared" si="11"/>
        <v>350</v>
      </c>
      <c r="R54" s="21">
        <f t="shared" si="11"/>
        <v>350</v>
      </c>
      <c r="S54" s="21">
        <f t="shared" si="9"/>
        <v>350</v>
      </c>
      <c r="T54" s="22">
        <f t="shared" si="10"/>
        <v>0</v>
      </c>
    </row>
    <row r="55" spans="1:20" x14ac:dyDescent="0.25">
      <c r="A55" s="5">
        <v>6542</v>
      </c>
      <c r="B55" s="4" t="s">
        <v>1552</v>
      </c>
      <c r="C55" s="5" t="s">
        <v>372</v>
      </c>
      <c r="D55" s="4" t="str">
        <f t="shared" si="0"/>
        <v>Other Building Services</v>
      </c>
      <c r="E55" s="10">
        <v>4504</v>
      </c>
      <c r="F55" s="20" t="s">
        <v>1496</v>
      </c>
      <c r="G55" s="20" t="b">
        <f t="shared" si="4"/>
        <v>0</v>
      </c>
      <c r="H55" s="21">
        <f t="shared" si="11"/>
        <v>375</v>
      </c>
      <c r="I55" s="21">
        <f t="shared" si="11"/>
        <v>375</v>
      </c>
      <c r="J55" s="21">
        <f t="shared" si="11"/>
        <v>375</v>
      </c>
      <c r="K55" s="21">
        <f t="shared" si="11"/>
        <v>375</v>
      </c>
      <c r="L55" s="21">
        <f t="shared" si="11"/>
        <v>375</v>
      </c>
      <c r="M55" s="21">
        <f t="shared" si="11"/>
        <v>375</v>
      </c>
      <c r="N55" s="21">
        <f t="shared" si="11"/>
        <v>375</v>
      </c>
      <c r="O55" s="21">
        <f t="shared" si="11"/>
        <v>375</v>
      </c>
      <c r="P55" s="21">
        <f t="shared" si="11"/>
        <v>375</v>
      </c>
      <c r="Q55" s="21">
        <f t="shared" si="11"/>
        <v>375</v>
      </c>
      <c r="R55" s="21">
        <f t="shared" si="11"/>
        <v>375</v>
      </c>
      <c r="S55" s="21">
        <f t="shared" si="9"/>
        <v>379</v>
      </c>
      <c r="T55" s="22">
        <f t="shared" si="10"/>
        <v>0</v>
      </c>
    </row>
    <row r="56" spans="1:20" x14ac:dyDescent="0.25">
      <c r="A56" s="5">
        <v>6543</v>
      </c>
      <c r="B56" s="4" t="s">
        <v>1553</v>
      </c>
      <c r="C56" s="5" t="s">
        <v>314</v>
      </c>
      <c r="D56" s="4" t="str">
        <f t="shared" si="0"/>
        <v>Carpet Cleaning</v>
      </c>
      <c r="E56" s="10">
        <v>25582</v>
      </c>
      <c r="F56" s="20" t="s">
        <v>1496</v>
      </c>
      <c r="G56" s="20" t="b">
        <f t="shared" si="4"/>
        <v>0</v>
      </c>
      <c r="H56" s="21">
        <f t="shared" si="11"/>
        <v>2132</v>
      </c>
      <c r="I56" s="21">
        <f t="shared" si="11"/>
        <v>2132</v>
      </c>
      <c r="J56" s="21">
        <f t="shared" si="11"/>
        <v>2132</v>
      </c>
      <c r="K56" s="21">
        <f t="shared" si="11"/>
        <v>2132</v>
      </c>
      <c r="L56" s="21">
        <f t="shared" si="11"/>
        <v>2132</v>
      </c>
      <c r="M56" s="21">
        <f t="shared" si="11"/>
        <v>2132</v>
      </c>
      <c r="N56" s="21">
        <f t="shared" si="11"/>
        <v>2132</v>
      </c>
      <c r="O56" s="21">
        <f t="shared" si="11"/>
        <v>2132</v>
      </c>
      <c r="P56" s="21">
        <f t="shared" si="11"/>
        <v>2132</v>
      </c>
      <c r="Q56" s="21">
        <f t="shared" si="11"/>
        <v>2132</v>
      </c>
      <c r="R56" s="21">
        <f t="shared" si="11"/>
        <v>2132</v>
      </c>
      <c r="S56" s="21">
        <f t="shared" si="9"/>
        <v>2130</v>
      </c>
      <c r="T56" s="22">
        <f t="shared" si="10"/>
        <v>0</v>
      </c>
    </row>
    <row r="57" spans="1:20" x14ac:dyDescent="0.25">
      <c r="A57" s="5">
        <v>6545</v>
      </c>
      <c r="B57" s="4" t="s">
        <v>1554</v>
      </c>
      <c r="C57" s="5" t="s">
        <v>486</v>
      </c>
      <c r="D57" s="4" t="str">
        <f t="shared" si="0"/>
        <v>Roof Repairs &amp; Supplies</v>
      </c>
      <c r="E57" s="10">
        <v>17000</v>
      </c>
      <c r="F57" s="20" t="s">
        <v>1496</v>
      </c>
      <c r="G57" s="20" t="b">
        <f t="shared" si="4"/>
        <v>0</v>
      </c>
      <c r="H57" s="21">
        <f t="shared" si="11"/>
        <v>1417</v>
      </c>
      <c r="I57" s="21">
        <f t="shared" si="11"/>
        <v>1417</v>
      </c>
      <c r="J57" s="21">
        <f t="shared" si="11"/>
        <v>1417</v>
      </c>
      <c r="K57" s="21">
        <f t="shared" si="11"/>
        <v>1417</v>
      </c>
      <c r="L57" s="21">
        <f t="shared" si="11"/>
        <v>1417</v>
      </c>
      <c r="M57" s="21">
        <f t="shared" si="11"/>
        <v>1417</v>
      </c>
      <c r="N57" s="21">
        <f t="shared" si="11"/>
        <v>1417</v>
      </c>
      <c r="O57" s="21">
        <f t="shared" si="11"/>
        <v>1417</v>
      </c>
      <c r="P57" s="21">
        <f t="shared" si="11"/>
        <v>1417</v>
      </c>
      <c r="Q57" s="21">
        <f t="shared" si="11"/>
        <v>1417</v>
      </c>
      <c r="R57" s="21">
        <f t="shared" si="11"/>
        <v>1417</v>
      </c>
      <c r="S57" s="21">
        <f t="shared" si="9"/>
        <v>1413</v>
      </c>
      <c r="T57" s="22">
        <f t="shared" si="10"/>
        <v>0</v>
      </c>
    </row>
    <row r="58" spans="1:20" x14ac:dyDescent="0.25">
      <c r="A58" s="5">
        <v>6549</v>
      </c>
      <c r="B58" s="4" t="s">
        <v>1555</v>
      </c>
      <c r="C58" s="5" t="s">
        <v>171</v>
      </c>
      <c r="D58" s="4" t="str">
        <f t="shared" si="0"/>
        <v>Maintenance Salaries</v>
      </c>
      <c r="E58" s="10">
        <v>133603</v>
      </c>
      <c r="F58" s="20" t="s">
        <v>1496</v>
      </c>
      <c r="G58" s="20" t="b">
        <f t="shared" si="4"/>
        <v>0</v>
      </c>
      <c r="H58" s="21">
        <f t="shared" si="11"/>
        <v>11134</v>
      </c>
      <c r="I58" s="21">
        <f t="shared" si="11"/>
        <v>11134</v>
      </c>
      <c r="J58" s="21">
        <f t="shared" si="11"/>
        <v>11134</v>
      </c>
      <c r="K58" s="21">
        <f t="shared" si="11"/>
        <v>11134</v>
      </c>
      <c r="L58" s="21">
        <f t="shared" si="11"/>
        <v>11134</v>
      </c>
      <c r="M58" s="21">
        <f t="shared" si="11"/>
        <v>11134</v>
      </c>
      <c r="N58" s="21">
        <f t="shared" si="11"/>
        <v>11134</v>
      </c>
      <c r="O58" s="21">
        <f t="shared" si="11"/>
        <v>11134</v>
      </c>
      <c r="P58" s="21">
        <f t="shared" si="11"/>
        <v>11134</v>
      </c>
      <c r="Q58" s="21">
        <f t="shared" si="11"/>
        <v>11134</v>
      </c>
      <c r="R58" s="21">
        <f t="shared" si="11"/>
        <v>11134</v>
      </c>
      <c r="S58" s="21">
        <f t="shared" si="9"/>
        <v>11129</v>
      </c>
      <c r="T58" s="22">
        <f t="shared" si="10"/>
        <v>0</v>
      </c>
    </row>
    <row r="59" spans="1:20" x14ac:dyDescent="0.25">
      <c r="A59" s="5">
        <v>6550</v>
      </c>
      <c r="B59" s="4" t="s">
        <v>1556</v>
      </c>
      <c r="C59" s="5" t="s">
        <v>342</v>
      </c>
      <c r="D59" s="4" t="str">
        <f t="shared" ref="D59:D75" si="12">VLOOKUP(C59,gllu,2,0)</f>
        <v>Elevator Repairs/Services</v>
      </c>
      <c r="E59" s="10">
        <v>33912</v>
      </c>
      <c r="F59" s="20" t="s">
        <v>1496</v>
      </c>
      <c r="G59" s="20" t="b">
        <f t="shared" si="4"/>
        <v>0</v>
      </c>
      <c r="H59" s="21">
        <f t="shared" si="11"/>
        <v>2826</v>
      </c>
      <c r="I59" s="21">
        <f t="shared" si="11"/>
        <v>2826</v>
      </c>
      <c r="J59" s="21">
        <f t="shared" si="11"/>
        <v>2826</v>
      </c>
      <c r="K59" s="21">
        <f t="shared" si="11"/>
        <v>2826</v>
      </c>
      <c r="L59" s="21">
        <f t="shared" si="11"/>
        <v>2826</v>
      </c>
      <c r="M59" s="21">
        <f t="shared" si="11"/>
        <v>2826</v>
      </c>
      <c r="N59" s="21">
        <f t="shared" si="11"/>
        <v>2826</v>
      </c>
      <c r="O59" s="21">
        <f t="shared" si="11"/>
        <v>2826</v>
      </c>
      <c r="P59" s="21">
        <f t="shared" si="11"/>
        <v>2826</v>
      </c>
      <c r="Q59" s="21">
        <f t="shared" si="11"/>
        <v>2826</v>
      </c>
      <c r="R59" s="21">
        <f t="shared" si="11"/>
        <v>2826</v>
      </c>
      <c r="S59" s="21">
        <f t="shared" si="9"/>
        <v>2826</v>
      </c>
      <c r="T59" s="22">
        <f t="shared" si="10"/>
        <v>0</v>
      </c>
    </row>
    <row r="60" spans="1:20" x14ac:dyDescent="0.25">
      <c r="A60" s="5">
        <v>6552</v>
      </c>
      <c r="B60" s="4" t="s">
        <v>1557</v>
      </c>
      <c r="C60" s="5" t="s">
        <v>415</v>
      </c>
      <c r="D60" s="4" t="str">
        <f t="shared" si="12"/>
        <v>HVAC Repairs/Supplies</v>
      </c>
      <c r="E60" s="10">
        <v>10000</v>
      </c>
      <c r="F60" s="20" t="s">
        <v>1496</v>
      </c>
      <c r="G60" s="20" t="b">
        <f t="shared" si="4"/>
        <v>0</v>
      </c>
      <c r="H60" s="21">
        <f t="shared" si="11"/>
        <v>833</v>
      </c>
      <c r="I60" s="21">
        <f t="shared" si="11"/>
        <v>833</v>
      </c>
      <c r="J60" s="21">
        <f t="shared" si="11"/>
        <v>833</v>
      </c>
      <c r="K60" s="21">
        <f t="shared" si="11"/>
        <v>833</v>
      </c>
      <c r="L60" s="21">
        <f t="shared" si="11"/>
        <v>833</v>
      </c>
      <c r="M60" s="21">
        <f t="shared" si="11"/>
        <v>833</v>
      </c>
      <c r="N60" s="21">
        <f t="shared" si="11"/>
        <v>833</v>
      </c>
      <c r="O60" s="21">
        <f t="shared" si="11"/>
        <v>833</v>
      </c>
      <c r="P60" s="21">
        <f t="shared" si="11"/>
        <v>833</v>
      </c>
      <c r="Q60" s="21">
        <f t="shared" si="11"/>
        <v>833</v>
      </c>
      <c r="R60" s="21">
        <f t="shared" si="11"/>
        <v>833</v>
      </c>
      <c r="S60" s="21">
        <f t="shared" si="9"/>
        <v>837</v>
      </c>
      <c r="T60" s="22">
        <f t="shared" si="10"/>
        <v>0</v>
      </c>
    </row>
    <row r="61" spans="1:20" x14ac:dyDescent="0.25">
      <c r="A61" s="5">
        <v>6554</v>
      </c>
      <c r="B61" s="4" t="s">
        <v>1558</v>
      </c>
      <c r="C61" s="5" t="s">
        <v>614</v>
      </c>
      <c r="D61" s="4" t="str">
        <f t="shared" si="12"/>
        <v>Concrete Repair/Replacement</v>
      </c>
      <c r="E61" s="10">
        <v>5000</v>
      </c>
      <c r="F61" s="20" t="s">
        <v>1496</v>
      </c>
      <c r="G61" s="20" t="b">
        <f t="shared" si="4"/>
        <v>0</v>
      </c>
      <c r="H61" s="21">
        <f t="shared" si="11"/>
        <v>417</v>
      </c>
      <c r="I61" s="21">
        <f t="shared" si="11"/>
        <v>417</v>
      </c>
      <c r="J61" s="21">
        <f t="shared" si="11"/>
        <v>417</v>
      </c>
      <c r="K61" s="21">
        <f t="shared" si="11"/>
        <v>417</v>
      </c>
      <c r="L61" s="21">
        <f t="shared" si="11"/>
        <v>417</v>
      </c>
      <c r="M61" s="21">
        <f t="shared" si="11"/>
        <v>417</v>
      </c>
      <c r="N61" s="21">
        <f t="shared" si="11"/>
        <v>417</v>
      </c>
      <c r="O61" s="21">
        <f t="shared" si="11"/>
        <v>417</v>
      </c>
      <c r="P61" s="21">
        <f t="shared" si="11"/>
        <v>417</v>
      </c>
      <c r="Q61" s="21">
        <f t="shared" si="11"/>
        <v>417</v>
      </c>
      <c r="R61" s="21">
        <f t="shared" si="11"/>
        <v>417</v>
      </c>
      <c r="S61" s="21">
        <f t="shared" si="9"/>
        <v>413</v>
      </c>
      <c r="T61" s="22">
        <f t="shared" si="10"/>
        <v>0</v>
      </c>
    </row>
    <row r="62" spans="1:20" x14ac:dyDescent="0.25">
      <c r="A62" s="5">
        <v>6555</v>
      </c>
      <c r="B62" s="4" t="s">
        <v>1559</v>
      </c>
      <c r="C62" s="5" t="s">
        <v>399</v>
      </c>
      <c r="D62" s="4" t="str">
        <f t="shared" si="12"/>
        <v>Electric Repairs/Supplies</v>
      </c>
      <c r="E62" s="10">
        <v>4800</v>
      </c>
      <c r="F62" s="20" t="s">
        <v>1496</v>
      </c>
      <c r="G62" s="20" t="b">
        <f t="shared" si="4"/>
        <v>0</v>
      </c>
      <c r="H62" s="21">
        <f t="shared" si="11"/>
        <v>400</v>
      </c>
      <c r="I62" s="21">
        <f t="shared" si="11"/>
        <v>400</v>
      </c>
      <c r="J62" s="21">
        <f t="shared" si="11"/>
        <v>400</v>
      </c>
      <c r="K62" s="21">
        <f t="shared" si="11"/>
        <v>400</v>
      </c>
      <c r="L62" s="21">
        <f t="shared" si="11"/>
        <v>400</v>
      </c>
      <c r="M62" s="21">
        <f t="shared" si="11"/>
        <v>400</v>
      </c>
      <c r="N62" s="21">
        <f t="shared" si="11"/>
        <v>400</v>
      </c>
      <c r="O62" s="21">
        <f t="shared" si="11"/>
        <v>400</v>
      </c>
      <c r="P62" s="21">
        <f t="shared" si="11"/>
        <v>400</v>
      </c>
      <c r="Q62" s="21">
        <f t="shared" si="11"/>
        <v>400</v>
      </c>
      <c r="R62" s="21">
        <f t="shared" si="11"/>
        <v>400</v>
      </c>
      <c r="S62" s="21">
        <f t="shared" si="9"/>
        <v>400</v>
      </c>
      <c r="T62" s="22">
        <f t="shared" si="10"/>
        <v>0</v>
      </c>
    </row>
    <row r="63" spans="1:20" x14ac:dyDescent="0.25">
      <c r="A63" s="5">
        <v>6556</v>
      </c>
      <c r="B63" s="4" t="s">
        <v>1560</v>
      </c>
      <c r="C63" s="5" t="s">
        <v>387</v>
      </c>
      <c r="D63" s="4" t="str">
        <f t="shared" si="12"/>
        <v>Plumbing Repairs/Supplies</v>
      </c>
      <c r="E63" s="10">
        <v>15120</v>
      </c>
      <c r="F63" s="20" t="s">
        <v>1496</v>
      </c>
      <c r="G63" s="20" t="b">
        <f t="shared" si="4"/>
        <v>0</v>
      </c>
      <c r="H63" s="21">
        <f t="shared" si="11"/>
        <v>1260</v>
      </c>
      <c r="I63" s="21">
        <f t="shared" si="11"/>
        <v>1260</v>
      </c>
      <c r="J63" s="21">
        <f t="shared" si="11"/>
        <v>1260</v>
      </c>
      <c r="K63" s="21">
        <f t="shared" si="11"/>
        <v>1260</v>
      </c>
      <c r="L63" s="21">
        <f t="shared" si="11"/>
        <v>1260</v>
      </c>
      <c r="M63" s="21">
        <f t="shared" si="11"/>
        <v>1260</v>
      </c>
      <c r="N63" s="21">
        <f t="shared" si="11"/>
        <v>1260</v>
      </c>
      <c r="O63" s="21">
        <f t="shared" si="11"/>
        <v>1260</v>
      </c>
      <c r="P63" s="21">
        <f t="shared" si="11"/>
        <v>1260</v>
      </c>
      <c r="Q63" s="21">
        <f t="shared" si="11"/>
        <v>1260</v>
      </c>
      <c r="R63" s="21">
        <f t="shared" si="11"/>
        <v>1260</v>
      </c>
      <c r="S63" s="21">
        <f t="shared" si="9"/>
        <v>1260</v>
      </c>
      <c r="T63" s="22">
        <f t="shared" si="10"/>
        <v>0</v>
      </c>
    </row>
    <row r="64" spans="1:20" x14ac:dyDescent="0.25">
      <c r="A64" s="5">
        <v>6559</v>
      </c>
      <c r="B64" s="4" t="s">
        <v>1561</v>
      </c>
      <c r="C64" s="5" t="s">
        <v>474</v>
      </c>
      <c r="D64" s="4" t="str">
        <f t="shared" si="12"/>
        <v>Masonry &amp; Tuckpointing</v>
      </c>
      <c r="E64" s="10">
        <v>40000</v>
      </c>
      <c r="F64" s="20" t="s">
        <v>1496</v>
      </c>
      <c r="G64" s="20" t="b">
        <f t="shared" si="4"/>
        <v>0</v>
      </c>
      <c r="H64" s="21">
        <f t="shared" si="11"/>
        <v>3333</v>
      </c>
      <c r="I64" s="21">
        <f t="shared" si="11"/>
        <v>3333</v>
      </c>
      <c r="J64" s="21">
        <f t="shared" si="11"/>
        <v>3333</v>
      </c>
      <c r="K64" s="21">
        <f t="shared" si="11"/>
        <v>3333</v>
      </c>
      <c r="L64" s="21">
        <f t="shared" si="11"/>
        <v>3333</v>
      </c>
      <c r="M64" s="21">
        <f t="shared" si="11"/>
        <v>3333</v>
      </c>
      <c r="N64" s="21">
        <f t="shared" si="11"/>
        <v>3333</v>
      </c>
      <c r="O64" s="21">
        <f t="shared" si="11"/>
        <v>3333</v>
      </c>
      <c r="P64" s="21">
        <f t="shared" si="11"/>
        <v>3333</v>
      </c>
      <c r="Q64" s="21">
        <f t="shared" si="11"/>
        <v>3333</v>
      </c>
      <c r="R64" s="21">
        <f t="shared" si="11"/>
        <v>3333</v>
      </c>
      <c r="S64" s="21">
        <f t="shared" si="9"/>
        <v>3337</v>
      </c>
      <c r="T64" s="22">
        <f t="shared" si="10"/>
        <v>0</v>
      </c>
    </row>
    <row r="65" spans="1:20" x14ac:dyDescent="0.25">
      <c r="A65" s="5">
        <v>6562</v>
      </c>
      <c r="B65" s="4" t="s">
        <v>1562</v>
      </c>
      <c r="C65" s="5" t="s">
        <v>458</v>
      </c>
      <c r="D65" s="4" t="str">
        <f t="shared" si="12"/>
        <v>Interior Painting &amp; Decorating</v>
      </c>
      <c r="E65" s="10">
        <v>4020</v>
      </c>
      <c r="F65" s="20" t="s">
        <v>1496</v>
      </c>
      <c r="G65" s="20" t="b">
        <f t="shared" si="4"/>
        <v>0</v>
      </c>
      <c r="H65" s="21">
        <f t="shared" si="11"/>
        <v>335</v>
      </c>
      <c r="I65" s="21">
        <f t="shared" si="11"/>
        <v>335</v>
      </c>
      <c r="J65" s="21">
        <f t="shared" si="11"/>
        <v>335</v>
      </c>
      <c r="K65" s="21">
        <f t="shared" si="11"/>
        <v>335</v>
      </c>
      <c r="L65" s="21">
        <f t="shared" si="11"/>
        <v>335</v>
      </c>
      <c r="M65" s="21">
        <f t="shared" si="11"/>
        <v>335</v>
      </c>
      <c r="N65" s="21">
        <f t="shared" si="11"/>
        <v>335</v>
      </c>
      <c r="O65" s="21">
        <f t="shared" si="11"/>
        <v>335</v>
      </c>
      <c r="P65" s="21">
        <f t="shared" si="11"/>
        <v>335</v>
      </c>
      <c r="Q65" s="21">
        <f t="shared" si="11"/>
        <v>335</v>
      </c>
      <c r="R65" s="21">
        <f t="shared" si="11"/>
        <v>335</v>
      </c>
      <c r="S65" s="21">
        <f t="shared" si="9"/>
        <v>335</v>
      </c>
      <c r="T65" s="22">
        <f t="shared" si="10"/>
        <v>0</v>
      </c>
    </row>
    <row r="66" spans="1:20" x14ac:dyDescent="0.25">
      <c r="A66" s="5">
        <v>6565</v>
      </c>
      <c r="B66" s="4" t="s">
        <v>1563</v>
      </c>
      <c r="C66" s="5" t="s">
        <v>460</v>
      </c>
      <c r="D66" s="4" t="str">
        <f t="shared" si="12"/>
        <v>Exterior Painting &amp; Decorating</v>
      </c>
      <c r="E66" s="10">
        <v>5000</v>
      </c>
      <c r="F66" s="20" t="s">
        <v>1496</v>
      </c>
      <c r="G66" s="20" t="b">
        <f t="shared" si="4"/>
        <v>0</v>
      </c>
      <c r="H66" s="21">
        <f t="shared" si="11"/>
        <v>417</v>
      </c>
      <c r="I66" s="21">
        <f t="shared" si="11"/>
        <v>417</v>
      </c>
      <c r="J66" s="21">
        <f t="shared" si="11"/>
        <v>417</v>
      </c>
      <c r="K66" s="21">
        <f t="shared" si="11"/>
        <v>417</v>
      </c>
      <c r="L66" s="21">
        <f t="shared" si="11"/>
        <v>417</v>
      </c>
      <c r="M66" s="21">
        <f t="shared" si="11"/>
        <v>417</v>
      </c>
      <c r="N66" s="21">
        <f t="shared" si="11"/>
        <v>417</v>
      </c>
      <c r="O66" s="21">
        <f t="shared" si="11"/>
        <v>417</v>
      </c>
      <c r="P66" s="21">
        <f t="shared" si="11"/>
        <v>417</v>
      </c>
      <c r="Q66" s="21">
        <f t="shared" si="11"/>
        <v>417</v>
      </c>
      <c r="R66" s="21">
        <f t="shared" si="11"/>
        <v>417</v>
      </c>
      <c r="S66" s="21">
        <f t="shared" si="9"/>
        <v>413</v>
      </c>
      <c r="T66" s="22">
        <f t="shared" si="10"/>
        <v>0</v>
      </c>
    </row>
    <row r="67" spans="1:20" x14ac:dyDescent="0.25">
      <c r="A67" s="5">
        <v>6593</v>
      </c>
      <c r="B67" s="4" t="s">
        <v>1564</v>
      </c>
      <c r="C67" s="5" t="s">
        <v>449</v>
      </c>
      <c r="D67" s="4" t="str">
        <f t="shared" si="12"/>
        <v>Garage Maintentance/Repairs</v>
      </c>
      <c r="E67" s="10">
        <v>24000</v>
      </c>
      <c r="F67" s="20" t="s">
        <v>1496</v>
      </c>
      <c r="G67" s="20" t="b">
        <f t="shared" ref="G67:G76" si="13">C66=C67</f>
        <v>0</v>
      </c>
      <c r="H67" s="21">
        <f t="shared" si="11"/>
        <v>2000</v>
      </c>
      <c r="I67" s="21">
        <f t="shared" si="11"/>
        <v>2000</v>
      </c>
      <c r="J67" s="21">
        <f t="shared" si="11"/>
        <v>2000</v>
      </c>
      <c r="K67" s="21">
        <f t="shared" si="11"/>
        <v>2000</v>
      </c>
      <c r="L67" s="21">
        <f t="shared" si="11"/>
        <v>2000</v>
      </c>
      <c r="M67" s="21">
        <f t="shared" si="11"/>
        <v>2000</v>
      </c>
      <c r="N67" s="21">
        <f t="shared" si="11"/>
        <v>2000</v>
      </c>
      <c r="O67" s="21">
        <f t="shared" si="11"/>
        <v>2000</v>
      </c>
      <c r="P67" s="21">
        <f t="shared" si="11"/>
        <v>2000</v>
      </c>
      <c r="Q67" s="21">
        <f t="shared" si="11"/>
        <v>2000</v>
      </c>
      <c r="R67" s="21">
        <f t="shared" si="11"/>
        <v>2000</v>
      </c>
      <c r="S67" s="21">
        <f t="shared" si="9"/>
        <v>2000</v>
      </c>
      <c r="T67" s="22">
        <f t="shared" si="10"/>
        <v>0</v>
      </c>
    </row>
    <row r="68" spans="1:20" x14ac:dyDescent="0.25">
      <c r="A68" s="5">
        <v>6711</v>
      </c>
      <c r="B68" s="4" t="s">
        <v>1565</v>
      </c>
      <c r="C68" s="5" t="s">
        <v>231</v>
      </c>
      <c r="D68" s="4" t="str">
        <f t="shared" si="12"/>
        <v>FICA Tax Expense</v>
      </c>
      <c r="E68" s="10">
        <v>10800</v>
      </c>
      <c r="F68" s="20" t="s">
        <v>1496</v>
      </c>
      <c r="G68" s="20" t="b">
        <f t="shared" si="13"/>
        <v>0</v>
      </c>
      <c r="H68" s="21">
        <f t="shared" si="11"/>
        <v>900</v>
      </c>
      <c r="I68" s="21">
        <f t="shared" si="11"/>
        <v>900</v>
      </c>
      <c r="J68" s="21">
        <f t="shared" si="11"/>
        <v>900</v>
      </c>
      <c r="K68" s="21">
        <f t="shared" si="11"/>
        <v>900</v>
      </c>
      <c r="L68" s="21">
        <f t="shared" si="11"/>
        <v>900</v>
      </c>
      <c r="M68" s="21">
        <f t="shared" si="11"/>
        <v>900</v>
      </c>
      <c r="N68" s="21">
        <f t="shared" si="11"/>
        <v>900</v>
      </c>
      <c r="O68" s="21">
        <f t="shared" si="11"/>
        <v>900</v>
      </c>
      <c r="P68" s="21">
        <f t="shared" si="11"/>
        <v>900</v>
      </c>
      <c r="Q68" s="21">
        <f t="shared" si="11"/>
        <v>900</v>
      </c>
      <c r="R68" s="21">
        <f t="shared" si="11"/>
        <v>900</v>
      </c>
      <c r="S68" s="21">
        <f t="shared" si="9"/>
        <v>900</v>
      </c>
      <c r="T68" s="22">
        <f t="shared" si="10"/>
        <v>0</v>
      </c>
    </row>
    <row r="69" spans="1:20" x14ac:dyDescent="0.25">
      <c r="A69" s="5">
        <v>6712</v>
      </c>
      <c r="B69" s="4" t="s">
        <v>1566</v>
      </c>
      <c r="C69" s="5" t="s">
        <v>235</v>
      </c>
      <c r="D69" s="4" t="str">
        <f t="shared" si="12"/>
        <v>Federal Unemployment Tax</v>
      </c>
      <c r="E69" s="10">
        <v>500</v>
      </c>
      <c r="F69" s="20" t="s">
        <v>1496</v>
      </c>
      <c r="G69" s="20" t="b">
        <f t="shared" si="13"/>
        <v>0</v>
      </c>
      <c r="H69" s="21">
        <f t="shared" si="11"/>
        <v>42</v>
      </c>
      <c r="I69" s="21">
        <f t="shared" si="11"/>
        <v>42</v>
      </c>
      <c r="J69" s="21">
        <f t="shared" si="11"/>
        <v>42</v>
      </c>
      <c r="K69" s="21">
        <f t="shared" si="11"/>
        <v>42</v>
      </c>
      <c r="L69" s="21">
        <f t="shared" si="11"/>
        <v>42</v>
      </c>
      <c r="M69" s="21">
        <f t="shared" si="11"/>
        <v>42</v>
      </c>
      <c r="N69" s="21">
        <f t="shared" si="11"/>
        <v>42</v>
      </c>
      <c r="O69" s="21">
        <f t="shared" si="11"/>
        <v>42</v>
      </c>
      <c r="P69" s="21">
        <f t="shared" si="11"/>
        <v>42</v>
      </c>
      <c r="Q69" s="21">
        <f t="shared" si="11"/>
        <v>42</v>
      </c>
      <c r="R69" s="21">
        <f t="shared" si="11"/>
        <v>42</v>
      </c>
      <c r="S69" s="21">
        <f t="shared" si="9"/>
        <v>38</v>
      </c>
      <c r="T69" s="22">
        <f t="shared" si="10"/>
        <v>0</v>
      </c>
    </row>
    <row r="70" spans="1:20" x14ac:dyDescent="0.25">
      <c r="A70" s="5">
        <v>6713</v>
      </c>
      <c r="B70" s="4" t="s">
        <v>1567</v>
      </c>
      <c r="C70" s="5" t="s">
        <v>239</v>
      </c>
      <c r="D70" s="4" t="str">
        <f t="shared" si="12"/>
        <v>State Unemployment Tax</v>
      </c>
      <c r="E70" s="10">
        <v>500</v>
      </c>
      <c r="F70" s="20" t="s">
        <v>1496</v>
      </c>
      <c r="G70" s="20" t="b">
        <f t="shared" si="13"/>
        <v>0</v>
      </c>
      <c r="H70" s="21">
        <f t="shared" si="11"/>
        <v>42</v>
      </c>
      <c r="I70" s="21">
        <f t="shared" si="11"/>
        <v>42</v>
      </c>
      <c r="J70" s="21">
        <f t="shared" si="11"/>
        <v>42</v>
      </c>
      <c r="K70" s="21">
        <f t="shared" si="11"/>
        <v>42</v>
      </c>
      <c r="L70" s="21">
        <f t="shared" si="11"/>
        <v>42</v>
      </c>
      <c r="M70" s="21">
        <f t="shared" si="11"/>
        <v>42</v>
      </c>
      <c r="N70" s="21">
        <f t="shared" si="11"/>
        <v>42</v>
      </c>
      <c r="O70" s="21">
        <f t="shared" si="11"/>
        <v>42</v>
      </c>
      <c r="P70" s="21">
        <f t="shared" si="11"/>
        <v>42</v>
      </c>
      <c r="Q70" s="21">
        <f t="shared" si="11"/>
        <v>42</v>
      </c>
      <c r="R70" s="21">
        <f t="shared" si="11"/>
        <v>42</v>
      </c>
      <c r="S70" s="21">
        <f t="shared" si="9"/>
        <v>38</v>
      </c>
      <c r="T70" s="22">
        <f t="shared" si="10"/>
        <v>0</v>
      </c>
    </row>
    <row r="71" spans="1:20" x14ac:dyDescent="0.25">
      <c r="A71" s="5">
        <v>6720</v>
      </c>
      <c r="B71" s="4" t="s">
        <v>1568</v>
      </c>
      <c r="C71" s="5" t="s">
        <v>923</v>
      </c>
      <c r="D71" s="4" t="str">
        <f t="shared" si="12"/>
        <v>All Association Insurance</v>
      </c>
      <c r="E71" s="10">
        <v>131806</v>
      </c>
      <c r="F71" s="20" t="s">
        <v>1496</v>
      </c>
      <c r="G71" s="20" t="b">
        <f t="shared" si="13"/>
        <v>0</v>
      </c>
      <c r="H71" s="21">
        <f t="shared" si="11"/>
        <v>10984</v>
      </c>
      <c r="I71" s="21">
        <f t="shared" si="11"/>
        <v>10984</v>
      </c>
      <c r="J71" s="21">
        <f t="shared" si="11"/>
        <v>10984</v>
      </c>
      <c r="K71" s="21">
        <f t="shared" si="11"/>
        <v>10984</v>
      </c>
      <c r="L71" s="21">
        <f t="shared" si="11"/>
        <v>10984</v>
      </c>
      <c r="M71" s="21">
        <f t="shared" si="11"/>
        <v>10984</v>
      </c>
      <c r="N71" s="21">
        <f t="shared" si="11"/>
        <v>10984</v>
      </c>
      <c r="O71" s="21">
        <f t="shared" si="11"/>
        <v>10984</v>
      </c>
      <c r="P71" s="21">
        <f t="shared" si="11"/>
        <v>10984</v>
      </c>
      <c r="Q71" s="21">
        <f t="shared" si="11"/>
        <v>10984</v>
      </c>
      <c r="R71" s="21">
        <f t="shared" si="11"/>
        <v>10984</v>
      </c>
      <c r="S71" s="21">
        <f t="shared" si="9"/>
        <v>10982</v>
      </c>
      <c r="T71" s="22">
        <f t="shared" si="10"/>
        <v>0</v>
      </c>
    </row>
    <row r="72" spans="1:20" x14ac:dyDescent="0.25">
      <c r="A72" s="5">
        <v>6721</v>
      </c>
      <c r="B72" s="4" t="s">
        <v>1569</v>
      </c>
      <c r="C72" s="5" t="s">
        <v>243</v>
      </c>
      <c r="D72" s="4" t="str">
        <f t="shared" si="12"/>
        <v>Workers Comp Insurance</v>
      </c>
      <c r="E72" s="10">
        <v>5600</v>
      </c>
      <c r="F72" s="20" t="s">
        <v>1496</v>
      </c>
      <c r="G72" s="20" t="b">
        <f t="shared" si="13"/>
        <v>0</v>
      </c>
      <c r="H72" s="21">
        <f t="shared" si="11"/>
        <v>467</v>
      </c>
      <c r="I72" s="21">
        <f t="shared" si="11"/>
        <v>467</v>
      </c>
      <c r="J72" s="21">
        <f t="shared" si="11"/>
        <v>467</v>
      </c>
      <c r="K72" s="21">
        <f t="shared" si="11"/>
        <v>467</v>
      </c>
      <c r="L72" s="21">
        <f t="shared" si="11"/>
        <v>467</v>
      </c>
      <c r="M72" s="21">
        <f t="shared" si="11"/>
        <v>467</v>
      </c>
      <c r="N72" s="21">
        <f t="shared" si="11"/>
        <v>467</v>
      </c>
      <c r="O72" s="21">
        <f t="shared" si="11"/>
        <v>467</v>
      </c>
      <c r="P72" s="21">
        <f t="shared" si="11"/>
        <v>467</v>
      </c>
      <c r="Q72" s="21">
        <f t="shared" si="11"/>
        <v>467</v>
      </c>
      <c r="R72" s="21">
        <f t="shared" si="11"/>
        <v>467</v>
      </c>
      <c r="S72" s="21">
        <f t="shared" si="9"/>
        <v>463</v>
      </c>
      <c r="T72" s="22">
        <f t="shared" si="10"/>
        <v>0</v>
      </c>
    </row>
    <row r="73" spans="1:20" x14ac:dyDescent="0.25">
      <c r="A73" s="4">
        <v>6723</v>
      </c>
      <c r="B73" s="4" t="s">
        <v>1570</v>
      </c>
      <c r="C73" s="5" t="s">
        <v>247</v>
      </c>
      <c r="D73" s="4" t="str">
        <f t="shared" si="12"/>
        <v>Medical/Life Insurance</v>
      </c>
      <c r="E73" s="10">
        <v>7600</v>
      </c>
      <c r="F73" s="20" t="s">
        <v>1496</v>
      </c>
      <c r="G73" s="20" t="b">
        <f t="shared" si="13"/>
        <v>0</v>
      </c>
      <c r="H73" s="21">
        <f t="shared" si="11"/>
        <v>633</v>
      </c>
      <c r="I73" s="21">
        <f t="shared" si="11"/>
        <v>633</v>
      </c>
      <c r="J73" s="21">
        <f t="shared" si="11"/>
        <v>633</v>
      </c>
      <c r="K73" s="21">
        <f t="shared" si="11"/>
        <v>633</v>
      </c>
      <c r="L73" s="21">
        <f t="shared" ref="L73:R76" si="14">ROUND(($E73/12),0)</f>
        <v>633</v>
      </c>
      <c r="M73" s="21">
        <f t="shared" si="14"/>
        <v>633</v>
      </c>
      <c r="N73" s="21">
        <f t="shared" si="14"/>
        <v>633</v>
      </c>
      <c r="O73" s="21">
        <f t="shared" si="14"/>
        <v>633</v>
      </c>
      <c r="P73" s="21">
        <f t="shared" si="14"/>
        <v>633</v>
      </c>
      <c r="Q73" s="21">
        <f t="shared" si="14"/>
        <v>633</v>
      </c>
      <c r="R73" s="21">
        <f t="shared" si="14"/>
        <v>633</v>
      </c>
      <c r="S73" s="21">
        <f t="shared" si="9"/>
        <v>637</v>
      </c>
      <c r="T73" s="22">
        <f t="shared" si="10"/>
        <v>0</v>
      </c>
    </row>
    <row r="74" spans="1:20" x14ac:dyDescent="0.25">
      <c r="A74" s="4">
        <v>6830</v>
      </c>
      <c r="B74" s="4" t="s">
        <v>1590</v>
      </c>
      <c r="C74" s="5" t="s">
        <v>976</v>
      </c>
      <c r="D74" s="4" t="str">
        <f t="shared" si="12"/>
        <v>Interest Transfer to Reserve</v>
      </c>
      <c r="E74" s="10">
        <v>11948.52</v>
      </c>
      <c r="F74" s="20" t="s">
        <v>1496</v>
      </c>
      <c r="G74" s="20" t="b">
        <f t="shared" si="13"/>
        <v>0</v>
      </c>
      <c r="H74" s="21">
        <f t="shared" ref="H74:K75" si="15">ROUND(($E74/12),0)</f>
        <v>996</v>
      </c>
      <c r="I74" s="21">
        <f t="shared" si="15"/>
        <v>996</v>
      </c>
      <c r="J74" s="21">
        <f t="shared" si="15"/>
        <v>996</v>
      </c>
      <c r="K74" s="21">
        <f t="shared" si="15"/>
        <v>996</v>
      </c>
      <c r="L74" s="21">
        <f t="shared" si="14"/>
        <v>996</v>
      </c>
      <c r="M74" s="21">
        <f t="shared" si="14"/>
        <v>996</v>
      </c>
      <c r="N74" s="21">
        <f t="shared" si="14"/>
        <v>996</v>
      </c>
      <c r="O74" s="21">
        <f t="shared" si="14"/>
        <v>996</v>
      </c>
      <c r="P74" s="21">
        <f t="shared" si="14"/>
        <v>996</v>
      </c>
      <c r="Q74" s="21">
        <f t="shared" si="14"/>
        <v>996</v>
      </c>
      <c r="R74" s="21">
        <f t="shared" si="14"/>
        <v>996</v>
      </c>
      <c r="S74" s="21">
        <f t="shared" si="9"/>
        <v>993</v>
      </c>
      <c r="T74" s="22">
        <f t="shared" si="10"/>
        <v>0.47999999999956344</v>
      </c>
    </row>
    <row r="75" spans="1:20" x14ac:dyDescent="0.25">
      <c r="A75" s="4">
        <v>2321</v>
      </c>
      <c r="B75" s="4" t="s">
        <v>1571</v>
      </c>
      <c r="C75" s="5" t="s">
        <v>978</v>
      </c>
      <c r="D75" s="4" t="str">
        <f t="shared" si="12"/>
        <v>Loan Payment</v>
      </c>
      <c r="E75" s="10">
        <v>128701.56</v>
      </c>
      <c r="F75" s="20" t="s">
        <v>1496</v>
      </c>
      <c r="G75" s="20" t="b">
        <f t="shared" si="13"/>
        <v>0</v>
      </c>
      <c r="H75" s="21">
        <f t="shared" si="15"/>
        <v>10725</v>
      </c>
      <c r="I75" s="21">
        <f t="shared" si="15"/>
        <v>10725</v>
      </c>
      <c r="J75" s="21">
        <f t="shared" si="15"/>
        <v>10725</v>
      </c>
      <c r="K75" s="21">
        <f t="shared" si="15"/>
        <v>10725</v>
      </c>
      <c r="L75" s="21">
        <f t="shared" si="14"/>
        <v>10725</v>
      </c>
      <c r="M75" s="21">
        <f t="shared" si="14"/>
        <v>10725</v>
      </c>
      <c r="N75" s="21">
        <f t="shared" si="14"/>
        <v>10725</v>
      </c>
      <c r="O75" s="21">
        <f t="shared" si="14"/>
        <v>10725</v>
      </c>
      <c r="P75" s="21">
        <f t="shared" si="14"/>
        <v>10725</v>
      </c>
      <c r="Q75" s="21">
        <f t="shared" si="14"/>
        <v>10725</v>
      </c>
      <c r="R75" s="21">
        <f t="shared" si="14"/>
        <v>10725</v>
      </c>
      <c r="S75" s="21">
        <f t="shared" si="9"/>
        <v>10727</v>
      </c>
      <c r="T75" s="22">
        <f t="shared" si="10"/>
        <v>0.44000000000232831</v>
      </c>
    </row>
    <row r="76" spans="1:20" x14ac:dyDescent="0.25">
      <c r="A76" s="4">
        <v>6898</v>
      </c>
      <c r="B76" s="4" t="s">
        <v>1589</v>
      </c>
      <c r="C76" s="5" t="s">
        <v>939</v>
      </c>
      <c r="D76" s="4" t="str">
        <f t="shared" ref="D76" si="16">VLOOKUP(C76,gllu,2,0)</f>
        <v>Budgeted Trsf to Res</v>
      </c>
      <c r="E76" s="10">
        <v>485174</v>
      </c>
      <c r="F76" s="20" t="s">
        <v>1496</v>
      </c>
      <c r="G76" s="20" t="b">
        <f t="shared" si="13"/>
        <v>0</v>
      </c>
      <c r="H76" s="21">
        <f t="shared" ref="H76:K76" si="17">ROUND(($E76/12),0)</f>
        <v>40431</v>
      </c>
      <c r="I76" s="21">
        <f t="shared" si="17"/>
        <v>40431</v>
      </c>
      <c r="J76" s="21">
        <f t="shared" si="17"/>
        <v>40431</v>
      </c>
      <c r="K76" s="21">
        <f t="shared" si="17"/>
        <v>40431</v>
      </c>
      <c r="L76" s="21">
        <f t="shared" si="14"/>
        <v>40431</v>
      </c>
      <c r="M76" s="21">
        <f t="shared" si="14"/>
        <v>40431</v>
      </c>
      <c r="N76" s="21">
        <f t="shared" si="14"/>
        <v>40431</v>
      </c>
      <c r="O76" s="21">
        <f t="shared" si="14"/>
        <v>40431</v>
      </c>
      <c r="P76" s="21">
        <f t="shared" si="14"/>
        <v>40431</v>
      </c>
      <c r="Q76" s="21">
        <f t="shared" si="14"/>
        <v>40431</v>
      </c>
      <c r="R76" s="21">
        <f t="shared" si="14"/>
        <v>40431</v>
      </c>
      <c r="S76" s="21">
        <f t="shared" ref="S76" si="18">ROUND((E76-((ROUND(($E76/12),0))*11)),0)</f>
        <v>40433</v>
      </c>
      <c r="T76" s="22">
        <f t="shared" ref="T76" si="19">SUM(H76:S76)-E76</f>
        <v>0</v>
      </c>
    </row>
    <row r="77" spans="1:20" x14ac:dyDescent="0.25">
      <c r="A77" s="4"/>
      <c r="B77" s="4"/>
      <c r="C77" s="5"/>
      <c r="D77" s="4"/>
    </row>
    <row r="78" spans="1:20" x14ac:dyDescent="0.25">
      <c r="A78" s="4"/>
      <c r="B78" s="4"/>
      <c r="D78" s="4"/>
      <c r="E78" s="23">
        <f>SUM(E2:E77)</f>
        <v>799.99999999994179</v>
      </c>
    </row>
  </sheetData>
  <sortState ref="A2:T52">
    <sortCondition ref="C2"/>
  </sortState>
  <pageMargins left="0.7" right="0.7" top="0.75" bottom="0.75" header="0.3" footer="0.3"/>
  <pageSetup scale="62" orientation="landscape" r:id="rId1"/>
  <headerFooter>
    <oddFooter>&amp;C&amp;P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zoomScaleNormal="100" workbookViewId="0"/>
  </sheetViews>
  <sheetFormatPr defaultRowHeight="15" x14ac:dyDescent="0.25"/>
  <cols>
    <col min="1" max="1" width="6.42578125" style="7" bestFit="1" customWidth="1"/>
    <col min="2" max="2" width="27.85546875" style="7" bestFit="1" customWidth="1"/>
    <col min="3" max="3" width="6.42578125" style="7" bestFit="1" customWidth="1"/>
    <col min="4" max="4" width="35.28515625" style="7" bestFit="1" customWidth="1"/>
    <col min="5" max="5" width="12.28515625" style="7" bestFit="1" customWidth="1"/>
    <col min="6" max="6" width="4.28515625" style="7" bestFit="1" customWidth="1"/>
    <col min="7" max="7" width="4.42578125" style="7" customWidth="1"/>
    <col min="8" max="19" width="6.7109375" style="7" bestFit="1" customWidth="1"/>
    <col min="20" max="20" width="11.5703125" style="7" bestFit="1" customWidth="1"/>
    <col min="21" max="16384" width="9.140625" style="7"/>
  </cols>
  <sheetData>
    <row r="1" spans="1:20" ht="39" x14ac:dyDescent="0.25">
      <c r="A1" s="6" t="s">
        <v>1377</v>
      </c>
      <c r="B1" s="6" t="s">
        <v>1378</v>
      </c>
      <c r="C1" s="6" t="s">
        <v>1379</v>
      </c>
      <c r="D1" s="6" t="s">
        <v>1380</v>
      </c>
      <c r="E1" s="6" t="s">
        <v>1381</v>
      </c>
      <c r="F1" s="11" t="s">
        <v>1382</v>
      </c>
      <c r="G1" s="11"/>
      <c r="H1" s="6" t="s">
        <v>1384</v>
      </c>
      <c r="I1" s="6" t="s">
        <v>1385</v>
      </c>
      <c r="J1" s="6" t="s">
        <v>1386</v>
      </c>
      <c r="K1" s="6" t="s">
        <v>1387</v>
      </c>
      <c r="L1" s="6" t="s">
        <v>1388</v>
      </c>
      <c r="M1" s="6" t="s">
        <v>1389</v>
      </c>
      <c r="N1" s="6" t="s">
        <v>1390</v>
      </c>
      <c r="O1" s="6" t="s">
        <v>1391</v>
      </c>
      <c r="P1" s="6" t="s">
        <v>1392</v>
      </c>
      <c r="Q1" s="6" t="s">
        <v>1393</v>
      </c>
      <c r="R1" s="6" t="s">
        <v>1394</v>
      </c>
      <c r="S1" s="6" t="s">
        <v>1395</v>
      </c>
      <c r="T1" s="6" t="s">
        <v>1396</v>
      </c>
    </row>
    <row r="2" spans="1:20" x14ac:dyDescent="0.25">
      <c r="A2" s="5">
        <v>7010</v>
      </c>
      <c r="B2" s="5" t="s">
        <v>1589</v>
      </c>
      <c r="C2" s="16" t="s">
        <v>1078</v>
      </c>
      <c r="D2" s="4" t="str">
        <f t="shared" ref="D2:D23" si="0">VLOOKUP(C2,gllu,2,0)</f>
        <v>Budgeted Operating Fund to Reserves</v>
      </c>
      <c r="E2" s="10">
        <v>-485174</v>
      </c>
      <c r="F2" s="7" t="s">
        <v>1495</v>
      </c>
      <c r="H2" s="12">
        <f t="shared" ref="H2:H10" si="1">ROUND(($E2/12),0)</f>
        <v>-40431</v>
      </c>
      <c r="I2" s="12">
        <f t="shared" ref="I2:R10" si="2">ROUND(($E2/12),0)</f>
        <v>-40431</v>
      </c>
      <c r="J2" s="12">
        <f t="shared" si="2"/>
        <v>-40431</v>
      </c>
      <c r="K2" s="12">
        <f t="shared" si="2"/>
        <v>-40431</v>
      </c>
      <c r="L2" s="12">
        <f t="shared" si="2"/>
        <v>-40431</v>
      </c>
      <c r="M2" s="12">
        <f t="shared" si="2"/>
        <v>-40431</v>
      </c>
      <c r="N2" s="12">
        <f t="shared" si="2"/>
        <v>-40431</v>
      </c>
      <c r="O2" s="12">
        <f t="shared" si="2"/>
        <v>-40431</v>
      </c>
      <c r="P2" s="12">
        <f t="shared" si="2"/>
        <v>-40431</v>
      </c>
      <c r="Q2" s="12">
        <f t="shared" si="2"/>
        <v>-40431</v>
      </c>
      <c r="R2" s="12">
        <f t="shared" si="2"/>
        <v>-40431</v>
      </c>
      <c r="S2" s="12">
        <f t="shared" ref="S2:S3" si="3">ROUND((E2-((ROUND(($E2/12),0))*11)),0)</f>
        <v>-40433</v>
      </c>
      <c r="T2" s="13">
        <f t="shared" ref="T2:T3" si="4">SUM(H2:S2)-E2</f>
        <v>0</v>
      </c>
    </row>
    <row r="3" spans="1:20" x14ac:dyDescent="0.25">
      <c r="A3" s="5" t="s">
        <v>1572</v>
      </c>
      <c r="B3" s="5" t="s">
        <v>1591</v>
      </c>
      <c r="C3" s="16" t="s">
        <v>1317</v>
      </c>
      <c r="D3" s="4" t="str">
        <f t="shared" si="0"/>
        <v>Swimming Pool Capital Expense</v>
      </c>
      <c r="E3" s="10">
        <v>2400</v>
      </c>
      <c r="F3" s="7" t="s">
        <v>1495</v>
      </c>
      <c r="H3" s="12">
        <f t="shared" si="1"/>
        <v>200</v>
      </c>
      <c r="I3" s="12">
        <f t="shared" si="2"/>
        <v>200</v>
      </c>
      <c r="J3" s="12">
        <f t="shared" si="2"/>
        <v>200</v>
      </c>
      <c r="K3" s="12">
        <f t="shared" si="2"/>
        <v>200</v>
      </c>
      <c r="L3" s="12">
        <f t="shared" si="2"/>
        <v>200</v>
      </c>
      <c r="M3" s="12">
        <f t="shared" si="2"/>
        <v>200</v>
      </c>
      <c r="N3" s="12">
        <f t="shared" si="2"/>
        <v>200</v>
      </c>
      <c r="O3" s="12">
        <f t="shared" si="2"/>
        <v>200</v>
      </c>
      <c r="P3" s="12">
        <f t="shared" si="2"/>
        <v>200</v>
      </c>
      <c r="Q3" s="12">
        <f t="shared" si="2"/>
        <v>200</v>
      </c>
      <c r="R3" s="12">
        <f t="shared" si="2"/>
        <v>200</v>
      </c>
      <c r="S3" s="12">
        <f t="shared" si="3"/>
        <v>200</v>
      </c>
      <c r="T3" s="13">
        <f t="shared" si="4"/>
        <v>0</v>
      </c>
    </row>
    <row r="4" spans="1:20" x14ac:dyDescent="0.25">
      <c r="A4" s="5" t="s">
        <v>1573</v>
      </c>
      <c r="B4" s="5" t="s">
        <v>1592</v>
      </c>
      <c r="C4" s="16" t="s">
        <v>1277</v>
      </c>
      <c r="D4" s="4" t="str">
        <f t="shared" si="0"/>
        <v>Electrical Capital Expense</v>
      </c>
      <c r="E4" s="10">
        <v>1500</v>
      </c>
      <c r="F4" s="7" t="s">
        <v>1495</v>
      </c>
      <c r="H4" s="12">
        <f t="shared" si="1"/>
        <v>125</v>
      </c>
      <c r="I4" s="12">
        <f t="shared" si="2"/>
        <v>125</v>
      </c>
      <c r="J4" s="12">
        <f t="shared" si="2"/>
        <v>125</v>
      </c>
      <c r="K4" s="12">
        <f t="shared" si="2"/>
        <v>125</v>
      </c>
      <c r="L4" s="12">
        <f t="shared" si="2"/>
        <v>125</v>
      </c>
      <c r="M4" s="12">
        <f t="shared" si="2"/>
        <v>125</v>
      </c>
      <c r="N4" s="12">
        <f t="shared" si="2"/>
        <v>125</v>
      </c>
      <c r="O4" s="12">
        <f t="shared" si="2"/>
        <v>125</v>
      </c>
      <c r="P4" s="12">
        <f t="shared" si="2"/>
        <v>125</v>
      </c>
      <c r="Q4" s="12">
        <f t="shared" si="2"/>
        <v>125</v>
      </c>
      <c r="R4" s="12">
        <f t="shared" si="2"/>
        <v>125</v>
      </c>
      <c r="S4" s="12">
        <f t="shared" ref="S4:S20" si="5">ROUND((E4-((ROUND(($E4/12),0))*11)),0)</f>
        <v>125</v>
      </c>
      <c r="T4" s="13">
        <f t="shared" ref="T4:T20" si="6">SUM(H4:S4)-E4</f>
        <v>0</v>
      </c>
    </row>
    <row r="5" spans="1:20" x14ac:dyDescent="0.25">
      <c r="A5" s="5" t="s">
        <v>1574</v>
      </c>
      <c r="B5" s="5" t="s">
        <v>1593</v>
      </c>
      <c r="C5" s="16" t="s">
        <v>1271</v>
      </c>
      <c r="D5" s="4" t="str">
        <f t="shared" si="0"/>
        <v>Asphalt Capital Expense</v>
      </c>
      <c r="E5" s="10">
        <v>100000</v>
      </c>
      <c r="F5" s="7" t="s">
        <v>1495</v>
      </c>
      <c r="H5" s="12">
        <f t="shared" si="1"/>
        <v>8333</v>
      </c>
      <c r="I5" s="12">
        <f t="shared" si="2"/>
        <v>8333</v>
      </c>
      <c r="J5" s="12">
        <f t="shared" si="2"/>
        <v>8333</v>
      </c>
      <c r="K5" s="12">
        <f t="shared" si="2"/>
        <v>8333</v>
      </c>
      <c r="L5" s="12">
        <f t="shared" si="2"/>
        <v>8333</v>
      </c>
      <c r="M5" s="12">
        <f t="shared" si="2"/>
        <v>8333</v>
      </c>
      <c r="N5" s="12">
        <f t="shared" si="2"/>
        <v>8333</v>
      </c>
      <c r="O5" s="12">
        <f t="shared" si="2"/>
        <v>8333</v>
      </c>
      <c r="P5" s="12">
        <f t="shared" si="2"/>
        <v>8333</v>
      </c>
      <c r="Q5" s="12">
        <f t="shared" si="2"/>
        <v>8333</v>
      </c>
      <c r="R5" s="12">
        <f t="shared" si="2"/>
        <v>8333</v>
      </c>
      <c r="S5" s="12">
        <f t="shared" si="5"/>
        <v>8337</v>
      </c>
      <c r="T5" s="13">
        <f t="shared" si="6"/>
        <v>0</v>
      </c>
    </row>
    <row r="6" spans="1:20" x14ac:dyDescent="0.25">
      <c r="A6" s="5" t="s">
        <v>1575</v>
      </c>
      <c r="B6" s="5" t="s">
        <v>1594</v>
      </c>
      <c r="C6" s="16" t="s">
        <v>1207</v>
      </c>
      <c r="D6" s="4" t="str">
        <f t="shared" si="0"/>
        <v>Concrete Capital Expense</v>
      </c>
      <c r="E6" s="10">
        <v>3500</v>
      </c>
      <c r="F6" s="7" t="s">
        <v>1495</v>
      </c>
      <c r="H6" s="12">
        <f t="shared" si="1"/>
        <v>292</v>
      </c>
      <c r="I6" s="12">
        <f t="shared" si="2"/>
        <v>292</v>
      </c>
      <c r="J6" s="12">
        <f t="shared" si="2"/>
        <v>292</v>
      </c>
      <c r="K6" s="12">
        <f t="shared" si="2"/>
        <v>292</v>
      </c>
      <c r="L6" s="12">
        <f t="shared" si="2"/>
        <v>292</v>
      </c>
      <c r="M6" s="12">
        <f t="shared" si="2"/>
        <v>292</v>
      </c>
      <c r="N6" s="12">
        <f t="shared" si="2"/>
        <v>292</v>
      </c>
      <c r="O6" s="12">
        <f t="shared" si="2"/>
        <v>292</v>
      </c>
      <c r="P6" s="12">
        <f t="shared" si="2"/>
        <v>292</v>
      </c>
      <c r="Q6" s="12">
        <f t="shared" si="2"/>
        <v>292</v>
      </c>
      <c r="R6" s="12">
        <f t="shared" si="2"/>
        <v>292</v>
      </c>
      <c r="S6" s="12">
        <f t="shared" si="5"/>
        <v>288</v>
      </c>
      <c r="T6" s="13">
        <f t="shared" si="6"/>
        <v>0</v>
      </c>
    </row>
    <row r="7" spans="1:20" x14ac:dyDescent="0.25">
      <c r="A7" s="5" t="s">
        <v>1576</v>
      </c>
      <c r="B7" s="5" t="s">
        <v>1595</v>
      </c>
      <c r="C7" s="16" t="s">
        <v>1199</v>
      </c>
      <c r="D7" s="4" t="str">
        <f t="shared" si="0"/>
        <v>Carpentry-Balcony Repair/Replacement</v>
      </c>
      <c r="E7" s="10">
        <v>220000</v>
      </c>
      <c r="F7" s="7" t="s">
        <v>1495</v>
      </c>
      <c r="H7" s="12">
        <f t="shared" si="1"/>
        <v>18333</v>
      </c>
      <c r="I7" s="12">
        <f t="shared" si="2"/>
        <v>18333</v>
      </c>
      <c r="J7" s="12">
        <f t="shared" si="2"/>
        <v>18333</v>
      </c>
      <c r="K7" s="12">
        <f t="shared" si="2"/>
        <v>18333</v>
      </c>
      <c r="L7" s="12">
        <f t="shared" si="2"/>
        <v>18333</v>
      </c>
      <c r="M7" s="12">
        <f t="shared" si="2"/>
        <v>18333</v>
      </c>
      <c r="N7" s="12">
        <f t="shared" si="2"/>
        <v>18333</v>
      </c>
      <c r="O7" s="12">
        <f t="shared" si="2"/>
        <v>18333</v>
      </c>
      <c r="P7" s="12">
        <f t="shared" si="2"/>
        <v>18333</v>
      </c>
      <c r="Q7" s="12">
        <f t="shared" si="2"/>
        <v>18333</v>
      </c>
      <c r="R7" s="12">
        <f t="shared" si="2"/>
        <v>18333</v>
      </c>
      <c r="S7" s="12">
        <f t="shared" si="5"/>
        <v>18337</v>
      </c>
      <c r="T7" s="13">
        <f t="shared" si="6"/>
        <v>0</v>
      </c>
    </row>
    <row r="8" spans="1:20" x14ac:dyDescent="0.25">
      <c r="A8" s="5" t="s">
        <v>1577</v>
      </c>
      <c r="B8" s="5" t="s">
        <v>1596</v>
      </c>
      <c r="C8" s="16" t="s">
        <v>1321</v>
      </c>
      <c r="D8" s="4" t="str">
        <f t="shared" si="0"/>
        <v>Garage Capital Expense</v>
      </c>
      <c r="E8" s="10">
        <v>4600</v>
      </c>
      <c r="F8" s="7" t="s">
        <v>1495</v>
      </c>
      <c r="H8" s="12">
        <f t="shared" si="1"/>
        <v>383</v>
      </c>
      <c r="I8" s="12">
        <f t="shared" si="2"/>
        <v>383</v>
      </c>
      <c r="J8" s="12">
        <f t="shared" si="2"/>
        <v>383</v>
      </c>
      <c r="K8" s="12">
        <f t="shared" si="2"/>
        <v>383</v>
      </c>
      <c r="L8" s="12">
        <f t="shared" si="2"/>
        <v>383</v>
      </c>
      <c r="M8" s="12">
        <f t="shared" si="2"/>
        <v>383</v>
      </c>
      <c r="N8" s="12">
        <f t="shared" si="2"/>
        <v>383</v>
      </c>
      <c r="O8" s="12">
        <f t="shared" si="2"/>
        <v>383</v>
      </c>
      <c r="P8" s="12">
        <f t="shared" si="2"/>
        <v>383</v>
      </c>
      <c r="Q8" s="12">
        <f t="shared" si="2"/>
        <v>383</v>
      </c>
      <c r="R8" s="12">
        <f t="shared" si="2"/>
        <v>383</v>
      </c>
      <c r="S8" s="12">
        <f t="shared" si="5"/>
        <v>387</v>
      </c>
      <c r="T8" s="13">
        <f t="shared" si="6"/>
        <v>0</v>
      </c>
    </row>
    <row r="9" spans="1:20" x14ac:dyDescent="0.25">
      <c r="A9" s="5" t="s">
        <v>1578</v>
      </c>
      <c r="B9" s="5" t="s">
        <v>1597</v>
      </c>
      <c r="C9" s="16" t="s">
        <v>1232</v>
      </c>
      <c r="D9" s="4" t="str">
        <f t="shared" si="0"/>
        <v>HVAC Capital Expense</v>
      </c>
      <c r="E9" s="10">
        <v>12000</v>
      </c>
      <c r="F9" s="7" t="s">
        <v>1495</v>
      </c>
      <c r="H9" s="12">
        <f t="shared" si="1"/>
        <v>1000</v>
      </c>
      <c r="I9" s="12">
        <f t="shared" si="2"/>
        <v>1000</v>
      </c>
      <c r="J9" s="12">
        <f t="shared" si="2"/>
        <v>1000</v>
      </c>
      <c r="K9" s="12">
        <f t="shared" si="2"/>
        <v>1000</v>
      </c>
      <c r="L9" s="12">
        <f t="shared" si="2"/>
        <v>1000</v>
      </c>
      <c r="M9" s="12">
        <f t="shared" si="2"/>
        <v>1000</v>
      </c>
      <c r="N9" s="12">
        <f t="shared" si="2"/>
        <v>1000</v>
      </c>
      <c r="O9" s="12">
        <f t="shared" si="2"/>
        <v>1000</v>
      </c>
      <c r="P9" s="12">
        <f t="shared" si="2"/>
        <v>1000</v>
      </c>
      <c r="Q9" s="12">
        <f t="shared" si="2"/>
        <v>1000</v>
      </c>
      <c r="R9" s="12">
        <f t="shared" si="2"/>
        <v>1000</v>
      </c>
      <c r="S9" s="12">
        <f t="shared" si="5"/>
        <v>1000</v>
      </c>
      <c r="T9" s="13">
        <f t="shared" si="6"/>
        <v>0</v>
      </c>
    </row>
    <row r="10" spans="1:20" x14ac:dyDescent="0.25">
      <c r="A10" s="5" t="s">
        <v>1579</v>
      </c>
      <c r="B10" s="5" t="s">
        <v>1598</v>
      </c>
      <c r="C10" s="16" t="s">
        <v>1244</v>
      </c>
      <c r="D10" s="4" t="str">
        <f t="shared" si="0"/>
        <v>Plumbing-Water Heaters</v>
      </c>
      <c r="E10" s="10">
        <v>6000</v>
      </c>
      <c r="F10" s="7" t="s">
        <v>1495</v>
      </c>
      <c r="H10" s="12">
        <f t="shared" si="1"/>
        <v>500</v>
      </c>
      <c r="I10" s="12">
        <f t="shared" si="2"/>
        <v>500</v>
      </c>
      <c r="J10" s="12">
        <f t="shared" si="2"/>
        <v>500</v>
      </c>
      <c r="K10" s="12">
        <f t="shared" si="2"/>
        <v>500</v>
      </c>
      <c r="L10" s="12">
        <f t="shared" si="2"/>
        <v>500</v>
      </c>
      <c r="M10" s="12">
        <f t="shared" si="2"/>
        <v>500</v>
      </c>
      <c r="N10" s="12">
        <f t="shared" si="2"/>
        <v>500</v>
      </c>
      <c r="O10" s="12">
        <f t="shared" si="2"/>
        <v>500</v>
      </c>
      <c r="P10" s="12">
        <f t="shared" si="2"/>
        <v>500</v>
      </c>
      <c r="Q10" s="12">
        <f t="shared" si="2"/>
        <v>500</v>
      </c>
      <c r="R10" s="12">
        <f t="shared" si="2"/>
        <v>500</v>
      </c>
      <c r="S10" s="12">
        <f t="shared" si="5"/>
        <v>500</v>
      </c>
      <c r="T10" s="13">
        <f t="shared" si="6"/>
        <v>0</v>
      </c>
    </row>
    <row r="11" spans="1:20" x14ac:dyDescent="0.25">
      <c r="A11" s="5" t="s">
        <v>1580</v>
      </c>
      <c r="B11" s="5" t="s">
        <v>1599</v>
      </c>
      <c r="C11" s="16" t="s">
        <v>1179</v>
      </c>
      <c r="D11" s="4" t="str">
        <f t="shared" si="0"/>
        <v>Building Capital Expenses</v>
      </c>
      <c r="E11" s="10">
        <v>12000</v>
      </c>
      <c r="F11" s="7" t="s">
        <v>1495</v>
      </c>
      <c r="H11" s="12">
        <f t="shared" ref="H11:R23" si="7">ROUND(($E11/12),0)</f>
        <v>1000</v>
      </c>
      <c r="I11" s="12">
        <f t="shared" si="7"/>
        <v>1000</v>
      </c>
      <c r="J11" s="12">
        <f t="shared" si="7"/>
        <v>1000</v>
      </c>
      <c r="K11" s="12">
        <f t="shared" si="7"/>
        <v>1000</v>
      </c>
      <c r="L11" s="12">
        <f t="shared" si="7"/>
        <v>1000</v>
      </c>
      <c r="M11" s="12">
        <f t="shared" si="7"/>
        <v>1000</v>
      </c>
      <c r="N11" s="12">
        <f t="shared" si="7"/>
        <v>1000</v>
      </c>
      <c r="O11" s="12">
        <f t="shared" si="7"/>
        <v>1000</v>
      </c>
      <c r="P11" s="12">
        <f t="shared" si="7"/>
        <v>1000</v>
      </c>
      <c r="Q11" s="12">
        <f t="shared" si="7"/>
        <v>1000</v>
      </c>
      <c r="R11" s="12">
        <f t="shared" si="7"/>
        <v>1000</v>
      </c>
      <c r="S11" s="12">
        <f t="shared" si="5"/>
        <v>1000</v>
      </c>
      <c r="T11" s="13">
        <f t="shared" si="6"/>
        <v>0</v>
      </c>
    </row>
    <row r="12" spans="1:20" x14ac:dyDescent="0.25">
      <c r="A12" s="5" t="s">
        <v>1581</v>
      </c>
      <c r="B12" s="5" t="s">
        <v>1600</v>
      </c>
      <c r="C12" s="16" t="s">
        <v>1238</v>
      </c>
      <c r="D12" s="4" t="str">
        <f t="shared" si="0"/>
        <v>Plumbing Capital Expense</v>
      </c>
      <c r="E12" s="10">
        <v>40000</v>
      </c>
      <c r="F12" s="7" t="s">
        <v>1495</v>
      </c>
      <c r="H12" s="12">
        <f t="shared" si="7"/>
        <v>3333</v>
      </c>
      <c r="I12" s="12">
        <f t="shared" si="7"/>
        <v>3333</v>
      </c>
      <c r="J12" s="12">
        <f t="shared" si="7"/>
        <v>3333</v>
      </c>
      <c r="K12" s="12">
        <f t="shared" si="7"/>
        <v>3333</v>
      </c>
      <c r="L12" s="12">
        <f t="shared" si="7"/>
        <v>3333</v>
      </c>
      <c r="M12" s="12">
        <f t="shared" si="7"/>
        <v>3333</v>
      </c>
      <c r="N12" s="12">
        <f t="shared" si="7"/>
        <v>3333</v>
      </c>
      <c r="O12" s="12">
        <f t="shared" si="7"/>
        <v>3333</v>
      </c>
      <c r="P12" s="12">
        <f t="shared" si="7"/>
        <v>3333</v>
      </c>
      <c r="Q12" s="12">
        <f t="shared" si="7"/>
        <v>3333</v>
      </c>
      <c r="R12" s="12">
        <f t="shared" si="7"/>
        <v>3333</v>
      </c>
      <c r="S12" s="12">
        <f t="shared" si="5"/>
        <v>3337</v>
      </c>
      <c r="T12" s="13">
        <f t="shared" si="6"/>
        <v>0</v>
      </c>
    </row>
    <row r="13" spans="1:20" x14ac:dyDescent="0.25">
      <c r="A13" s="5" t="s">
        <v>1582</v>
      </c>
      <c r="B13" s="5" t="s">
        <v>1601</v>
      </c>
      <c r="C13" s="16" t="s">
        <v>1185</v>
      </c>
      <c r="D13" s="4" t="str">
        <f t="shared" si="0"/>
        <v>Masonry/Tuckpointing Capital Expense</v>
      </c>
      <c r="E13" s="10">
        <v>10000</v>
      </c>
      <c r="F13" s="7" t="s">
        <v>1495</v>
      </c>
      <c r="H13" s="12">
        <f t="shared" si="7"/>
        <v>833</v>
      </c>
      <c r="I13" s="12">
        <f t="shared" si="7"/>
        <v>833</v>
      </c>
      <c r="J13" s="12">
        <f t="shared" si="7"/>
        <v>833</v>
      </c>
      <c r="K13" s="12">
        <f t="shared" si="7"/>
        <v>833</v>
      </c>
      <c r="L13" s="12">
        <f t="shared" si="7"/>
        <v>833</v>
      </c>
      <c r="M13" s="12">
        <f t="shared" si="7"/>
        <v>833</v>
      </c>
      <c r="N13" s="12">
        <f t="shared" si="7"/>
        <v>833</v>
      </c>
      <c r="O13" s="12">
        <f t="shared" si="7"/>
        <v>833</v>
      </c>
      <c r="P13" s="12">
        <f t="shared" si="7"/>
        <v>833</v>
      </c>
      <c r="Q13" s="12">
        <f t="shared" si="7"/>
        <v>833</v>
      </c>
      <c r="R13" s="12">
        <f t="shared" si="7"/>
        <v>833</v>
      </c>
      <c r="S13" s="12">
        <f t="shared" si="5"/>
        <v>837</v>
      </c>
      <c r="T13" s="13">
        <f t="shared" si="6"/>
        <v>0</v>
      </c>
    </row>
    <row r="14" spans="1:20" x14ac:dyDescent="0.25">
      <c r="A14" s="5" t="s">
        <v>1583</v>
      </c>
      <c r="B14" s="5" t="s">
        <v>1602</v>
      </c>
      <c r="C14" s="16" t="s">
        <v>1173</v>
      </c>
      <c r="D14" s="4" t="str">
        <f t="shared" si="0"/>
        <v>Reserve Study</v>
      </c>
      <c r="E14" s="10">
        <v>5000</v>
      </c>
      <c r="F14" s="7" t="s">
        <v>1495</v>
      </c>
      <c r="H14" s="12">
        <f t="shared" si="7"/>
        <v>417</v>
      </c>
      <c r="I14" s="12">
        <f t="shared" si="7"/>
        <v>417</v>
      </c>
      <c r="J14" s="12">
        <f t="shared" si="7"/>
        <v>417</v>
      </c>
      <c r="K14" s="12">
        <f t="shared" si="7"/>
        <v>417</v>
      </c>
      <c r="L14" s="12">
        <f t="shared" si="7"/>
        <v>417</v>
      </c>
      <c r="M14" s="12">
        <f t="shared" si="7"/>
        <v>417</v>
      </c>
      <c r="N14" s="12">
        <f t="shared" si="7"/>
        <v>417</v>
      </c>
      <c r="O14" s="12">
        <f t="shared" si="7"/>
        <v>417</v>
      </c>
      <c r="P14" s="12">
        <f t="shared" si="7"/>
        <v>417</v>
      </c>
      <c r="Q14" s="12">
        <f t="shared" si="7"/>
        <v>417</v>
      </c>
      <c r="R14" s="12">
        <f t="shared" si="7"/>
        <v>417</v>
      </c>
      <c r="S14" s="12">
        <f t="shared" si="5"/>
        <v>413</v>
      </c>
      <c r="T14" s="13">
        <f t="shared" si="6"/>
        <v>0</v>
      </c>
    </row>
    <row r="15" spans="1:20" x14ac:dyDescent="0.25">
      <c r="A15" s="5" t="s">
        <v>1584</v>
      </c>
      <c r="B15" s="5" t="s">
        <v>1603</v>
      </c>
      <c r="C15" s="16" t="s">
        <v>1180</v>
      </c>
      <c r="D15" s="15" t="str">
        <f t="shared" si="0"/>
        <v>Building Capital Expenses</v>
      </c>
      <c r="E15" s="10">
        <v>8000</v>
      </c>
      <c r="F15" s="7" t="s">
        <v>1495</v>
      </c>
      <c r="H15" s="12">
        <f t="shared" si="7"/>
        <v>667</v>
      </c>
      <c r="I15" s="12">
        <f t="shared" si="7"/>
        <v>667</v>
      </c>
      <c r="J15" s="12">
        <f t="shared" si="7"/>
        <v>667</v>
      </c>
      <c r="K15" s="12">
        <f t="shared" si="7"/>
        <v>667</v>
      </c>
      <c r="L15" s="12">
        <f t="shared" si="7"/>
        <v>667</v>
      </c>
      <c r="M15" s="12">
        <f t="shared" si="7"/>
        <v>667</v>
      </c>
      <c r="N15" s="12">
        <f t="shared" si="7"/>
        <v>667</v>
      </c>
      <c r="O15" s="12">
        <f t="shared" si="7"/>
        <v>667</v>
      </c>
      <c r="P15" s="12">
        <f t="shared" si="7"/>
        <v>667</v>
      </c>
      <c r="Q15" s="12">
        <f t="shared" si="7"/>
        <v>667</v>
      </c>
      <c r="R15" s="12">
        <f t="shared" si="7"/>
        <v>667</v>
      </c>
      <c r="S15" s="12">
        <f t="shared" si="5"/>
        <v>663</v>
      </c>
      <c r="T15" s="13">
        <f t="shared" si="6"/>
        <v>0</v>
      </c>
    </row>
    <row r="16" spans="1:20" x14ac:dyDescent="0.25">
      <c r="A16" s="5" t="s">
        <v>1585</v>
      </c>
      <c r="B16" s="5" t="s">
        <v>1604</v>
      </c>
      <c r="C16" s="16" t="s">
        <v>1181</v>
      </c>
      <c r="D16" s="15" t="str">
        <f t="shared" si="0"/>
        <v>Building Capital Expenses</v>
      </c>
      <c r="E16" s="10">
        <v>2400</v>
      </c>
      <c r="F16" s="7" t="s">
        <v>1495</v>
      </c>
      <c r="H16" s="12">
        <f t="shared" si="7"/>
        <v>200</v>
      </c>
      <c r="I16" s="12">
        <f t="shared" si="7"/>
        <v>200</v>
      </c>
      <c r="J16" s="12">
        <f t="shared" si="7"/>
        <v>200</v>
      </c>
      <c r="K16" s="12">
        <f t="shared" si="7"/>
        <v>200</v>
      </c>
      <c r="L16" s="12">
        <f t="shared" si="7"/>
        <v>200</v>
      </c>
      <c r="M16" s="12">
        <f t="shared" si="7"/>
        <v>200</v>
      </c>
      <c r="N16" s="12">
        <f t="shared" si="7"/>
        <v>200</v>
      </c>
      <c r="O16" s="12">
        <f t="shared" si="7"/>
        <v>200</v>
      </c>
      <c r="P16" s="12">
        <f t="shared" si="7"/>
        <v>200</v>
      </c>
      <c r="Q16" s="12">
        <f t="shared" si="7"/>
        <v>200</v>
      </c>
      <c r="R16" s="12">
        <f t="shared" si="7"/>
        <v>200</v>
      </c>
      <c r="S16" s="12">
        <f t="shared" si="5"/>
        <v>200</v>
      </c>
      <c r="T16" s="13">
        <f t="shared" si="6"/>
        <v>0</v>
      </c>
    </row>
    <row r="17" spans="1:20" x14ac:dyDescent="0.25">
      <c r="A17" s="5" t="s">
        <v>1586</v>
      </c>
      <c r="B17" s="5" t="s">
        <v>1605</v>
      </c>
      <c r="C17" s="16" t="s">
        <v>1195</v>
      </c>
      <c r="D17" s="4" t="str">
        <f t="shared" si="0"/>
        <v>Carpentry-Door Replacement</v>
      </c>
      <c r="E17" s="10">
        <v>5800</v>
      </c>
      <c r="F17" s="7" t="s">
        <v>1495</v>
      </c>
      <c r="H17" s="12">
        <f t="shared" si="7"/>
        <v>483</v>
      </c>
      <c r="I17" s="12">
        <f t="shared" si="7"/>
        <v>483</v>
      </c>
      <c r="J17" s="12">
        <f t="shared" si="7"/>
        <v>483</v>
      </c>
      <c r="K17" s="12">
        <f t="shared" si="7"/>
        <v>483</v>
      </c>
      <c r="L17" s="12">
        <f t="shared" si="7"/>
        <v>483</v>
      </c>
      <c r="M17" s="12">
        <f t="shared" si="7"/>
        <v>483</v>
      </c>
      <c r="N17" s="12">
        <f t="shared" si="7"/>
        <v>483</v>
      </c>
      <c r="O17" s="12">
        <f t="shared" si="7"/>
        <v>483</v>
      </c>
      <c r="P17" s="12">
        <f t="shared" si="7"/>
        <v>483</v>
      </c>
      <c r="Q17" s="12">
        <f t="shared" si="7"/>
        <v>483</v>
      </c>
      <c r="R17" s="12">
        <f t="shared" si="7"/>
        <v>483</v>
      </c>
      <c r="S17" s="12">
        <f t="shared" si="5"/>
        <v>487</v>
      </c>
      <c r="T17" s="13">
        <f t="shared" si="6"/>
        <v>0</v>
      </c>
    </row>
    <row r="18" spans="1:20" x14ac:dyDescent="0.25">
      <c r="A18" s="5" t="s">
        <v>1587</v>
      </c>
      <c r="B18" s="5" t="s">
        <v>1606</v>
      </c>
      <c r="C18" s="16" t="s">
        <v>1182</v>
      </c>
      <c r="D18" s="15" t="str">
        <f t="shared" si="0"/>
        <v>Building Capital Expense</v>
      </c>
      <c r="E18" s="10">
        <v>2000</v>
      </c>
      <c r="F18" s="7" t="s">
        <v>1495</v>
      </c>
      <c r="H18" s="12">
        <f t="shared" si="7"/>
        <v>167</v>
      </c>
      <c r="I18" s="12">
        <f t="shared" si="7"/>
        <v>167</v>
      </c>
      <c r="J18" s="12">
        <f t="shared" si="7"/>
        <v>167</v>
      </c>
      <c r="K18" s="12">
        <f t="shared" si="7"/>
        <v>167</v>
      </c>
      <c r="L18" s="12">
        <f t="shared" si="7"/>
        <v>167</v>
      </c>
      <c r="M18" s="12">
        <f t="shared" si="7"/>
        <v>167</v>
      </c>
      <c r="N18" s="12">
        <f t="shared" si="7"/>
        <v>167</v>
      </c>
      <c r="O18" s="12">
        <f t="shared" si="7"/>
        <v>167</v>
      </c>
      <c r="P18" s="12">
        <f t="shared" si="7"/>
        <v>167</v>
      </c>
      <c r="Q18" s="12">
        <f t="shared" si="7"/>
        <v>167</v>
      </c>
      <c r="R18" s="12">
        <f t="shared" si="7"/>
        <v>167</v>
      </c>
      <c r="S18" s="12">
        <f t="shared" si="5"/>
        <v>163</v>
      </c>
      <c r="T18" s="13">
        <f t="shared" si="6"/>
        <v>0</v>
      </c>
    </row>
    <row r="19" spans="1:20" x14ac:dyDescent="0.25">
      <c r="A19" s="5" t="s">
        <v>1588</v>
      </c>
      <c r="B19" s="5" t="s">
        <v>1607</v>
      </c>
      <c r="C19" s="7" t="s">
        <v>1279</v>
      </c>
      <c r="D19" s="4" t="str">
        <f t="shared" si="0"/>
        <v>Electrical-Fixture Replacement</v>
      </c>
      <c r="E19" s="10">
        <v>1500</v>
      </c>
      <c r="F19" s="7" t="s">
        <v>1495</v>
      </c>
      <c r="H19" s="12">
        <f t="shared" si="7"/>
        <v>125</v>
      </c>
      <c r="I19" s="12">
        <f t="shared" si="7"/>
        <v>125</v>
      </c>
      <c r="J19" s="12">
        <f t="shared" si="7"/>
        <v>125</v>
      </c>
      <c r="K19" s="12">
        <f t="shared" si="7"/>
        <v>125</v>
      </c>
      <c r="L19" s="12">
        <f t="shared" si="7"/>
        <v>125</v>
      </c>
      <c r="M19" s="12">
        <f t="shared" si="7"/>
        <v>125</v>
      </c>
      <c r="N19" s="12">
        <f t="shared" si="7"/>
        <v>125</v>
      </c>
      <c r="O19" s="12">
        <f t="shared" si="7"/>
        <v>125</v>
      </c>
      <c r="P19" s="12">
        <f t="shared" si="7"/>
        <v>125</v>
      </c>
      <c r="Q19" s="12">
        <f t="shared" si="7"/>
        <v>125</v>
      </c>
      <c r="R19" s="12">
        <f t="shared" si="7"/>
        <v>125</v>
      </c>
      <c r="S19" s="12">
        <f t="shared" si="5"/>
        <v>125</v>
      </c>
      <c r="T19" s="13">
        <f t="shared" si="6"/>
        <v>0</v>
      </c>
    </row>
    <row r="20" spans="1:20" x14ac:dyDescent="0.25">
      <c r="A20" s="5"/>
      <c r="B20" s="5"/>
      <c r="C20" s="16" t="s">
        <v>1084</v>
      </c>
      <c r="D20" s="4" t="str">
        <f t="shared" si="0"/>
        <v>Bdgt Oper Fnd to Res</v>
      </c>
      <c r="E20" s="10">
        <v>-140650.07999999999</v>
      </c>
      <c r="F20" s="7" t="s">
        <v>1495</v>
      </c>
      <c r="H20" s="12">
        <f t="shared" si="7"/>
        <v>-11721</v>
      </c>
      <c r="I20" s="12">
        <f t="shared" si="7"/>
        <v>-11721</v>
      </c>
      <c r="J20" s="12">
        <f t="shared" si="7"/>
        <v>-11721</v>
      </c>
      <c r="K20" s="12">
        <f t="shared" si="7"/>
        <v>-11721</v>
      </c>
      <c r="L20" s="12">
        <f t="shared" si="7"/>
        <v>-11721</v>
      </c>
      <c r="M20" s="12">
        <f t="shared" si="7"/>
        <v>-11721</v>
      </c>
      <c r="N20" s="12">
        <f t="shared" si="7"/>
        <v>-11721</v>
      </c>
      <c r="O20" s="12">
        <f t="shared" si="7"/>
        <v>-11721</v>
      </c>
      <c r="P20" s="12">
        <f t="shared" si="7"/>
        <v>-11721</v>
      </c>
      <c r="Q20" s="12">
        <f t="shared" si="7"/>
        <v>-11721</v>
      </c>
      <c r="R20" s="12">
        <f t="shared" si="7"/>
        <v>-11721</v>
      </c>
      <c r="S20" s="12">
        <f t="shared" si="5"/>
        <v>-11719</v>
      </c>
      <c r="T20" s="13">
        <f t="shared" si="6"/>
        <v>7.9999999987194315E-2</v>
      </c>
    </row>
    <row r="21" spans="1:20" x14ac:dyDescent="0.25">
      <c r="A21" s="5"/>
      <c r="B21" s="5"/>
      <c r="C21" s="16" t="s">
        <v>1325</v>
      </c>
      <c r="D21" s="4" t="str">
        <f t="shared" si="0"/>
        <v>Capital Loan Payment</v>
      </c>
      <c r="E21" s="10">
        <v>11948.52</v>
      </c>
      <c r="F21" s="7" t="s">
        <v>1495</v>
      </c>
      <c r="H21" s="12">
        <f t="shared" si="7"/>
        <v>996</v>
      </c>
      <c r="I21" s="12">
        <f t="shared" si="7"/>
        <v>996</v>
      </c>
      <c r="J21" s="12">
        <f t="shared" si="7"/>
        <v>996</v>
      </c>
      <c r="K21" s="12">
        <f t="shared" si="7"/>
        <v>996</v>
      </c>
      <c r="L21" s="12">
        <f t="shared" si="7"/>
        <v>996</v>
      </c>
      <c r="M21" s="12">
        <f t="shared" si="7"/>
        <v>996</v>
      </c>
      <c r="N21" s="12">
        <f t="shared" si="7"/>
        <v>996</v>
      </c>
      <c r="O21" s="12">
        <f t="shared" si="7"/>
        <v>996</v>
      </c>
      <c r="P21" s="12">
        <f t="shared" si="7"/>
        <v>996</v>
      </c>
      <c r="Q21" s="12">
        <f t="shared" si="7"/>
        <v>996</v>
      </c>
      <c r="R21" s="12">
        <f t="shared" si="7"/>
        <v>996</v>
      </c>
      <c r="S21" s="12">
        <f t="shared" ref="S21:S23" si="8">ROUND((E21-((ROUND(($E21/12),0))*11)),0)</f>
        <v>993</v>
      </c>
      <c r="T21" s="13">
        <f t="shared" ref="T21:T23" si="9">SUM(H21:S21)-E21</f>
        <v>0.47999999999956344</v>
      </c>
    </row>
    <row r="22" spans="1:20" x14ac:dyDescent="0.25">
      <c r="C22" s="7" t="s">
        <v>1326</v>
      </c>
      <c r="D22" s="4" t="str">
        <f t="shared" si="0"/>
        <v>Loan Principal Pymt</v>
      </c>
      <c r="E22" s="10">
        <v>128701.56</v>
      </c>
      <c r="F22" s="7" t="s">
        <v>1495</v>
      </c>
      <c r="H22" s="12">
        <f t="shared" si="7"/>
        <v>10725</v>
      </c>
      <c r="I22" s="12">
        <f t="shared" si="7"/>
        <v>10725</v>
      </c>
      <c r="J22" s="12">
        <f t="shared" si="7"/>
        <v>10725</v>
      </c>
      <c r="K22" s="12">
        <f t="shared" si="7"/>
        <v>10725</v>
      </c>
      <c r="L22" s="12">
        <f t="shared" si="7"/>
        <v>10725</v>
      </c>
      <c r="M22" s="12">
        <f t="shared" si="7"/>
        <v>10725</v>
      </c>
      <c r="N22" s="12">
        <f t="shared" si="7"/>
        <v>10725</v>
      </c>
      <c r="O22" s="12">
        <f t="shared" si="7"/>
        <v>10725</v>
      </c>
      <c r="P22" s="12">
        <f t="shared" si="7"/>
        <v>10725</v>
      </c>
      <c r="Q22" s="12">
        <f t="shared" si="7"/>
        <v>10725</v>
      </c>
      <c r="R22" s="12">
        <f t="shared" si="7"/>
        <v>10725</v>
      </c>
      <c r="S22" s="12">
        <f t="shared" si="8"/>
        <v>10727</v>
      </c>
      <c r="T22" s="13">
        <f t="shared" si="9"/>
        <v>0.44000000000232831</v>
      </c>
    </row>
    <row r="23" spans="1:20" x14ac:dyDescent="0.25">
      <c r="C23" s="16" t="s">
        <v>1089</v>
      </c>
      <c r="D23" s="4" t="str">
        <f t="shared" si="0"/>
        <v>Reserve Interest Inc</v>
      </c>
      <c r="E23" s="10">
        <v>-800</v>
      </c>
      <c r="F23" s="7" t="s">
        <v>1495</v>
      </c>
      <c r="H23" s="12">
        <f t="shared" si="7"/>
        <v>-67</v>
      </c>
      <c r="I23" s="12">
        <f t="shared" si="7"/>
        <v>-67</v>
      </c>
      <c r="J23" s="12">
        <f t="shared" si="7"/>
        <v>-67</v>
      </c>
      <c r="K23" s="12">
        <f t="shared" si="7"/>
        <v>-67</v>
      </c>
      <c r="L23" s="12">
        <f t="shared" si="7"/>
        <v>-67</v>
      </c>
      <c r="M23" s="12">
        <f t="shared" si="7"/>
        <v>-67</v>
      </c>
      <c r="N23" s="12">
        <f t="shared" si="7"/>
        <v>-67</v>
      </c>
      <c r="O23" s="12">
        <f t="shared" si="7"/>
        <v>-67</v>
      </c>
      <c r="P23" s="12">
        <f t="shared" si="7"/>
        <v>-67</v>
      </c>
      <c r="Q23" s="12">
        <f t="shared" si="7"/>
        <v>-67</v>
      </c>
      <c r="R23" s="12">
        <f t="shared" si="7"/>
        <v>-67</v>
      </c>
      <c r="S23" s="12">
        <f t="shared" si="8"/>
        <v>-63</v>
      </c>
      <c r="T23" s="13">
        <f t="shared" si="9"/>
        <v>0</v>
      </c>
    </row>
    <row r="24" spans="1:20" x14ac:dyDescent="0.25">
      <c r="E24" s="14"/>
    </row>
    <row r="25" spans="1:20" x14ac:dyDescent="0.25">
      <c r="E25" s="14">
        <f>SUM(E2:E24)</f>
        <v>-49274</v>
      </c>
    </row>
  </sheetData>
  <pageMargins left="0.7" right="0.7" top="0.75" bottom="0.75" header="0.3" footer="0.3"/>
  <pageSetup scale="62" orientation="landscape" r:id="rId1"/>
  <headerFooter>
    <oddFooter>&amp;C&amp;P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"/>
  <sheetViews>
    <sheetView tabSelected="1" zoomScaleNormal="100" workbookViewId="0"/>
  </sheetViews>
  <sheetFormatPr defaultRowHeight="15" x14ac:dyDescent="0.25"/>
  <cols>
    <col min="1" max="1" width="6.7109375" style="7" bestFit="1" customWidth="1"/>
    <col min="2" max="2" width="6.140625" style="7" bestFit="1" customWidth="1"/>
    <col min="3" max="14" width="7.7109375" style="7" bestFit="1" customWidth="1"/>
    <col min="15" max="16384" width="9.140625" style="7"/>
  </cols>
  <sheetData>
    <row r="1" spans="1:14" x14ac:dyDescent="0.25">
      <c r="A1" s="16" t="s">
        <v>1498</v>
      </c>
      <c r="B1" s="7">
        <v>2013</v>
      </c>
    </row>
    <row r="2" spans="1:14" x14ac:dyDescent="0.25">
      <c r="C2" s="7" t="s">
        <v>1397</v>
      </c>
      <c r="D2" s="7" t="s">
        <v>1398</v>
      </c>
      <c r="E2" s="7" t="s">
        <v>1399</v>
      </c>
      <c r="F2" s="7" t="s">
        <v>1400</v>
      </c>
      <c r="G2" s="7" t="s">
        <v>1401</v>
      </c>
      <c r="H2" s="7" t="s">
        <v>1402</v>
      </c>
      <c r="I2" s="7" t="s">
        <v>1403</v>
      </c>
      <c r="J2" s="7" t="s">
        <v>1404</v>
      </c>
      <c r="K2" s="7" t="s">
        <v>1405</v>
      </c>
      <c r="L2" s="7" t="s">
        <v>1406</v>
      </c>
      <c r="M2" s="7" t="s">
        <v>1407</v>
      </c>
      <c r="N2" s="7" t="s">
        <v>1408</v>
      </c>
    </row>
    <row r="3" spans="1:14" x14ac:dyDescent="0.25">
      <c r="C3" s="7">
        <v>2013</v>
      </c>
      <c r="D3" s="7">
        <v>2013</v>
      </c>
      <c r="E3" s="7">
        <v>2013</v>
      </c>
      <c r="F3" s="7">
        <v>2013</v>
      </c>
      <c r="G3" s="7">
        <v>2013</v>
      </c>
      <c r="H3" s="7">
        <v>2013</v>
      </c>
      <c r="I3" s="7">
        <v>2013</v>
      </c>
      <c r="J3" s="7">
        <v>2013</v>
      </c>
      <c r="K3" s="7">
        <v>2013</v>
      </c>
      <c r="L3" s="7">
        <v>2013</v>
      </c>
      <c r="M3" s="7">
        <v>2013</v>
      </c>
      <c r="N3" s="7">
        <v>2013</v>
      </c>
    </row>
    <row r="4" spans="1:14" x14ac:dyDescent="0.25">
      <c r="A4" s="5" t="s">
        <v>78</v>
      </c>
      <c r="C4" s="12">
        <f>VLOOKUP($A4,'Operating Main Budget'!$C:$S,6,0)</f>
        <v>-5605</v>
      </c>
      <c r="D4" s="12">
        <f>VLOOKUP($A4,'Operating Main Budget'!$C:$S,7,0)</f>
        <v>-5605</v>
      </c>
      <c r="E4" s="12">
        <f>VLOOKUP($A4,'Operating Main Budget'!$C:$S,8,0)</f>
        <v>-5605</v>
      </c>
      <c r="F4" s="12">
        <f>VLOOKUP($A4,'Operating Main Budget'!$C:$S,9,0)</f>
        <v>-5605</v>
      </c>
      <c r="G4" s="12">
        <f>VLOOKUP($A4,'Operating Main Budget'!$C:$S,10,0)</f>
        <v>-5605</v>
      </c>
      <c r="H4" s="12">
        <f>VLOOKUP($A4,'Operating Main Budget'!$C:$S,11,0)</f>
        <v>-5605</v>
      </c>
      <c r="I4" s="12">
        <f>VLOOKUP($A4,'Operating Main Budget'!$C:$S,12,0)</f>
        <v>-5605</v>
      </c>
      <c r="J4" s="12">
        <f>VLOOKUP($A4,'Operating Main Budget'!$C:$S,13,0)</f>
        <v>-5605</v>
      </c>
      <c r="K4" s="12">
        <f>VLOOKUP($A4,'Operating Main Budget'!$C:$S,14,0)</f>
        <v>-5605</v>
      </c>
      <c r="L4" s="12">
        <f>VLOOKUP($A4,'Operating Main Budget'!$C:$S,15,0)</f>
        <v>-5605</v>
      </c>
      <c r="M4" s="12">
        <f>VLOOKUP($A4,'Operating Main Budget'!$C:$S,16,0)</f>
        <v>-5605</v>
      </c>
      <c r="N4" s="12">
        <f>VLOOKUP($A4,'Operating Main Budget'!$C:$S,17,0)</f>
        <v>-5605</v>
      </c>
    </row>
    <row r="5" spans="1:14" x14ac:dyDescent="0.25">
      <c r="A5" s="5" t="s">
        <v>4</v>
      </c>
      <c r="C5" s="12">
        <f>VLOOKUP($A5,'Operating Main Budget'!$C:$S,6,0)</f>
        <v>-104858</v>
      </c>
      <c r="D5" s="12">
        <f>VLOOKUP($A5,'Operating Main Budget'!$C:$S,7,0)</f>
        <v>-104858</v>
      </c>
      <c r="E5" s="12">
        <f>VLOOKUP($A5,'Operating Main Budget'!$C:$S,8,0)</f>
        <v>-104858</v>
      </c>
      <c r="F5" s="12">
        <f>VLOOKUP($A5,'Operating Main Budget'!$C:$S,9,0)</f>
        <v>-104858</v>
      </c>
      <c r="G5" s="12">
        <f>VLOOKUP($A5,'Operating Main Budget'!$C:$S,10,0)</f>
        <v>-104858</v>
      </c>
      <c r="H5" s="12">
        <f>VLOOKUP($A5,'Operating Main Budget'!$C:$S,11,0)</f>
        <v>-104858</v>
      </c>
      <c r="I5" s="12">
        <f>VLOOKUP($A5,'Operating Main Budget'!$C:$S,12,0)</f>
        <v>-104858</v>
      </c>
      <c r="J5" s="12">
        <f>VLOOKUP($A5,'Operating Main Budget'!$C:$S,13,0)</f>
        <v>-104858</v>
      </c>
      <c r="K5" s="12">
        <f>VLOOKUP($A5,'Operating Main Budget'!$C:$S,14,0)</f>
        <v>-104858</v>
      </c>
      <c r="L5" s="12">
        <f>VLOOKUP($A5,'Operating Main Budget'!$C:$S,15,0)</f>
        <v>-104858</v>
      </c>
      <c r="M5" s="12">
        <f>VLOOKUP($A5,'Operating Main Budget'!$C:$S,16,0)</f>
        <v>-104858</v>
      </c>
      <c r="N5" s="12">
        <f>VLOOKUP($A5,'Operating Main Budget'!$C:$S,17,0)</f>
        <v>-104862</v>
      </c>
    </row>
    <row r="6" spans="1:14" x14ac:dyDescent="0.25">
      <c r="A6" s="5" t="s">
        <v>12</v>
      </c>
      <c r="C6" s="12">
        <f>VLOOKUP($A6,'Operating Main Budget'!$C:$S,6,0)</f>
        <v>-40431</v>
      </c>
      <c r="D6" s="12">
        <f>VLOOKUP($A6,'Operating Main Budget'!$C:$S,7,0)</f>
        <v>-40431</v>
      </c>
      <c r="E6" s="12">
        <f>VLOOKUP($A6,'Operating Main Budget'!$C:$S,8,0)</f>
        <v>-40431</v>
      </c>
      <c r="F6" s="12">
        <f>VLOOKUP($A6,'Operating Main Budget'!$C:$S,9,0)</f>
        <v>-40431</v>
      </c>
      <c r="G6" s="12">
        <f>VLOOKUP($A6,'Operating Main Budget'!$C:$S,10,0)</f>
        <v>-40431</v>
      </c>
      <c r="H6" s="12">
        <f>VLOOKUP($A6,'Operating Main Budget'!$C:$S,11,0)</f>
        <v>-40431</v>
      </c>
      <c r="I6" s="12">
        <f>VLOOKUP($A6,'Operating Main Budget'!$C:$S,12,0)</f>
        <v>-40431</v>
      </c>
      <c r="J6" s="12">
        <f>VLOOKUP($A6,'Operating Main Budget'!$C:$S,13,0)</f>
        <v>-40431</v>
      </c>
      <c r="K6" s="12">
        <f>VLOOKUP($A6,'Operating Main Budget'!$C:$S,14,0)</f>
        <v>-40431</v>
      </c>
      <c r="L6" s="12">
        <f>VLOOKUP($A6,'Operating Main Budget'!$C:$S,15,0)</f>
        <v>-40431</v>
      </c>
      <c r="M6" s="12">
        <f>VLOOKUP($A6,'Operating Main Budget'!$C:$S,16,0)</f>
        <v>-40431</v>
      </c>
      <c r="N6" s="12">
        <f>VLOOKUP($A6,'Operating Main Budget'!$C:$S,17,0)</f>
        <v>-40433</v>
      </c>
    </row>
    <row r="7" spans="1:14" x14ac:dyDescent="0.25">
      <c r="A7" s="5" t="s">
        <v>19</v>
      </c>
      <c r="C7" s="12">
        <f>VLOOKUP($A7,'Operating Main Budget'!$C:$S,6,0)</f>
        <v>-11721</v>
      </c>
      <c r="D7" s="12">
        <f>VLOOKUP($A7,'Operating Main Budget'!$C:$S,7,0)</f>
        <v>-11721</v>
      </c>
      <c r="E7" s="12">
        <f>VLOOKUP($A7,'Operating Main Budget'!$C:$S,8,0)</f>
        <v>-11721</v>
      </c>
      <c r="F7" s="12">
        <f>VLOOKUP($A7,'Operating Main Budget'!$C:$S,9,0)</f>
        <v>-11721</v>
      </c>
      <c r="G7" s="12">
        <f>VLOOKUP($A7,'Operating Main Budget'!$C:$S,10,0)</f>
        <v>-11721</v>
      </c>
      <c r="H7" s="12">
        <f>VLOOKUP($A7,'Operating Main Budget'!$C:$S,11,0)</f>
        <v>-11721</v>
      </c>
      <c r="I7" s="12">
        <f>VLOOKUP($A7,'Operating Main Budget'!$C:$S,12,0)</f>
        <v>-11721</v>
      </c>
      <c r="J7" s="12">
        <f>VLOOKUP($A7,'Operating Main Budget'!$C:$S,13,0)</f>
        <v>-11721</v>
      </c>
      <c r="K7" s="12">
        <f>VLOOKUP($A7,'Operating Main Budget'!$C:$S,14,0)</f>
        <v>-11721</v>
      </c>
      <c r="L7" s="12">
        <f>VLOOKUP($A7,'Operating Main Budget'!$C:$S,15,0)</f>
        <v>-11721</v>
      </c>
      <c r="M7" s="12">
        <f>VLOOKUP($A7,'Operating Main Budget'!$C:$S,16,0)</f>
        <v>-11721</v>
      </c>
      <c r="N7" s="12">
        <f>VLOOKUP($A7,'Operating Main Budget'!$C:$S,17,0)</f>
        <v>-11719</v>
      </c>
    </row>
    <row r="8" spans="1:14" x14ac:dyDescent="0.25">
      <c r="A8" s="5" t="s">
        <v>136</v>
      </c>
      <c r="C8" s="12">
        <f>VLOOKUP($A8,'Operating Main Budget'!$C:$S,6,0)</f>
        <v>-8</v>
      </c>
      <c r="D8" s="12">
        <f>VLOOKUP($A8,'Operating Main Budget'!$C:$S,7,0)</f>
        <v>-8</v>
      </c>
      <c r="E8" s="12">
        <f>VLOOKUP($A8,'Operating Main Budget'!$C:$S,8,0)</f>
        <v>-8</v>
      </c>
      <c r="F8" s="12">
        <f>VLOOKUP($A8,'Operating Main Budget'!$C:$S,9,0)</f>
        <v>-8</v>
      </c>
      <c r="G8" s="12">
        <f>VLOOKUP($A8,'Operating Main Budget'!$C:$S,10,0)</f>
        <v>-8</v>
      </c>
      <c r="H8" s="12">
        <f>VLOOKUP($A8,'Operating Main Budget'!$C:$S,11,0)</f>
        <v>-8</v>
      </c>
      <c r="I8" s="12">
        <f>VLOOKUP($A8,'Operating Main Budget'!$C:$S,12,0)</f>
        <v>-8</v>
      </c>
      <c r="J8" s="12">
        <f>VLOOKUP($A8,'Operating Main Budget'!$C:$S,13,0)</f>
        <v>-8</v>
      </c>
      <c r="K8" s="12">
        <f>VLOOKUP($A8,'Operating Main Budget'!$C:$S,14,0)</f>
        <v>-8</v>
      </c>
      <c r="L8" s="12">
        <f>VLOOKUP($A8,'Operating Main Budget'!$C:$S,15,0)</f>
        <v>-8</v>
      </c>
      <c r="M8" s="12">
        <f>VLOOKUP($A8,'Operating Main Budget'!$C:$S,16,0)</f>
        <v>-8</v>
      </c>
      <c r="N8" s="12">
        <f>VLOOKUP($A8,'Operating Main Budget'!$C:$S,17,0)</f>
        <v>-12</v>
      </c>
    </row>
    <row r="9" spans="1:14" x14ac:dyDescent="0.25">
      <c r="A9" s="5" t="s">
        <v>66</v>
      </c>
      <c r="C9" s="12">
        <f>VLOOKUP($A9,'Operating Main Budget'!$C:$S,6,0)</f>
        <v>-4333</v>
      </c>
      <c r="D9" s="12">
        <f>VLOOKUP($A9,'Operating Main Budget'!$C:$S,7,0)</f>
        <v>-4333</v>
      </c>
      <c r="E9" s="12">
        <f>VLOOKUP($A9,'Operating Main Budget'!$C:$S,8,0)</f>
        <v>-4333</v>
      </c>
      <c r="F9" s="12">
        <f>VLOOKUP($A9,'Operating Main Budget'!$C:$S,9,0)</f>
        <v>-4333</v>
      </c>
      <c r="G9" s="12">
        <f>VLOOKUP($A9,'Operating Main Budget'!$C:$S,10,0)</f>
        <v>-4333</v>
      </c>
      <c r="H9" s="12">
        <f>VLOOKUP($A9,'Operating Main Budget'!$C:$S,11,0)</f>
        <v>-4333</v>
      </c>
      <c r="I9" s="12">
        <f>VLOOKUP($A9,'Operating Main Budget'!$C:$S,12,0)</f>
        <v>-4333</v>
      </c>
      <c r="J9" s="12">
        <f>VLOOKUP($A9,'Operating Main Budget'!$C:$S,13,0)</f>
        <v>-4333</v>
      </c>
      <c r="K9" s="12">
        <f>VLOOKUP($A9,'Operating Main Budget'!$C:$S,14,0)</f>
        <v>-4333</v>
      </c>
      <c r="L9" s="12">
        <f>VLOOKUP($A9,'Operating Main Budget'!$C:$S,15,0)</f>
        <v>-4333</v>
      </c>
      <c r="M9" s="12">
        <f>VLOOKUP($A9,'Operating Main Budget'!$C:$S,16,0)</f>
        <v>-4333</v>
      </c>
      <c r="N9" s="12">
        <f>VLOOKUP($A9,'Operating Main Budget'!$C:$S,17,0)</f>
        <v>-4337</v>
      </c>
    </row>
    <row r="10" spans="1:14" x14ac:dyDescent="0.25">
      <c r="A10" s="5" t="s">
        <v>27</v>
      </c>
      <c r="C10" s="12">
        <f>VLOOKUP($A10,'Operating Main Budget'!$C:$S,6,0)</f>
        <v>-300</v>
      </c>
      <c r="D10" s="12">
        <f>VLOOKUP($A10,'Operating Main Budget'!$C:$S,7,0)</f>
        <v>-300</v>
      </c>
      <c r="E10" s="12">
        <f>VLOOKUP($A10,'Operating Main Budget'!$C:$S,8,0)</f>
        <v>-300</v>
      </c>
      <c r="F10" s="12">
        <f>VLOOKUP($A10,'Operating Main Budget'!$C:$S,9,0)</f>
        <v>-300</v>
      </c>
      <c r="G10" s="12">
        <f>VLOOKUP($A10,'Operating Main Budget'!$C:$S,10,0)</f>
        <v>-300</v>
      </c>
      <c r="H10" s="12">
        <f>VLOOKUP($A10,'Operating Main Budget'!$C:$S,11,0)</f>
        <v>-300</v>
      </c>
      <c r="I10" s="12">
        <f>VLOOKUP($A10,'Operating Main Budget'!$C:$S,12,0)</f>
        <v>-300</v>
      </c>
      <c r="J10" s="12">
        <f>VLOOKUP($A10,'Operating Main Budget'!$C:$S,13,0)</f>
        <v>-300</v>
      </c>
      <c r="K10" s="12">
        <f>VLOOKUP($A10,'Operating Main Budget'!$C:$S,14,0)</f>
        <v>-300</v>
      </c>
      <c r="L10" s="12">
        <f>VLOOKUP($A10,'Operating Main Budget'!$C:$S,15,0)</f>
        <v>-300</v>
      </c>
      <c r="M10" s="12">
        <f>VLOOKUP($A10,'Operating Main Budget'!$C:$S,16,0)</f>
        <v>-300</v>
      </c>
      <c r="N10" s="12">
        <f>VLOOKUP($A10,'Operating Main Budget'!$C:$S,17,0)</f>
        <v>-300</v>
      </c>
    </row>
    <row r="11" spans="1:14" x14ac:dyDescent="0.25">
      <c r="A11" s="5" t="s">
        <v>150</v>
      </c>
      <c r="C11" s="12">
        <f>VLOOKUP($A11,'Operating Main Budget'!$C:$S,6,0)</f>
        <v>-83</v>
      </c>
      <c r="D11" s="12">
        <f>VLOOKUP($A11,'Operating Main Budget'!$C:$S,7,0)</f>
        <v>-83</v>
      </c>
      <c r="E11" s="12">
        <f>VLOOKUP($A11,'Operating Main Budget'!$C:$S,8,0)</f>
        <v>-83</v>
      </c>
      <c r="F11" s="12">
        <f>VLOOKUP($A11,'Operating Main Budget'!$C:$S,9,0)</f>
        <v>-83</v>
      </c>
      <c r="G11" s="12">
        <f>VLOOKUP($A11,'Operating Main Budget'!$C:$S,10,0)</f>
        <v>-83</v>
      </c>
      <c r="H11" s="12">
        <f>VLOOKUP($A11,'Operating Main Budget'!$C:$S,11,0)</f>
        <v>-83</v>
      </c>
      <c r="I11" s="12">
        <f>VLOOKUP($A11,'Operating Main Budget'!$C:$S,12,0)</f>
        <v>-83</v>
      </c>
      <c r="J11" s="12">
        <f>VLOOKUP($A11,'Operating Main Budget'!$C:$S,13,0)</f>
        <v>-83</v>
      </c>
      <c r="K11" s="12">
        <f>VLOOKUP($A11,'Operating Main Budget'!$C:$S,14,0)</f>
        <v>-83</v>
      </c>
      <c r="L11" s="12">
        <f>VLOOKUP($A11,'Operating Main Budget'!$C:$S,15,0)</f>
        <v>-83</v>
      </c>
      <c r="M11" s="12">
        <f>VLOOKUP($A11,'Operating Main Budget'!$C:$S,16,0)</f>
        <v>-83</v>
      </c>
      <c r="N11" s="12">
        <f>VLOOKUP($A11,'Operating Main Budget'!$C:$S,17,0)</f>
        <v>-87</v>
      </c>
    </row>
    <row r="12" spans="1:14" x14ac:dyDescent="0.25">
      <c r="A12" s="5" t="s">
        <v>52</v>
      </c>
      <c r="C12" s="12">
        <f>VLOOKUP($A12,'Operating Main Budget'!$C:$S,6,0)</f>
        <v>-50</v>
      </c>
      <c r="D12" s="12">
        <f>VLOOKUP($A12,'Operating Main Budget'!$C:$S,7,0)</f>
        <v>-50</v>
      </c>
      <c r="E12" s="12">
        <f>VLOOKUP($A12,'Operating Main Budget'!$C:$S,8,0)</f>
        <v>-50</v>
      </c>
      <c r="F12" s="12">
        <f>VLOOKUP($A12,'Operating Main Budget'!$C:$S,9,0)</f>
        <v>-50</v>
      </c>
      <c r="G12" s="12">
        <f>VLOOKUP($A12,'Operating Main Budget'!$C:$S,10,0)</f>
        <v>-50</v>
      </c>
      <c r="H12" s="12">
        <f>VLOOKUP($A12,'Operating Main Budget'!$C:$S,11,0)</f>
        <v>-50</v>
      </c>
      <c r="I12" s="12">
        <f>VLOOKUP($A12,'Operating Main Budget'!$C:$S,12,0)</f>
        <v>-50</v>
      </c>
      <c r="J12" s="12">
        <f>VLOOKUP($A12,'Operating Main Budget'!$C:$S,13,0)</f>
        <v>-50</v>
      </c>
      <c r="K12" s="12">
        <f>VLOOKUP($A12,'Operating Main Budget'!$C:$S,14,0)</f>
        <v>-50</v>
      </c>
      <c r="L12" s="12">
        <f>VLOOKUP($A12,'Operating Main Budget'!$C:$S,15,0)</f>
        <v>-50</v>
      </c>
      <c r="M12" s="12">
        <f>VLOOKUP($A12,'Operating Main Budget'!$C:$S,16,0)</f>
        <v>-50</v>
      </c>
      <c r="N12" s="12">
        <f>VLOOKUP($A12,'Operating Main Budget'!$C:$S,17,0)</f>
        <v>-50</v>
      </c>
    </row>
    <row r="13" spans="1:14" x14ac:dyDescent="0.25">
      <c r="A13" s="5" t="s">
        <v>120</v>
      </c>
      <c r="C13" s="12">
        <f>VLOOKUP($A13,'Operating Main Budget'!$C:$S,6,0)</f>
        <v>-500</v>
      </c>
      <c r="D13" s="12">
        <f>VLOOKUP($A13,'Operating Main Budget'!$C:$S,7,0)</f>
        <v>-500</v>
      </c>
      <c r="E13" s="12">
        <f>VLOOKUP($A13,'Operating Main Budget'!$C:$S,8,0)</f>
        <v>-500</v>
      </c>
      <c r="F13" s="12">
        <f>VLOOKUP($A13,'Operating Main Budget'!$C:$S,9,0)</f>
        <v>-500</v>
      </c>
      <c r="G13" s="12">
        <f>VLOOKUP($A13,'Operating Main Budget'!$C:$S,10,0)</f>
        <v>-500</v>
      </c>
      <c r="H13" s="12">
        <f>VLOOKUP($A13,'Operating Main Budget'!$C:$S,11,0)</f>
        <v>-500</v>
      </c>
      <c r="I13" s="12">
        <f>VLOOKUP($A13,'Operating Main Budget'!$C:$S,12,0)</f>
        <v>-500</v>
      </c>
      <c r="J13" s="12">
        <f>VLOOKUP($A13,'Operating Main Budget'!$C:$S,13,0)</f>
        <v>-500</v>
      </c>
      <c r="K13" s="12">
        <f>VLOOKUP($A13,'Operating Main Budget'!$C:$S,14,0)</f>
        <v>-500</v>
      </c>
      <c r="L13" s="12">
        <f>VLOOKUP($A13,'Operating Main Budget'!$C:$S,15,0)</f>
        <v>-500</v>
      </c>
      <c r="M13" s="12">
        <f>VLOOKUP($A13,'Operating Main Budget'!$C:$S,16,0)</f>
        <v>-500</v>
      </c>
      <c r="N13" s="12">
        <f>VLOOKUP($A13,'Operating Main Budget'!$C:$S,17,0)</f>
        <v>-500</v>
      </c>
    </row>
    <row r="14" spans="1:14" x14ac:dyDescent="0.25">
      <c r="A14" s="5" t="s">
        <v>36</v>
      </c>
      <c r="C14" s="12">
        <f>VLOOKUP($A14,'Operating Main Budget'!$C:$S,6,0)</f>
        <v>-833</v>
      </c>
      <c r="D14" s="12">
        <f>VLOOKUP($A14,'Operating Main Budget'!$C:$S,7,0)</f>
        <v>-833</v>
      </c>
      <c r="E14" s="12">
        <f>VLOOKUP($A14,'Operating Main Budget'!$C:$S,8,0)</f>
        <v>-833</v>
      </c>
      <c r="F14" s="12">
        <f>VLOOKUP($A14,'Operating Main Budget'!$C:$S,9,0)</f>
        <v>-833</v>
      </c>
      <c r="G14" s="12">
        <f>VLOOKUP($A14,'Operating Main Budget'!$C:$S,10,0)</f>
        <v>-833</v>
      </c>
      <c r="H14" s="12">
        <f>VLOOKUP($A14,'Operating Main Budget'!$C:$S,11,0)</f>
        <v>-833</v>
      </c>
      <c r="I14" s="12">
        <f>VLOOKUP($A14,'Operating Main Budget'!$C:$S,12,0)</f>
        <v>-833</v>
      </c>
      <c r="J14" s="12">
        <f>VLOOKUP($A14,'Operating Main Budget'!$C:$S,13,0)</f>
        <v>-833</v>
      </c>
      <c r="K14" s="12">
        <f>VLOOKUP($A14,'Operating Main Budget'!$C:$S,14,0)</f>
        <v>-833</v>
      </c>
      <c r="L14" s="12">
        <f>VLOOKUP($A14,'Operating Main Budget'!$C:$S,15,0)</f>
        <v>-833</v>
      </c>
      <c r="M14" s="12">
        <f>VLOOKUP($A14,'Operating Main Budget'!$C:$S,16,0)</f>
        <v>-833</v>
      </c>
      <c r="N14" s="12">
        <f>VLOOKUP($A14,'Operating Main Budget'!$C:$S,17,0)</f>
        <v>-837</v>
      </c>
    </row>
    <row r="15" spans="1:14" x14ac:dyDescent="0.25">
      <c r="A15" s="5" t="s">
        <v>56</v>
      </c>
      <c r="C15" s="12">
        <f>VLOOKUP($A15,'Operating Main Budget'!$C:$S,6,0)</f>
        <v>-1280</v>
      </c>
      <c r="D15" s="12">
        <f>VLOOKUP($A15,'Operating Main Budget'!$C:$S,7,0)</f>
        <v>-1280</v>
      </c>
      <c r="E15" s="12">
        <f>VLOOKUP($A15,'Operating Main Budget'!$C:$S,8,0)</f>
        <v>-1280</v>
      </c>
      <c r="F15" s="12">
        <f>VLOOKUP($A15,'Operating Main Budget'!$C:$S,9,0)</f>
        <v>-1280</v>
      </c>
      <c r="G15" s="12">
        <f>VLOOKUP($A15,'Operating Main Budget'!$C:$S,10,0)</f>
        <v>-1280</v>
      </c>
      <c r="H15" s="12">
        <f>VLOOKUP($A15,'Operating Main Budget'!$C:$S,11,0)</f>
        <v>-1280</v>
      </c>
      <c r="I15" s="12">
        <f>VLOOKUP($A15,'Operating Main Budget'!$C:$S,12,0)</f>
        <v>-1280</v>
      </c>
      <c r="J15" s="12">
        <f>VLOOKUP($A15,'Operating Main Budget'!$C:$S,13,0)</f>
        <v>-1280</v>
      </c>
      <c r="K15" s="12">
        <f>VLOOKUP($A15,'Operating Main Budget'!$C:$S,14,0)</f>
        <v>-1280</v>
      </c>
      <c r="L15" s="12">
        <f>VLOOKUP($A15,'Operating Main Budget'!$C:$S,15,0)</f>
        <v>-1280</v>
      </c>
      <c r="M15" s="12">
        <f>VLOOKUP($A15,'Operating Main Budget'!$C:$S,16,0)</f>
        <v>-1280</v>
      </c>
      <c r="N15" s="12">
        <f>VLOOKUP($A15,'Operating Main Budget'!$C:$S,17,0)</f>
        <v>-1280</v>
      </c>
    </row>
    <row r="16" spans="1:14" x14ac:dyDescent="0.25">
      <c r="A16" s="5" t="s">
        <v>828</v>
      </c>
      <c r="C16" s="12">
        <f>VLOOKUP($A16,'Operating Main Budget'!$C:$S,6,0)</f>
        <v>375</v>
      </c>
      <c r="D16" s="12">
        <f>VLOOKUP($A16,'Operating Main Budget'!$C:$S,7,0)</f>
        <v>375</v>
      </c>
      <c r="E16" s="12">
        <f>VLOOKUP($A16,'Operating Main Budget'!$C:$S,8,0)</f>
        <v>375</v>
      </c>
      <c r="F16" s="12">
        <f>VLOOKUP($A16,'Operating Main Budget'!$C:$S,9,0)</f>
        <v>375</v>
      </c>
      <c r="G16" s="12">
        <f>VLOOKUP($A16,'Operating Main Budget'!$C:$S,10,0)</f>
        <v>375</v>
      </c>
      <c r="H16" s="12">
        <f>VLOOKUP($A16,'Operating Main Budget'!$C:$S,11,0)</f>
        <v>375</v>
      </c>
      <c r="I16" s="12">
        <f>VLOOKUP($A16,'Operating Main Budget'!$C:$S,12,0)</f>
        <v>375</v>
      </c>
      <c r="J16" s="12">
        <f>VLOOKUP($A16,'Operating Main Budget'!$C:$S,13,0)</f>
        <v>375</v>
      </c>
      <c r="K16" s="12">
        <f>VLOOKUP($A16,'Operating Main Budget'!$C:$S,14,0)</f>
        <v>375</v>
      </c>
      <c r="L16" s="12">
        <f>VLOOKUP($A16,'Operating Main Budget'!$C:$S,15,0)</f>
        <v>375</v>
      </c>
      <c r="M16" s="12">
        <f>VLOOKUP($A16,'Operating Main Budget'!$C:$S,16,0)</f>
        <v>375</v>
      </c>
      <c r="N16" s="12">
        <f>VLOOKUP($A16,'Operating Main Budget'!$C:$S,17,0)</f>
        <v>375</v>
      </c>
    </row>
    <row r="17" spans="1:14" x14ac:dyDescent="0.25">
      <c r="A17" s="5" t="s">
        <v>848</v>
      </c>
      <c r="C17" s="12">
        <f>VLOOKUP($A17,'Operating Main Budget'!$C:$S,6,0)</f>
        <v>525</v>
      </c>
      <c r="D17" s="12">
        <f>VLOOKUP($A17,'Operating Main Budget'!$C:$S,7,0)</f>
        <v>525</v>
      </c>
      <c r="E17" s="12">
        <f>VLOOKUP($A17,'Operating Main Budget'!$C:$S,8,0)</f>
        <v>525</v>
      </c>
      <c r="F17" s="12">
        <f>VLOOKUP($A17,'Operating Main Budget'!$C:$S,9,0)</f>
        <v>525</v>
      </c>
      <c r="G17" s="12">
        <f>VLOOKUP($A17,'Operating Main Budget'!$C:$S,10,0)</f>
        <v>525</v>
      </c>
      <c r="H17" s="12">
        <f>VLOOKUP($A17,'Operating Main Budget'!$C:$S,11,0)</f>
        <v>525</v>
      </c>
      <c r="I17" s="12">
        <f>VLOOKUP($A17,'Operating Main Budget'!$C:$S,12,0)</f>
        <v>525</v>
      </c>
      <c r="J17" s="12">
        <f>VLOOKUP($A17,'Operating Main Budget'!$C:$S,13,0)</f>
        <v>525</v>
      </c>
      <c r="K17" s="12">
        <f>VLOOKUP($A17,'Operating Main Budget'!$C:$S,14,0)</f>
        <v>525</v>
      </c>
      <c r="L17" s="12">
        <f>VLOOKUP($A17,'Operating Main Budget'!$C:$S,15,0)</f>
        <v>525</v>
      </c>
      <c r="M17" s="12">
        <f>VLOOKUP($A17,'Operating Main Budget'!$C:$S,16,0)</f>
        <v>525</v>
      </c>
      <c r="N17" s="12">
        <f>VLOOKUP($A17,'Operating Main Budget'!$C:$S,17,0)</f>
        <v>525</v>
      </c>
    </row>
    <row r="18" spans="1:14" x14ac:dyDescent="0.25">
      <c r="A18" s="5" t="s">
        <v>832</v>
      </c>
      <c r="C18" s="12">
        <f>VLOOKUP($A18,'Operating Main Budget'!$C:$S,6,0)</f>
        <v>285</v>
      </c>
      <c r="D18" s="12">
        <f>VLOOKUP($A18,'Operating Main Budget'!$C:$S,7,0)</f>
        <v>285</v>
      </c>
      <c r="E18" s="12">
        <f>VLOOKUP($A18,'Operating Main Budget'!$C:$S,8,0)</f>
        <v>285</v>
      </c>
      <c r="F18" s="12">
        <f>VLOOKUP($A18,'Operating Main Budget'!$C:$S,9,0)</f>
        <v>285</v>
      </c>
      <c r="G18" s="12">
        <f>VLOOKUP($A18,'Operating Main Budget'!$C:$S,10,0)</f>
        <v>285</v>
      </c>
      <c r="H18" s="12">
        <f>VLOOKUP($A18,'Operating Main Budget'!$C:$S,11,0)</f>
        <v>285</v>
      </c>
      <c r="I18" s="12">
        <f>VLOOKUP($A18,'Operating Main Budget'!$C:$S,12,0)</f>
        <v>285</v>
      </c>
      <c r="J18" s="12">
        <f>VLOOKUP($A18,'Operating Main Budget'!$C:$S,13,0)</f>
        <v>285</v>
      </c>
      <c r="K18" s="12">
        <f>VLOOKUP($A18,'Operating Main Budget'!$C:$S,14,0)</f>
        <v>285</v>
      </c>
      <c r="L18" s="12">
        <f>VLOOKUP($A18,'Operating Main Budget'!$C:$S,15,0)</f>
        <v>285</v>
      </c>
      <c r="M18" s="12">
        <f>VLOOKUP($A18,'Operating Main Budget'!$C:$S,16,0)</f>
        <v>285</v>
      </c>
      <c r="N18" s="12">
        <f>VLOOKUP($A18,'Operating Main Budget'!$C:$S,17,0)</f>
        <v>285</v>
      </c>
    </row>
    <row r="19" spans="1:14" x14ac:dyDescent="0.25">
      <c r="A19" s="5" t="s">
        <v>835</v>
      </c>
      <c r="C19" s="12">
        <f>VLOOKUP($A19,'Operating Main Budget'!$C:$S,6,0)</f>
        <v>225</v>
      </c>
      <c r="D19" s="12">
        <f>VLOOKUP($A19,'Operating Main Budget'!$C:$S,7,0)</f>
        <v>225</v>
      </c>
      <c r="E19" s="12">
        <f>VLOOKUP($A19,'Operating Main Budget'!$C:$S,8,0)</f>
        <v>225</v>
      </c>
      <c r="F19" s="12">
        <f>VLOOKUP($A19,'Operating Main Budget'!$C:$S,9,0)</f>
        <v>225</v>
      </c>
      <c r="G19" s="12">
        <f>VLOOKUP($A19,'Operating Main Budget'!$C:$S,10,0)</f>
        <v>225</v>
      </c>
      <c r="H19" s="12">
        <f>VLOOKUP($A19,'Operating Main Budget'!$C:$S,11,0)</f>
        <v>225</v>
      </c>
      <c r="I19" s="12">
        <f>VLOOKUP($A19,'Operating Main Budget'!$C:$S,12,0)</f>
        <v>225</v>
      </c>
      <c r="J19" s="12">
        <f>VLOOKUP($A19,'Operating Main Budget'!$C:$S,13,0)</f>
        <v>225</v>
      </c>
      <c r="K19" s="12">
        <f>VLOOKUP($A19,'Operating Main Budget'!$C:$S,14,0)</f>
        <v>225</v>
      </c>
      <c r="L19" s="12">
        <f>VLOOKUP($A19,'Operating Main Budget'!$C:$S,15,0)</f>
        <v>225</v>
      </c>
      <c r="M19" s="12">
        <f>VLOOKUP($A19,'Operating Main Budget'!$C:$S,16,0)</f>
        <v>225</v>
      </c>
      <c r="N19" s="12">
        <f>VLOOKUP($A19,'Operating Main Budget'!$C:$S,17,0)</f>
        <v>225</v>
      </c>
    </row>
    <row r="20" spans="1:14" x14ac:dyDescent="0.25">
      <c r="A20" s="5" t="s">
        <v>797</v>
      </c>
      <c r="C20" s="12">
        <f>VLOOKUP($A20,'Operating Main Budget'!$C:$S,6,0)</f>
        <v>12833</v>
      </c>
      <c r="D20" s="12">
        <f>VLOOKUP($A20,'Operating Main Budget'!$C:$S,7,0)</f>
        <v>12833</v>
      </c>
      <c r="E20" s="12">
        <f>VLOOKUP($A20,'Operating Main Budget'!$C:$S,8,0)</f>
        <v>12833</v>
      </c>
      <c r="F20" s="12">
        <f>VLOOKUP($A20,'Operating Main Budget'!$C:$S,9,0)</f>
        <v>12833</v>
      </c>
      <c r="G20" s="12">
        <f>VLOOKUP($A20,'Operating Main Budget'!$C:$S,10,0)</f>
        <v>12833</v>
      </c>
      <c r="H20" s="12">
        <f>VLOOKUP($A20,'Operating Main Budget'!$C:$S,11,0)</f>
        <v>12833</v>
      </c>
      <c r="I20" s="12">
        <f>VLOOKUP($A20,'Operating Main Budget'!$C:$S,12,0)</f>
        <v>12833</v>
      </c>
      <c r="J20" s="12">
        <f>VLOOKUP($A20,'Operating Main Budget'!$C:$S,13,0)</f>
        <v>12833</v>
      </c>
      <c r="K20" s="12">
        <f>VLOOKUP($A20,'Operating Main Budget'!$C:$S,14,0)</f>
        <v>12833</v>
      </c>
      <c r="L20" s="12">
        <f>VLOOKUP($A20,'Operating Main Budget'!$C:$S,15,0)</f>
        <v>12833</v>
      </c>
      <c r="M20" s="12">
        <f>VLOOKUP($A20,'Operating Main Budget'!$C:$S,16,0)</f>
        <v>12833</v>
      </c>
      <c r="N20" s="12">
        <f>VLOOKUP($A20,'Operating Main Budget'!$C:$S,17,0)</f>
        <v>12837</v>
      </c>
    </row>
    <row r="21" spans="1:14" x14ac:dyDescent="0.25">
      <c r="A21" s="5" t="s">
        <v>868</v>
      </c>
      <c r="C21" s="12">
        <f>VLOOKUP($A21,'Operating Main Budget'!$C:$S,6,0)</f>
        <v>100</v>
      </c>
      <c r="D21" s="12">
        <f>VLOOKUP($A21,'Operating Main Budget'!$C:$S,7,0)</f>
        <v>100</v>
      </c>
      <c r="E21" s="12">
        <f>VLOOKUP($A21,'Operating Main Budget'!$C:$S,8,0)</f>
        <v>100</v>
      </c>
      <c r="F21" s="12">
        <f>VLOOKUP($A21,'Operating Main Budget'!$C:$S,9,0)</f>
        <v>100</v>
      </c>
      <c r="G21" s="12">
        <f>VLOOKUP($A21,'Operating Main Budget'!$C:$S,10,0)</f>
        <v>100</v>
      </c>
      <c r="H21" s="12">
        <f>VLOOKUP($A21,'Operating Main Budget'!$C:$S,11,0)</f>
        <v>100</v>
      </c>
      <c r="I21" s="12">
        <f>VLOOKUP($A21,'Operating Main Budget'!$C:$S,12,0)</f>
        <v>100</v>
      </c>
      <c r="J21" s="12">
        <f>VLOOKUP($A21,'Operating Main Budget'!$C:$S,13,0)</f>
        <v>100</v>
      </c>
      <c r="K21" s="12">
        <f>VLOOKUP($A21,'Operating Main Budget'!$C:$S,14,0)</f>
        <v>100</v>
      </c>
      <c r="L21" s="12">
        <f>VLOOKUP($A21,'Operating Main Budget'!$C:$S,15,0)</f>
        <v>100</v>
      </c>
      <c r="M21" s="12">
        <f>VLOOKUP($A21,'Operating Main Budget'!$C:$S,16,0)</f>
        <v>100</v>
      </c>
      <c r="N21" s="12">
        <f>VLOOKUP($A21,'Operating Main Budget'!$C:$S,17,0)</f>
        <v>100</v>
      </c>
    </row>
    <row r="22" spans="1:14" x14ac:dyDescent="0.25">
      <c r="A22" s="5" t="s">
        <v>809</v>
      </c>
      <c r="C22" s="12">
        <f>VLOOKUP($A22,'Operating Main Budget'!$C:$S,6,0)</f>
        <v>750</v>
      </c>
      <c r="D22" s="12">
        <f>VLOOKUP($A22,'Operating Main Budget'!$C:$S,7,0)</f>
        <v>750</v>
      </c>
      <c r="E22" s="12">
        <f>VLOOKUP($A22,'Operating Main Budget'!$C:$S,8,0)</f>
        <v>750</v>
      </c>
      <c r="F22" s="12">
        <f>VLOOKUP($A22,'Operating Main Budget'!$C:$S,9,0)</f>
        <v>750</v>
      </c>
      <c r="G22" s="12">
        <f>VLOOKUP($A22,'Operating Main Budget'!$C:$S,10,0)</f>
        <v>750</v>
      </c>
      <c r="H22" s="12">
        <f>VLOOKUP($A22,'Operating Main Budget'!$C:$S,11,0)</f>
        <v>750</v>
      </c>
      <c r="I22" s="12">
        <f>VLOOKUP($A22,'Operating Main Budget'!$C:$S,12,0)</f>
        <v>750</v>
      </c>
      <c r="J22" s="12">
        <f>VLOOKUP($A22,'Operating Main Budget'!$C:$S,13,0)</f>
        <v>750</v>
      </c>
      <c r="K22" s="12">
        <f>VLOOKUP($A22,'Operating Main Budget'!$C:$S,14,0)</f>
        <v>750</v>
      </c>
      <c r="L22" s="12">
        <f>VLOOKUP($A22,'Operating Main Budget'!$C:$S,15,0)</f>
        <v>750</v>
      </c>
      <c r="M22" s="12">
        <f>VLOOKUP($A22,'Operating Main Budget'!$C:$S,16,0)</f>
        <v>750</v>
      </c>
      <c r="N22" s="12">
        <f>VLOOKUP($A22,'Operating Main Budget'!$C:$S,17,0)</f>
        <v>750</v>
      </c>
    </row>
    <row r="23" spans="1:14" x14ac:dyDescent="0.25">
      <c r="A23" s="5" t="s">
        <v>814</v>
      </c>
      <c r="C23" s="12">
        <f>VLOOKUP($A23,'Operating Main Budget'!$C:$S,6,0)</f>
        <v>750</v>
      </c>
      <c r="D23" s="12">
        <f>VLOOKUP($A23,'Operating Main Budget'!$C:$S,7,0)</f>
        <v>750</v>
      </c>
      <c r="E23" s="12">
        <f>VLOOKUP($A23,'Operating Main Budget'!$C:$S,8,0)</f>
        <v>750</v>
      </c>
      <c r="F23" s="12">
        <f>VLOOKUP($A23,'Operating Main Budget'!$C:$S,9,0)</f>
        <v>750</v>
      </c>
      <c r="G23" s="12">
        <f>VLOOKUP($A23,'Operating Main Budget'!$C:$S,10,0)</f>
        <v>750</v>
      </c>
      <c r="H23" s="12">
        <f>VLOOKUP($A23,'Operating Main Budget'!$C:$S,11,0)</f>
        <v>750</v>
      </c>
      <c r="I23" s="12">
        <f>VLOOKUP($A23,'Operating Main Budget'!$C:$S,12,0)</f>
        <v>750</v>
      </c>
      <c r="J23" s="12">
        <f>VLOOKUP($A23,'Operating Main Budget'!$C:$S,13,0)</f>
        <v>750</v>
      </c>
      <c r="K23" s="12">
        <f>VLOOKUP($A23,'Operating Main Budget'!$C:$S,14,0)</f>
        <v>750</v>
      </c>
      <c r="L23" s="12">
        <f>VLOOKUP($A23,'Operating Main Budget'!$C:$S,15,0)</f>
        <v>750</v>
      </c>
      <c r="M23" s="12">
        <f>VLOOKUP($A23,'Operating Main Budget'!$C:$S,16,0)</f>
        <v>750</v>
      </c>
      <c r="N23" s="12">
        <f>VLOOKUP($A23,'Operating Main Budget'!$C:$S,17,0)</f>
        <v>750</v>
      </c>
    </row>
    <row r="24" spans="1:14" x14ac:dyDescent="0.25">
      <c r="A24" s="5" t="s">
        <v>215</v>
      </c>
      <c r="C24" s="12">
        <f>VLOOKUP($A24,'Operating Main Budget'!$C:$S,6,0)</f>
        <v>72</v>
      </c>
      <c r="D24" s="12">
        <f>VLOOKUP($A24,'Operating Main Budget'!$C:$S,7,0)</f>
        <v>72</v>
      </c>
      <c r="E24" s="12">
        <f>VLOOKUP($A24,'Operating Main Budget'!$C:$S,8,0)</f>
        <v>72</v>
      </c>
      <c r="F24" s="12">
        <f>VLOOKUP($A24,'Operating Main Budget'!$C:$S,9,0)</f>
        <v>72</v>
      </c>
      <c r="G24" s="12">
        <f>VLOOKUP($A24,'Operating Main Budget'!$C:$S,10,0)</f>
        <v>72</v>
      </c>
      <c r="H24" s="12">
        <f>VLOOKUP($A24,'Operating Main Budget'!$C:$S,11,0)</f>
        <v>72</v>
      </c>
      <c r="I24" s="12">
        <f>VLOOKUP($A24,'Operating Main Budget'!$C:$S,12,0)</f>
        <v>72</v>
      </c>
      <c r="J24" s="12">
        <f>VLOOKUP($A24,'Operating Main Budget'!$C:$S,13,0)</f>
        <v>72</v>
      </c>
      <c r="K24" s="12">
        <f>VLOOKUP($A24,'Operating Main Budget'!$C:$S,14,0)</f>
        <v>72</v>
      </c>
      <c r="L24" s="12">
        <f>VLOOKUP($A24,'Operating Main Budget'!$C:$S,15,0)</f>
        <v>72</v>
      </c>
      <c r="M24" s="12">
        <f>VLOOKUP($A24,'Operating Main Budget'!$C:$S,16,0)</f>
        <v>72</v>
      </c>
      <c r="N24" s="12">
        <f>VLOOKUP($A24,'Operating Main Budget'!$C:$S,17,0)</f>
        <v>72</v>
      </c>
    </row>
    <row r="25" spans="1:14" x14ac:dyDescent="0.25">
      <c r="A25" s="5" t="s">
        <v>853</v>
      </c>
      <c r="C25" s="12">
        <f>VLOOKUP($A25,'Operating Main Budget'!$C:$S,6,0)</f>
        <v>1337</v>
      </c>
      <c r="D25" s="12">
        <f>VLOOKUP($A25,'Operating Main Budget'!$C:$S,7,0)</f>
        <v>1337</v>
      </c>
      <c r="E25" s="12">
        <f>VLOOKUP($A25,'Operating Main Budget'!$C:$S,8,0)</f>
        <v>1337</v>
      </c>
      <c r="F25" s="12">
        <f>VLOOKUP($A25,'Operating Main Budget'!$C:$S,9,0)</f>
        <v>1337</v>
      </c>
      <c r="G25" s="12">
        <f>VLOOKUP($A25,'Operating Main Budget'!$C:$S,10,0)</f>
        <v>1337</v>
      </c>
      <c r="H25" s="12">
        <f>VLOOKUP($A25,'Operating Main Budget'!$C:$S,11,0)</f>
        <v>1337</v>
      </c>
      <c r="I25" s="12">
        <f>VLOOKUP($A25,'Operating Main Budget'!$C:$S,12,0)</f>
        <v>1337</v>
      </c>
      <c r="J25" s="12">
        <f>VLOOKUP($A25,'Operating Main Budget'!$C:$S,13,0)</f>
        <v>1337</v>
      </c>
      <c r="K25" s="12">
        <f>VLOOKUP($A25,'Operating Main Budget'!$C:$S,14,0)</f>
        <v>1337</v>
      </c>
      <c r="L25" s="12">
        <f>VLOOKUP($A25,'Operating Main Budget'!$C:$S,15,0)</f>
        <v>1337</v>
      </c>
      <c r="M25" s="12">
        <f>VLOOKUP($A25,'Operating Main Budget'!$C:$S,16,0)</f>
        <v>1337</v>
      </c>
      <c r="N25" s="12">
        <f>VLOOKUP($A25,'Operating Main Budget'!$C:$S,17,0)</f>
        <v>1333</v>
      </c>
    </row>
    <row r="26" spans="1:14" x14ac:dyDescent="0.25">
      <c r="A26" s="5" t="s">
        <v>333</v>
      </c>
      <c r="C26" s="12">
        <f>VLOOKUP($A26,'Operating Main Budget'!$C:$S,6,0)</f>
        <v>1893</v>
      </c>
      <c r="D26" s="12">
        <f>VLOOKUP($A26,'Operating Main Budget'!$C:$S,7,0)</f>
        <v>1893</v>
      </c>
      <c r="E26" s="12">
        <f>VLOOKUP($A26,'Operating Main Budget'!$C:$S,8,0)</f>
        <v>1893</v>
      </c>
      <c r="F26" s="12">
        <f>VLOOKUP($A26,'Operating Main Budget'!$C:$S,9,0)</f>
        <v>1893</v>
      </c>
      <c r="G26" s="12">
        <f>VLOOKUP($A26,'Operating Main Budget'!$C:$S,10,0)</f>
        <v>1893</v>
      </c>
      <c r="H26" s="12">
        <f>VLOOKUP($A26,'Operating Main Budget'!$C:$S,11,0)</f>
        <v>1893</v>
      </c>
      <c r="I26" s="12">
        <f>VLOOKUP($A26,'Operating Main Budget'!$C:$S,12,0)</f>
        <v>1893</v>
      </c>
      <c r="J26" s="12">
        <f>VLOOKUP($A26,'Operating Main Budget'!$C:$S,13,0)</f>
        <v>1893</v>
      </c>
      <c r="K26" s="12">
        <f>VLOOKUP($A26,'Operating Main Budget'!$C:$S,14,0)</f>
        <v>1893</v>
      </c>
      <c r="L26" s="12">
        <f>VLOOKUP($A26,'Operating Main Budget'!$C:$S,15,0)</f>
        <v>1893</v>
      </c>
      <c r="M26" s="12">
        <f>VLOOKUP($A26,'Operating Main Budget'!$C:$S,16,0)</f>
        <v>1893</v>
      </c>
      <c r="N26" s="12">
        <f>VLOOKUP($A26,'Operating Main Budget'!$C:$S,17,0)</f>
        <v>1887</v>
      </c>
    </row>
    <row r="27" spans="1:14" x14ac:dyDescent="0.25">
      <c r="A27" s="5" t="s">
        <v>904</v>
      </c>
      <c r="C27" s="12">
        <f>VLOOKUP($A27,'Operating Main Budget'!$C:$S,6,0)</f>
        <v>1000</v>
      </c>
      <c r="D27" s="12">
        <f>VLOOKUP($A27,'Operating Main Budget'!$C:$S,7,0)</f>
        <v>1000</v>
      </c>
      <c r="E27" s="12">
        <f>VLOOKUP($A27,'Operating Main Budget'!$C:$S,8,0)</f>
        <v>1000</v>
      </c>
      <c r="F27" s="12">
        <f>VLOOKUP($A27,'Operating Main Budget'!$C:$S,9,0)</f>
        <v>1000</v>
      </c>
      <c r="G27" s="12">
        <f>VLOOKUP($A27,'Operating Main Budget'!$C:$S,10,0)</f>
        <v>1000</v>
      </c>
      <c r="H27" s="12">
        <f>VLOOKUP($A27,'Operating Main Budget'!$C:$S,11,0)</f>
        <v>1000</v>
      </c>
      <c r="I27" s="12">
        <f>VLOOKUP($A27,'Operating Main Budget'!$C:$S,12,0)</f>
        <v>1000</v>
      </c>
      <c r="J27" s="12">
        <f>VLOOKUP($A27,'Operating Main Budget'!$C:$S,13,0)</f>
        <v>1000</v>
      </c>
      <c r="K27" s="12">
        <f>VLOOKUP($A27,'Operating Main Budget'!$C:$S,14,0)</f>
        <v>1000</v>
      </c>
      <c r="L27" s="12">
        <f>VLOOKUP($A27,'Operating Main Budget'!$C:$S,15,0)</f>
        <v>1000</v>
      </c>
      <c r="M27" s="12">
        <f>VLOOKUP($A27,'Operating Main Budget'!$C:$S,16,0)</f>
        <v>1000</v>
      </c>
      <c r="N27" s="12">
        <f>VLOOKUP($A27,'Operating Main Budget'!$C:$S,17,0)</f>
        <v>1000</v>
      </c>
    </row>
    <row r="28" spans="1:14" x14ac:dyDescent="0.25">
      <c r="A28" s="5" t="s">
        <v>864</v>
      </c>
      <c r="C28" s="12">
        <f>VLOOKUP($A28,'Operating Main Budget'!$C:$S,6,0)</f>
        <v>150</v>
      </c>
      <c r="D28" s="12">
        <f>VLOOKUP($A28,'Operating Main Budget'!$C:$S,7,0)</f>
        <v>150</v>
      </c>
      <c r="E28" s="12">
        <f>VLOOKUP($A28,'Operating Main Budget'!$C:$S,8,0)</f>
        <v>150</v>
      </c>
      <c r="F28" s="12">
        <f>VLOOKUP($A28,'Operating Main Budget'!$C:$S,9,0)</f>
        <v>150</v>
      </c>
      <c r="G28" s="12">
        <f>VLOOKUP($A28,'Operating Main Budget'!$C:$S,10,0)</f>
        <v>150</v>
      </c>
      <c r="H28" s="12">
        <f>VLOOKUP($A28,'Operating Main Budget'!$C:$S,11,0)</f>
        <v>150</v>
      </c>
      <c r="I28" s="12">
        <f>VLOOKUP($A28,'Operating Main Budget'!$C:$S,12,0)</f>
        <v>150</v>
      </c>
      <c r="J28" s="12">
        <f>VLOOKUP($A28,'Operating Main Budget'!$C:$S,13,0)</f>
        <v>150</v>
      </c>
      <c r="K28" s="12">
        <f>VLOOKUP($A28,'Operating Main Budget'!$C:$S,14,0)</f>
        <v>150</v>
      </c>
      <c r="L28" s="12">
        <f>VLOOKUP($A28,'Operating Main Budget'!$C:$S,15,0)</f>
        <v>150</v>
      </c>
      <c r="M28" s="12">
        <f>VLOOKUP($A28,'Operating Main Budget'!$C:$S,16,0)</f>
        <v>150</v>
      </c>
      <c r="N28" s="12">
        <f>VLOOKUP($A28,'Operating Main Budget'!$C:$S,17,0)</f>
        <v>150</v>
      </c>
    </row>
    <row r="29" spans="1:14" x14ac:dyDescent="0.25">
      <c r="A29" s="5" t="s">
        <v>859</v>
      </c>
      <c r="C29" s="12">
        <f>VLOOKUP($A29,'Operating Main Budget'!$C:$S,6,0)</f>
        <v>208</v>
      </c>
      <c r="D29" s="12">
        <f>VLOOKUP($A29,'Operating Main Budget'!$C:$S,7,0)</f>
        <v>208</v>
      </c>
      <c r="E29" s="12">
        <f>VLOOKUP($A29,'Operating Main Budget'!$C:$S,8,0)</f>
        <v>208</v>
      </c>
      <c r="F29" s="12">
        <f>VLOOKUP($A29,'Operating Main Budget'!$C:$S,9,0)</f>
        <v>208</v>
      </c>
      <c r="G29" s="12">
        <f>VLOOKUP($A29,'Operating Main Budget'!$C:$S,10,0)</f>
        <v>208</v>
      </c>
      <c r="H29" s="12">
        <f>VLOOKUP($A29,'Operating Main Budget'!$C:$S,11,0)</f>
        <v>208</v>
      </c>
      <c r="I29" s="12">
        <f>VLOOKUP($A29,'Operating Main Budget'!$C:$S,12,0)</f>
        <v>208</v>
      </c>
      <c r="J29" s="12">
        <f>VLOOKUP($A29,'Operating Main Budget'!$C:$S,13,0)</f>
        <v>208</v>
      </c>
      <c r="K29" s="12">
        <f>VLOOKUP($A29,'Operating Main Budget'!$C:$S,14,0)</f>
        <v>208</v>
      </c>
      <c r="L29" s="12">
        <f>VLOOKUP($A29,'Operating Main Budget'!$C:$S,15,0)</f>
        <v>208</v>
      </c>
      <c r="M29" s="12">
        <f>VLOOKUP($A29,'Operating Main Budget'!$C:$S,16,0)</f>
        <v>208</v>
      </c>
      <c r="N29" s="12">
        <f>VLOOKUP($A29,'Operating Main Budget'!$C:$S,17,0)</f>
        <v>212</v>
      </c>
    </row>
    <row r="30" spans="1:14" x14ac:dyDescent="0.25">
      <c r="A30" s="5" t="s">
        <v>842</v>
      </c>
      <c r="C30" s="12">
        <f>VLOOKUP($A30,'Operating Main Budget'!$C:$S,6,0)</f>
        <v>334</v>
      </c>
      <c r="D30" s="12">
        <f>VLOOKUP($A30,'Operating Main Budget'!$C:$S,7,0)</f>
        <v>334</v>
      </c>
      <c r="E30" s="12">
        <f>VLOOKUP($A30,'Operating Main Budget'!$C:$S,8,0)</f>
        <v>334</v>
      </c>
      <c r="F30" s="12">
        <f>VLOOKUP($A30,'Operating Main Budget'!$C:$S,9,0)</f>
        <v>334</v>
      </c>
      <c r="G30" s="12">
        <f>VLOOKUP($A30,'Operating Main Budget'!$C:$S,10,0)</f>
        <v>334</v>
      </c>
      <c r="H30" s="12">
        <f>VLOOKUP($A30,'Operating Main Budget'!$C:$S,11,0)</f>
        <v>334</v>
      </c>
      <c r="I30" s="12">
        <f>VLOOKUP($A30,'Operating Main Budget'!$C:$S,12,0)</f>
        <v>334</v>
      </c>
      <c r="J30" s="12">
        <f>VLOOKUP($A30,'Operating Main Budget'!$C:$S,13,0)</f>
        <v>334</v>
      </c>
      <c r="K30" s="12">
        <f>VLOOKUP($A30,'Operating Main Budget'!$C:$S,14,0)</f>
        <v>334</v>
      </c>
      <c r="L30" s="12">
        <f>VLOOKUP($A30,'Operating Main Budget'!$C:$S,15,0)</f>
        <v>334</v>
      </c>
      <c r="M30" s="12">
        <f>VLOOKUP($A30,'Operating Main Budget'!$C:$S,16,0)</f>
        <v>334</v>
      </c>
      <c r="N30" s="12">
        <f>VLOOKUP($A30,'Operating Main Budget'!$C:$S,17,0)</f>
        <v>334</v>
      </c>
    </row>
    <row r="31" spans="1:14" x14ac:dyDescent="0.25">
      <c r="A31" s="5" t="s">
        <v>909</v>
      </c>
      <c r="C31" s="12">
        <f>VLOOKUP($A31,'Operating Main Budget'!$C:$S,6,0)</f>
        <v>42</v>
      </c>
      <c r="D31" s="12">
        <f>VLOOKUP($A31,'Operating Main Budget'!$C:$S,7,0)</f>
        <v>42</v>
      </c>
      <c r="E31" s="12">
        <f>VLOOKUP($A31,'Operating Main Budget'!$C:$S,8,0)</f>
        <v>42</v>
      </c>
      <c r="F31" s="12">
        <f>VLOOKUP($A31,'Operating Main Budget'!$C:$S,9,0)</f>
        <v>42</v>
      </c>
      <c r="G31" s="12">
        <f>VLOOKUP($A31,'Operating Main Budget'!$C:$S,10,0)</f>
        <v>42</v>
      </c>
      <c r="H31" s="12">
        <f>VLOOKUP($A31,'Operating Main Budget'!$C:$S,11,0)</f>
        <v>42</v>
      </c>
      <c r="I31" s="12">
        <f>VLOOKUP($A31,'Operating Main Budget'!$C:$S,12,0)</f>
        <v>42</v>
      </c>
      <c r="J31" s="12">
        <f>VLOOKUP($A31,'Operating Main Budget'!$C:$S,13,0)</f>
        <v>42</v>
      </c>
      <c r="K31" s="12">
        <f>VLOOKUP($A31,'Operating Main Budget'!$C:$S,14,0)</f>
        <v>42</v>
      </c>
      <c r="L31" s="12">
        <f>VLOOKUP($A31,'Operating Main Budget'!$C:$S,15,0)</f>
        <v>42</v>
      </c>
      <c r="M31" s="12">
        <f>VLOOKUP($A31,'Operating Main Budget'!$C:$S,16,0)</f>
        <v>42</v>
      </c>
      <c r="N31" s="12">
        <f>VLOOKUP($A31,'Operating Main Budget'!$C:$S,17,0)</f>
        <v>38</v>
      </c>
    </row>
    <row r="32" spans="1:14" x14ac:dyDescent="0.25">
      <c r="A32" s="7" t="s">
        <v>496</v>
      </c>
      <c r="C32" s="12">
        <f>VLOOKUP($A32,'Operating Main Budget'!$C:$S,6,0)</f>
        <v>167</v>
      </c>
      <c r="D32" s="12">
        <f>VLOOKUP($A32,'Operating Main Budget'!$C:$S,7,0)</f>
        <v>167</v>
      </c>
      <c r="E32" s="12">
        <f>VLOOKUP($A32,'Operating Main Budget'!$C:$S,8,0)</f>
        <v>167</v>
      </c>
      <c r="F32" s="12">
        <f>VLOOKUP($A32,'Operating Main Budget'!$C:$S,9,0)</f>
        <v>167</v>
      </c>
      <c r="G32" s="12">
        <f>VLOOKUP($A32,'Operating Main Budget'!$C:$S,10,0)</f>
        <v>167</v>
      </c>
      <c r="H32" s="12">
        <f>VLOOKUP($A32,'Operating Main Budget'!$C:$S,11,0)</f>
        <v>167</v>
      </c>
      <c r="I32" s="12">
        <f>VLOOKUP($A32,'Operating Main Budget'!$C:$S,12,0)</f>
        <v>167</v>
      </c>
      <c r="J32" s="12">
        <f>VLOOKUP($A32,'Operating Main Budget'!$C:$S,13,0)</f>
        <v>167</v>
      </c>
      <c r="K32" s="12">
        <f>VLOOKUP($A32,'Operating Main Budget'!$C:$S,14,0)</f>
        <v>167</v>
      </c>
      <c r="L32" s="12">
        <f>VLOOKUP($A32,'Operating Main Budget'!$C:$S,15,0)</f>
        <v>167</v>
      </c>
      <c r="M32" s="12">
        <f>VLOOKUP($A32,'Operating Main Budget'!$C:$S,16,0)</f>
        <v>167</v>
      </c>
      <c r="N32" s="12">
        <f>VLOOKUP($A32,'Operating Main Budget'!$C:$S,17,0)</f>
        <v>163</v>
      </c>
    </row>
    <row r="33" spans="1:14" x14ac:dyDescent="0.25">
      <c r="A33" s="16" t="s">
        <v>310</v>
      </c>
      <c r="C33" s="12">
        <f>VLOOKUP($A33,'Operating Main Budget'!$C:$S,6,0)</f>
        <v>6090</v>
      </c>
      <c r="D33" s="12">
        <f>VLOOKUP($A33,'Operating Main Budget'!$C:$S,7,0)</f>
        <v>6090</v>
      </c>
      <c r="E33" s="12">
        <f>VLOOKUP($A33,'Operating Main Budget'!$C:$S,8,0)</f>
        <v>6090</v>
      </c>
      <c r="F33" s="12">
        <f>VLOOKUP($A33,'Operating Main Budget'!$C:$S,9,0)</f>
        <v>6090</v>
      </c>
      <c r="G33" s="12">
        <f>VLOOKUP($A33,'Operating Main Budget'!$C:$S,10,0)</f>
        <v>6090</v>
      </c>
      <c r="H33" s="12">
        <f>VLOOKUP($A33,'Operating Main Budget'!$C:$S,11,0)</f>
        <v>6090</v>
      </c>
      <c r="I33" s="12">
        <f>VLOOKUP($A33,'Operating Main Budget'!$C:$S,12,0)</f>
        <v>6090</v>
      </c>
      <c r="J33" s="12">
        <f>VLOOKUP($A33,'Operating Main Budget'!$C:$S,13,0)</f>
        <v>6090</v>
      </c>
      <c r="K33" s="12">
        <f>VLOOKUP($A33,'Operating Main Budget'!$C:$S,14,0)</f>
        <v>6090</v>
      </c>
      <c r="L33" s="12">
        <f>VLOOKUP($A33,'Operating Main Budget'!$C:$S,15,0)</f>
        <v>6090</v>
      </c>
      <c r="M33" s="12">
        <f>VLOOKUP($A33,'Operating Main Budget'!$C:$S,16,0)</f>
        <v>6090</v>
      </c>
      <c r="N33" s="12">
        <f>VLOOKUP($A33,'Operating Main Budget'!$C:$S,17,0)</f>
        <v>6090</v>
      </c>
    </row>
    <row r="34" spans="1:14" x14ac:dyDescent="0.25">
      <c r="A34" s="7" t="s">
        <v>402</v>
      </c>
      <c r="C34" s="12">
        <f>VLOOKUP($A34,'Operating Main Budget'!$C:$S,6,0)</f>
        <v>417</v>
      </c>
      <c r="D34" s="12">
        <f>VLOOKUP($A34,'Operating Main Budget'!$C:$S,7,0)</f>
        <v>417</v>
      </c>
      <c r="E34" s="12">
        <f>VLOOKUP($A34,'Operating Main Budget'!$C:$S,8,0)</f>
        <v>417</v>
      </c>
      <c r="F34" s="12">
        <f>VLOOKUP($A34,'Operating Main Budget'!$C:$S,9,0)</f>
        <v>417</v>
      </c>
      <c r="G34" s="12">
        <f>VLOOKUP($A34,'Operating Main Budget'!$C:$S,10,0)</f>
        <v>417</v>
      </c>
      <c r="H34" s="12">
        <f>VLOOKUP($A34,'Operating Main Budget'!$C:$S,11,0)</f>
        <v>417</v>
      </c>
      <c r="I34" s="12">
        <f>VLOOKUP($A34,'Operating Main Budget'!$C:$S,12,0)</f>
        <v>417</v>
      </c>
      <c r="J34" s="12">
        <f>VLOOKUP($A34,'Operating Main Budget'!$C:$S,13,0)</f>
        <v>417</v>
      </c>
      <c r="K34" s="12">
        <f>VLOOKUP($A34,'Operating Main Budget'!$C:$S,14,0)</f>
        <v>417</v>
      </c>
      <c r="L34" s="12">
        <f>VLOOKUP($A34,'Operating Main Budget'!$C:$S,15,0)</f>
        <v>417</v>
      </c>
      <c r="M34" s="12">
        <f>VLOOKUP($A34,'Operating Main Budget'!$C:$S,16,0)</f>
        <v>417</v>
      </c>
      <c r="N34" s="12">
        <f>VLOOKUP($A34,'Operating Main Budget'!$C:$S,17,0)</f>
        <v>417</v>
      </c>
    </row>
    <row r="35" spans="1:14" x14ac:dyDescent="0.25">
      <c r="A35" s="7" t="s">
        <v>352</v>
      </c>
      <c r="C35" s="12">
        <f>VLOOKUP($A35,'Operating Main Budget'!$C:$S,6,0)</f>
        <v>100</v>
      </c>
      <c r="D35" s="12">
        <f>VLOOKUP($A35,'Operating Main Budget'!$C:$S,7,0)</f>
        <v>100</v>
      </c>
      <c r="E35" s="12">
        <f>VLOOKUP($A35,'Operating Main Budget'!$C:$S,8,0)</f>
        <v>100</v>
      </c>
      <c r="F35" s="12">
        <f>VLOOKUP($A35,'Operating Main Budget'!$C:$S,9,0)</f>
        <v>100</v>
      </c>
      <c r="G35" s="12">
        <f>VLOOKUP($A35,'Operating Main Budget'!$C:$S,10,0)</f>
        <v>100</v>
      </c>
      <c r="H35" s="12">
        <f>VLOOKUP($A35,'Operating Main Budget'!$C:$S,11,0)</f>
        <v>100</v>
      </c>
      <c r="I35" s="12">
        <f>VLOOKUP($A35,'Operating Main Budget'!$C:$S,12,0)</f>
        <v>100</v>
      </c>
      <c r="J35" s="12">
        <f>VLOOKUP($A35,'Operating Main Budget'!$C:$S,13,0)</f>
        <v>100</v>
      </c>
      <c r="K35" s="12">
        <f>VLOOKUP($A35,'Operating Main Budget'!$C:$S,14,0)</f>
        <v>100</v>
      </c>
      <c r="L35" s="12">
        <f>VLOOKUP($A35,'Operating Main Budget'!$C:$S,15,0)</f>
        <v>100</v>
      </c>
      <c r="M35" s="12">
        <f>VLOOKUP($A35,'Operating Main Budget'!$C:$S,16,0)</f>
        <v>100</v>
      </c>
      <c r="N35" s="12">
        <f>VLOOKUP($A35,'Operating Main Budget'!$C:$S,17,0)</f>
        <v>100</v>
      </c>
    </row>
    <row r="36" spans="1:14" x14ac:dyDescent="0.25">
      <c r="A36" s="7" t="s">
        <v>435</v>
      </c>
      <c r="C36" s="12">
        <f>VLOOKUP($A36,'Operating Main Budget'!$C:$S,6,0)</f>
        <v>417</v>
      </c>
      <c r="D36" s="12">
        <f>VLOOKUP($A36,'Operating Main Budget'!$C:$S,7,0)</f>
        <v>417</v>
      </c>
      <c r="E36" s="12">
        <f>VLOOKUP($A36,'Operating Main Budget'!$C:$S,8,0)</f>
        <v>417</v>
      </c>
      <c r="F36" s="12">
        <f>VLOOKUP($A36,'Operating Main Budget'!$C:$S,9,0)</f>
        <v>417</v>
      </c>
      <c r="G36" s="12">
        <f>VLOOKUP($A36,'Operating Main Budget'!$C:$S,10,0)</f>
        <v>417</v>
      </c>
      <c r="H36" s="12">
        <f>VLOOKUP($A36,'Operating Main Budget'!$C:$S,11,0)</f>
        <v>417</v>
      </c>
      <c r="I36" s="12">
        <f>VLOOKUP($A36,'Operating Main Budget'!$C:$S,12,0)</f>
        <v>417</v>
      </c>
      <c r="J36" s="12">
        <f>VLOOKUP($A36,'Operating Main Budget'!$C:$S,13,0)</f>
        <v>417</v>
      </c>
      <c r="K36" s="12">
        <f>VLOOKUP($A36,'Operating Main Budget'!$C:$S,14,0)</f>
        <v>417</v>
      </c>
      <c r="L36" s="12">
        <f>VLOOKUP($A36,'Operating Main Budget'!$C:$S,15,0)</f>
        <v>417</v>
      </c>
      <c r="M36" s="12">
        <f>VLOOKUP($A36,'Operating Main Budget'!$C:$S,16,0)</f>
        <v>417</v>
      </c>
      <c r="N36" s="12">
        <f>VLOOKUP($A36,'Operating Main Budget'!$C:$S,17,0)</f>
        <v>413</v>
      </c>
    </row>
    <row r="37" spans="1:14" x14ac:dyDescent="0.25">
      <c r="A37" s="7" t="s">
        <v>616</v>
      </c>
      <c r="C37" s="12">
        <f>VLOOKUP($A37,'Operating Main Budget'!$C:$S,6,0)</f>
        <v>75</v>
      </c>
      <c r="D37" s="12">
        <f>VLOOKUP($A37,'Operating Main Budget'!$C:$S,7,0)</f>
        <v>75</v>
      </c>
      <c r="E37" s="12">
        <f>VLOOKUP($A37,'Operating Main Budget'!$C:$S,8,0)</f>
        <v>75</v>
      </c>
      <c r="F37" s="12">
        <f>VLOOKUP($A37,'Operating Main Budget'!$C:$S,9,0)</f>
        <v>75</v>
      </c>
      <c r="G37" s="12">
        <f>VLOOKUP($A37,'Operating Main Budget'!$C:$S,10,0)</f>
        <v>75</v>
      </c>
      <c r="H37" s="12">
        <f>VLOOKUP($A37,'Operating Main Budget'!$C:$S,11,0)</f>
        <v>75</v>
      </c>
      <c r="I37" s="12">
        <f>VLOOKUP($A37,'Operating Main Budget'!$C:$S,12,0)</f>
        <v>75</v>
      </c>
      <c r="J37" s="12">
        <f>VLOOKUP($A37,'Operating Main Budget'!$C:$S,13,0)</f>
        <v>75</v>
      </c>
      <c r="K37" s="12">
        <f>VLOOKUP($A37,'Operating Main Budget'!$C:$S,14,0)</f>
        <v>75</v>
      </c>
      <c r="L37" s="12">
        <f>VLOOKUP($A37,'Operating Main Budget'!$C:$S,15,0)</f>
        <v>75</v>
      </c>
      <c r="M37" s="12">
        <f>VLOOKUP($A37,'Operating Main Budget'!$C:$S,16,0)</f>
        <v>75</v>
      </c>
      <c r="N37" s="12">
        <f>VLOOKUP($A37,'Operating Main Budget'!$C:$S,17,0)</f>
        <v>75</v>
      </c>
    </row>
    <row r="38" spans="1:14" x14ac:dyDescent="0.25">
      <c r="A38" s="7" t="s">
        <v>261</v>
      </c>
      <c r="C38" s="12">
        <f>VLOOKUP($A38,'Operating Main Budget'!$C:$S,6,0)</f>
        <v>7542</v>
      </c>
      <c r="D38" s="12">
        <f>VLOOKUP($A38,'Operating Main Budget'!$C:$S,7,0)</f>
        <v>7542</v>
      </c>
      <c r="E38" s="12">
        <f>VLOOKUP($A38,'Operating Main Budget'!$C:$S,8,0)</f>
        <v>7542</v>
      </c>
      <c r="F38" s="12">
        <f>VLOOKUP($A38,'Operating Main Budget'!$C:$S,9,0)</f>
        <v>7542</v>
      </c>
      <c r="G38" s="12">
        <f>VLOOKUP($A38,'Operating Main Budget'!$C:$S,10,0)</f>
        <v>7542</v>
      </c>
      <c r="H38" s="12">
        <f>VLOOKUP($A38,'Operating Main Budget'!$C:$S,11,0)</f>
        <v>7542</v>
      </c>
      <c r="I38" s="12">
        <f>VLOOKUP($A38,'Operating Main Budget'!$C:$S,12,0)</f>
        <v>7542</v>
      </c>
      <c r="J38" s="12">
        <f>VLOOKUP($A38,'Operating Main Budget'!$C:$S,13,0)</f>
        <v>7542</v>
      </c>
      <c r="K38" s="12">
        <f>VLOOKUP($A38,'Operating Main Budget'!$C:$S,14,0)</f>
        <v>7542</v>
      </c>
      <c r="L38" s="12">
        <f>VLOOKUP($A38,'Operating Main Budget'!$C:$S,15,0)</f>
        <v>7542</v>
      </c>
      <c r="M38" s="12">
        <f>VLOOKUP($A38,'Operating Main Budget'!$C:$S,16,0)</f>
        <v>7542</v>
      </c>
      <c r="N38" s="12">
        <f>VLOOKUP($A38,'Operating Main Budget'!$C:$S,17,0)</f>
        <v>7538</v>
      </c>
    </row>
    <row r="39" spans="1:14" x14ac:dyDescent="0.25">
      <c r="A39" s="7" t="s">
        <v>275</v>
      </c>
      <c r="C39" s="12">
        <f>VLOOKUP($A39,'Operating Main Budget'!$C:$S,6,0)</f>
        <v>9583</v>
      </c>
      <c r="D39" s="12">
        <f>VLOOKUP($A39,'Operating Main Budget'!$C:$S,7,0)</f>
        <v>9583</v>
      </c>
      <c r="E39" s="12">
        <f>VLOOKUP($A39,'Operating Main Budget'!$C:$S,8,0)</f>
        <v>9583</v>
      </c>
      <c r="F39" s="12">
        <f>VLOOKUP($A39,'Operating Main Budget'!$C:$S,9,0)</f>
        <v>9583</v>
      </c>
      <c r="G39" s="12">
        <f>VLOOKUP($A39,'Operating Main Budget'!$C:$S,10,0)</f>
        <v>9583</v>
      </c>
      <c r="H39" s="12">
        <f>VLOOKUP($A39,'Operating Main Budget'!$C:$S,11,0)</f>
        <v>9583</v>
      </c>
      <c r="I39" s="12">
        <f>VLOOKUP($A39,'Operating Main Budget'!$C:$S,12,0)</f>
        <v>9583</v>
      </c>
      <c r="J39" s="12">
        <f>VLOOKUP($A39,'Operating Main Budget'!$C:$S,13,0)</f>
        <v>9583</v>
      </c>
      <c r="K39" s="12">
        <f>VLOOKUP($A39,'Operating Main Budget'!$C:$S,14,0)</f>
        <v>9583</v>
      </c>
      <c r="L39" s="12">
        <f>VLOOKUP($A39,'Operating Main Budget'!$C:$S,15,0)</f>
        <v>9583</v>
      </c>
      <c r="M39" s="12">
        <f>VLOOKUP($A39,'Operating Main Budget'!$C:$S,16,0)</f>
        <v>9583</v>
      </c>
      <c r="N39" s="12">
        <f>VLOOKUP($A39,'Operating Main Budget'!$C:$S,17,0)</f>
        <v>9587</v>
      </c>
    </row>
    <row r="40" spans="1:14" x14ac:dyDescent="0.25">
      <c r="A40" s="7" t="s">
        <v>280</v>
      </c>
      <c r="C40" s="12">
        <f>VLOOKUP($A40,'Operating Main Budget'!$C:$S,6,0)</f>
        <v>8498</v>
      </c>
      <c r="D40" s="12">
        <f>VLOOKUP($A40,'Operating Main Budget'!$C:$S,7,0)</f>
        <v>8498</v>
      </c>
      <c r="E40" s="12">
        <f>VLOOKUP($A40,'Operating Main Budget'!$C:$S,8,0)</f>
        <v>8498</v>
      </c>
      <c r="F40" s="12">
        <f>VLOOKUP($A40,'Operating Main Budget'!$C:$S,9,0)</f>
        <v>8498</v>
      </c>
      <c r="G40" s="12">
        <f>VLOOKUP($A40,'Operating Main Budget'!$C:$S,10,0)</f>
        <v>8498</v>
      </c>
      <c r="H40" s="12">
        <f>VLOOKUP($A40,'Operating Main Budget'!$C:$S,11,0)</f>
        <v>8498</v>
      </c>
      <c r="I40" s="12">
        <f>VLOOKUP($A40,'Operating Main Budget'!$C:$S,12,0)</f>
        <v>8498</v>
      </c>
      <c r="J40" s="12">
        <f>VLOOKUP($A40,'Operating Main Budget'!$C:$S,13,0)</f>
        <v>8498</v>
      </c>
      <c r="K40" s="12">
        <f>VLOOKUP($A40,'Operating Main Budget'!$C:$S,14,0)</f>
        <v>8498</v>
      </c>
      <c r="L40" s="12">
        <f>VLOOKUP($A40,'Operating Main Budget'!$C:$S,15,0)</f>
        <v>8498</v>
      </c>
      <c r="M40" s="12">
        <f>VLOOKUP($A40,'Operating Main Budget'!$C:$S,16,0)</f>
        <v>8498</v>
      </c>
      <c r="N40" s="12">
        <f>VLOOKUP($A40,'Operating Main Budget'!$C:$S,17,0)</f>
        <v>8492</v>
      </c>
    </row>
    <row r="41" spans="1:14" x14ac:dyDescent="0.25">
      <c r="A41" s="7" t="s">
        <v>447</v>
      </c>
      <c r="C41" s="12">
        <f>VLOOKUP($A41,'Operating Main Budget'!$C:$S,6,0)</f>
        <v>499</v>
      </c>
      <c r="D41" s="12">
        <f>VLOOKUP($A41,'Operating Main Budget'!$C:$S,7,0)</f>
        <v>499</v>
      </c>
      <c r="E41" s="12">
        <f>VLOOKUP($A41,'Operating Main Budget'!$C:$S,8,0)</f>
        <v>499</v>
      </c>
      <c r="F41" s="12">
        <f>VLOOKUP($A41,'Operating Main Budget'!$C:$S,9,0)</f>
        <v>499</v>
      </c>
      <c r="G41" s="12">
        <f>VLOOKUP($A41,'Operating Main Budget'!$C:$S,10,0)</f>
        <v>499</v>
      </c>
      <c r="H41" s="12">
        <f>VLOOKUP($A41,'Operating Main Budget'!$C:$S,11,0)</f>
        <v>499</v>
      </c>
      <c r="I41" s="12">
        <f>VLOOKUP($A41,'Operating Main Budget'!$C:$S,12,0)</f>
        <v>499</v>
      </c>
      <c r="J41" s="12">
        <f>VLOOKUP($A41,'Operating Main Budget'!$C:$S,13,0)</f>
        <v>499</v>
      </c>
      <c r="K41" s="12">
        <f>VLOOKUP($A41,'Operating Main Budget'!$C:$S,14,0)</f>
        <v>499</v>
      </c>
      <c r="L41" s="12">
        <f>VLOOKUP($A41,'Operating Main Budget'!$C:$S,15,0)</f>
        <v>499</v>
      </c>
      <c r="M41" s="12">
        <f>VLOOKUP($A41,'Operating Main Budget'!$C:$S,16,0)</f>
        <v>499</v>
      </c>
      <c r="N41" s="12">
        <f>VLOOKUP($A41,'Operating Main Budget'!$C:$S,17,0)</f>
        <v>501</v>
      </c>
    </row>
    <row r="42" spans="1:14" x14ac:dyDescent="0.25">
      <c r="A42" s="7" t="s">
        <v>304</v>
      </c>
      <c r="C42" s="12">
        <f>VLOOKUP($A42,'Operating Main Budget'!$C:$S,6,0)</f>
        <v>768</v>
      </c>
      <c r="D42" s="12">
        <f>VLOOKUP($A42,'Operating Main Budget'!$C:$S,7,0)</f>
        <v>768</v>
      </c>
      <c r="E42" s="12">
        <f>VLOOKUP($A42,'Operating Main Budget'!$C:$S,8,0)</f>
        <v>768</v>
      </c>
      <c r="F42" s="12">
        <f>VLOOKUP($A42,'Operating Main Budget'!$C:$S,9,0)</f>
        <v>768</v>
      </c>
      <c r="G42" s="12">
        <f>VLOOKUP($A42,'Operating Main Budget'!$C:$S,10,0)</f>
        <v>768</v>
      </c>
      <c r="H42" s="12">
        <f>VLOOKUP($A42,'Operating Main Budget'!$C:$S,11,0)</f>
        <v>768</v>
      </c>
      <c r="I42" s="12">
        <f>VLOOKUP($A42,'Operating Main Budget'!$C:$S,12,0)</f>
        <v>768</v>
      </c>
      <c r="J42" s="12">
        <f>VLOOKUP($A42,'Operating Main Budget'!$C:$S,13,0)</f>
        <v>768</v>
      </c>
      <c r="K42" s="12">
        <f>VLOOKUP($A42,'Operating Main Budget'!$C:$S,14,0)</f>
        <v>768</v>
      </c>
      <c r="L42" s="12">
        <f>VLOOKUP($A42,'Operating Main Budget'!$C:$S,15,0)</f>
        <v>768</v>
      </c>
      <c r="M42" s="12">
        <f>VLOOKUP($A42,'Operating Main Budget'!$C:$S,16,0)</f>
        <v>768</v>
      </c>
      <c r="N42" s="12">
        <f>VLOOKUP($A42,'Operating Main Budget'!$C:$S,17,0)</f>
        <v>772</v>
      </c>
    </row>
    <row r="43" spans="1:14" x14ac:dyDescent="0.25">
      <c r="A43" s="7" t="s">
        <v>302</v>
      </c>
      <c r="C43" s="12">
        <f>VLOOKUP($A43,'Operating Main Budget'!$C:$S,6,0)</f>
        <v>333</v>
      </c>
      <c r="D43" s="12">
        <f>VLOOKUP($A43,'Operating Main Budget'!$C:$S,7,0)</f>
        <v>333</v>
      </c>
      <c r="E43" s="12">
        <f>VLOOKUP($A43,'Operating Main Budget'!$C:$S,8,0)</f>
        <v>333</v>
      </c>
      <c r="F43" s="12">
        <f>VLOOKUP($A43,'Operating Main Budget'!$C:$S,9,0)</f>
        <v>333</v>
      </c>
      <c r="G43" s="12">
        <f>VLOOKUP($A43,'Operating Main Budget'!$C:$S,10,0)</f>
        <v>333</v>
      </c>
      <c r="H43" s="12">
        <f>VLOOKUP($A43,'Operating Main Budget'!$C:$S,11,0)</f>
        <v>333</v>
      </c>
      <c r="I43" s="12">
        <f>VLOOKUP($A43,'Operating Main Budget'!$C:$S,12,0)</f>
        <v>333</v>
      </c>
      <c r="J43" s="12">
        <f>VLOOKUP($A43,'Operating Main Budget'!$C:$S,13,0)</f>
        <v>333</v>
      </c>
      <c r="K43" s="12">
        <f>VLOOKUP($A43,'Operating Main Budget'!$C:$S,14,0)</f>
        <v>333</v>
      </c>
      <c r="L43" s="12">
        <f>VLOOKUP($A43,'Operating Main Budget'!$C:$S,15,0)</f>
        <v>333</v>
      </c>
      <c r="M43" s="12">
        <f>VLOOKUP($A43,'Operating Main Budget'!$C:$S,16,0)</f>
        <v>333</v>
      </c>
      <c r="N43" s="12">
        <f>VLOOKUP($A43,'Operating Main Budget'!$C:$S,17,0)</f>
        <v>337</v>
      </c>
    </row>
    <row r="44" spans="1:14" x14ac:dyDescent="0.25">
      <c r="A44" s="7" t="s">
        <v>296</v>
      </c>
      <c r="C44" s="12">
        <f>VLOOKUP($A44,'Operating Main Budget'!$C:$S,6,0)</f>
        <v>3467</v>
      </c>
      <c r="D44" s="12">
        <f>VLOOKUP($A44,'Operating Main Budget'!$C:$S,7,0)</f>
        <v>3467</v>
      </c>
      <c r="E44" s="12">
        <f>VLOOKUP($A44,'Operating Main Budget'!$C:$S,8,0)</f>
        <v>3467</v>
      </c>
      <c r="F44" s="12">
        <f>VLOOKUP($A44,'Operating Main Budget'!$C:$S,9,0)</f>
        <v>3467</v>
      </c>
      <c r="G44" s="12">
        <f>VLOOKUP($A44,'Operating Main Budget'!$C:$S,10,0)</f>
        <v>3467</v>
      </c>
      <c r="H44" s="12">
        <f>VLOOKUP($A44,'Operating Main Budget'!$C:$S,11,0)</f>
        <v>3467</v>
      </c>
      <c r="I44" s="12">
        <f>VLOOKUP($A44,'Operating Main Budget'!$C:$S,12,0)</f>
        <v>3467</v>
      </c>
      <c r="J44" s="12">
        <f>VLOOKUP($A44,'Operating Main Budget'!$C:$S,13,0)</f>
        <v>3467</v>
      </c>
      <c r="K44" s="12">
        <f>VLOOKUP($A44,'Operating Main Budget'!$C:$S,14,0)</f>
        <v>3467</v>
      </c>
      <c r="L44" s="12">
        <f>VLOOKUP($A44,'Operating Main Budget'!$C:$S,15,0)</f>
        <v>3467</v>
      </c>
      <c r="M44" s="12">
        <f>VLOOKUP($A44,'Operating Main Budget'!$C:$S,16,0)</f>
        <v>3467</v>
      </c>
      <c r="N44" s="12">
        <f>VLOOKUP($A44,'Operating Main Budget'!$C:$S,17,0)</f>
        <v>3467</v>
      </c>
    </row>
    <row r="45" spans="1:14" x14ac:dyDescent="0.25">
      <c r="A45" s="7" t="s">
        <v>846</v>
      </c>
      <c r="C45" s="12">
        <f>VLOOKUP($A45,'Operating Main Budget'!$C:$S,6,0)</f>
        <v>330</v>
      </c>
      <c r="D45" s="12">
        <f>VLOOKUP($A45,'Operating Main Budget'!$C:$S,7,0)</f>
        <v>330</v>
      </c>
      <c r="E45" s="12">
        <f>VLOOKUP($A45,'Operating Main Budget'!$C:$S,8,0)</f>
        <v>330</v>
      </c>
      <c r="F45" s="12">
        <f>VLOOKUP($A45,'Operating Main Budget'!$C:$S,9,0)</f>
        <v>330</v>
      </c>
      <c r="G45" s="12">
        <f>VLOOKUP($A45,'Operating Main Budget'!$C:$S,10,0)</f>
        <v>330</v>
      </c>
      <c r="H45" s="12">
        <f>VLOOKUP($A45,'Operating Main Budget'!$C:$S,11,0)</f>
        <v>330</v>
      </c>
      <c r="I45" s="12">
        <f>VLOOKUP($A45,'Operating Main Budget'!$C:$S,12,0)</f>
        <v>330</v>
      </c>
      <c r="J45" s="12">
        <f>VLOOKUP($A45,'Operating Main Budget'!$C:$S,13,0)</f>
        <v>330</v>
      </c>
      <c r="K45" s="12">
        <f>VLOOKUP($A45,'Operating Main Budget'!$C:$S,14,0)</f>
        <v>330</v>
      </c>
      <c r="L45" s="12">
        <f>VLOOKUP($A45,'Operating Main Budget'!$C:$S,15,0)</f>
        <v>330</v>
      </c>
      <c r="M45" s="12">
        <f>VLOOKUP($A45,'Operating Main Budget'!$C:$S,16,0)</f>
        <v>330</v>
      </c>
      <c r="N45" s="12">
        <f>VLOOKUP($A45,'Operating Main Budget'!$C:$S,17,0)</f>
        <v>324</v>
      </c>
    </row>
    <row r="46" spans="1:14" x14ac:dyDescent="0.25">
      <c r="A46" s="7" t="s">
        <v>631</v>
      </c>
      <c r="C46" s="12">
        <f>VLOOKUP($A46,'Operating Main Budget'!$C:$S,6,0)</f>
        <v>2384</v>
      </c>
      <c r="D46" s="12">
        <f>VLOOKUP($A46,'Operating Main Budget'!$C:$S,7,0)</f>
        <v>2384</v>
      </c>
      <c r="E46" s="12">
        <f>VLOOKUP($A46,'Operating Main Budget'!$C:$S,8,0)</f>
        <v>2384</v>
      </c>
      <c r="F46" s="12">
        <f>VLOOKUP($A46,'Operating Main Budget'!$C:$S,9,0)</f>
        <v>2384</v>
      </c>
      <c r="G46" s="12">
        <f>VLOOKUP($A46,'Operating Main Budget'!$C:$S,10,0)</f>
        <v>2384</v>
      </c>
      <c r="H46" s="12">
        <f>VLOOKUP($A46,'Operating Main Budget'!$C:$S,11,0)</f>
        <v>2384</v>
      </c>
      <c r="I46" s="12">
        <f>VLOOKUP($A46,'Operating Main Budget'!$C:$S,12,0)</f>
        <v>2384</v>
      </c>
      <c r="J46" s="12">
        <f>VLOOKUP($A46,'Operating Main Budget'!$C:$S,13,0)</f>
        <v>2384</v>
      </c>
      <c r="K46" s="12">
        <f>VLOOKUP($A46,'Operating Main Budget'!$C:$S,14,0)</f>
        <v>2384</v>
      </c>
      <c r="L46" s="12">
        <f>VLOOKUP($A46,'Operating Main Budget'!$C:$S,15,0)</f>
        <v>2384</v>
      </c>
      <c r="M46" s="12">
        <f>VLOOKUP($A46,'Operating Main Budget'!$C:$S,16,0)</f>
        <v>2384</v>
      </c>
      <c r="N46" s="12">
        <f>VLOOKUP($A46,'Operating Main Budget'!$C:$S,17,0)</f>
        <v>2380</v>
      </c>
    </row>
    <row r="47" spans="1:14" x14ac:dyDescent="0.25">
      <c r="A47" s="7" t="s">
        <v>636</v>
      </c>
      <c r="C47" s="12">
        <f>VLOOKUP($A47,'Operating Main Budget'!$C:$S,6,0)</f>
        <v>125</v>
      </c>
      <c r="D47" s="12">
        <f>VLOOKUP($A47,'Operating Main Budget'!$C:$S,7,0)</f>
        <v>125</v>
      </c>
      <c r="E47" s="12">
        <f>VLOOKUP($A47,'Operating Main Budget'!$C:$S,8,0)</f>
        <v>125</v>
      </c>
      <c r="F47" s="12">
        <f>VLOOKUP($A47,'Operating Main Budget'!$C:$S,9,0)</f>
        <v>125</v>
      </c>
      <c r="G47" s="12">
        <f>VLOOKUP($A47,'Operating Main Budget'!$C:$S,10,0)</f>
        <v>125</v>
      </c>
      <c r="H47" s="12">
        <f>VLOOKUP($A47,'Operating Main Budget'!$C:$S,11,0)</f>
        <v>125</v>
      </c>
      <c r="I47" s="12">
        <f>VLOOKUP($A47,'Operating Main Budget'!$C:$S,12,0)</f>
        <v>125</v>
      </c>
      <c r="J47" s="12">
        <f>VLOOKUP($A47,'Operating Main Budget'!$C:$S,13,0)</f>
        <v>125</v>
      </c>
      <c r="K47" s="12">
        <f>VLOOKUP($A47,'Operating Main Budget'!$C:$S,14,0)</f>
        <v>125</v>
      </c>
      <c r="L47" s="12">
        <f>VLOOKUP($A47,'Operating Main Budget'!$C:$S,15,0)</f>
        <v>125</v>
      </c>
      <c r="M47" s="12">
        <f>VLOOKUP($A47,'Operating Main Budget'!$C:$S,16,0)</f>
        <v>125</v>
      </c>
      <c r="N47" s="12">
        <f>VLOOKUP($A47,'Operating Main Budget'!$C:$S,17,0)</f>
        <v>125</v>
      </c>
    </row>
    <row r="48" spans="1:14" x14ac:dyDescent="0.25">
      <c r="A48" s="7" t="s">
        <v>660</v>
      </c>
      <c r="C48" s="12">
        <f>VLOOKUP($A48,'Operating Main Budget'!$C:$S,6,0)</f>
        <v>167</v>
      </c>
      <c r="D48" s="12">
        <f>VLOOKUP($A48,'Operating Main Budget'!$C:$S,7,0)</f>
        <v>167</v>
      </c>
      <c r="E48" s="12">
        <f>VLOOKUP($A48,'Operating Main Budget'!$C:$S,8,0)</f>
        <v>167</v>
      </c>
      <c r="F48" s="12">
        <f>VLOOKUP($A48,'Operating Main Budget'!$C:$S,9,0)</f>
        <v>167</v>
      </c>
      <c r="G48" s="12">
        <f>VLOOKUP($A48,'Operating Main Budget'!$C:$S,10,0)</f>
        <v>167</v>
      </c>
      <c r="H48" s="12">
        <f>VLOOKUP($A48,'Operating Main Budget'!$C:$S,11,0)</f>
        <v>167</v>
      </c>
      <c r="I48" s="12">
        <f>VLOOKUP($A48,'Operating Main Budget'!$C:$S,12,0)</f>
        <v>167</v>
      </c>
      <c r="J48" s="12">
        <f>VLOOKUP($A48,'Operating Main Budget'!$C:$S,13,0)</f>
        <v>167</v>
      </c>
      <c r="K48" s="12">
        <f>VLOOKUP($A48,'Operating Main Budget'!$C:$S,14,0)</f>
        <v>167</v>
      </c>
      <c r="L48" s="12">
        <f>VLOOKUP($A48,'Operating Main Budget'!$C:$S,15,0)</f>
        <v>167</v>
      </c>
      <c r="M48" s="12">
        <f>VLOOKUP($A48,'Operating Main Budget'!$C:$S,16,0)</f>
        <v>167</v>
      </c>
      <c r="N48" s="12">
        <f>VLOOKUP($A48,'Operating Main Budget'!$C:$S,17,0)</f>
        <v>163</v>
      </c>
    </row>
    <row r="49" spans="1:14" x14ac:dyDescent="0.25">
      <c r="A49" s="7" t="s">
        <v>668</v>
      </c>
      <c r="C49" s="12">
        <f>VLOOKUP($A49,'Operating Main Budget'!$C:$S,6,0)</f>
        <v>100</v>
      </c>
      <c r="D49" s="12">
        <f>VLOOKUP($A49,'Operating Main Budget'!$C:$S,7,0)</f>
        <v>100</v>
      </c>
      <c r="E49" s="12">
        <f>VLOOKUP($A49,'Operating Main Budget'!$C:$S,8,0)</f>
        <v>100</v>
      </c>
      <c r="F49" s="12">
        <f>VLOOKUP($A49,'Operating Main Budget'!$C:$S,9,0)</f>
        <v>100</v>
      </c>
      <c r="G49" s="12">
        <f>VLOOKUP($A49,'Operating Main Budget'!$C:$S,10,0)</f>
        <v>100</v>
      </c>
      <c r="H49" s="12">
        <f>VLOOKUP($A49,'Operating Main Budget'!$C:$S,11,0)</f>
        <v>100</v>
      </c>
      <c r="I49" s="12">
        <f>VLOOKUP($A49,'Operating Main Budget'!$C:$S,12,0)</f>
        <v>100</v>
      </c>
      <c r="J49" s="12">
        <f>VLOOKUP($A49,'Operating Main Budget'!$C:$S,13,0)</f>
        <v>100</v>
      </c>
      <c r="K49" s="12">
        <f>VLOOKUP($A49,'Operating Main Budget'!$C:$S,14,0)</f>
        <v>100</v>
      </c>
      <c r="L49" s="12">
        <f>VLOOKUP($A49,'Operating Main Budget'!$C:$S,15,0)</f>
        <v>100</v>
      </c>
      <c r="M49" s="12">
        <f>VLOOKUP($A49,'Operating Main Budget'!$C:$S,16,0)</f>
        <v>100</v>
      </c>
      <c r="N49" s="12">
        <f>VLOOKUP($A49,'Operating Main Budget'!$C:$S,17,0)</f>
        <v>100</v>
      </c>
    </row>
    <row r="50" spans="1:14" x14ac:dyDescent="0.25">
      <c r="A50" s="7" t="s">
        <v>346</v>
      </c>
      <c r="C50" s="12">
        <f>VLOOKUP($A50,'Operating Main Budget'!$C:$S,6,0)</f>
        <v>1000</v>
      </c>
      <c r="D50" s="12">
        <f>VLOOKUP($A50,'Operating Main Budget'!$C:$S,7,0)</f>
        <v>1000</v>
      </c>
      <c r="E50" s="12">
        <f>VLOOKUP($A50,'Operating Main Budget'!$C:$S,8,0)</f>
        <v>1000</v>
      </c>
      <c r="F50" s="12">
        <f>VLOOKUP($A50,'Operating Main Budget'!$C:$S,9,0)</f>
        <v>1000</v>
      </c>
      <c r="G50" s="12">
        <f>VLOOKUP($A50,'Operating Main Budget'!$C:$S,10,0)</f>
        <v>1000</v>
      </c>
      <c r="H50" s="12">
        <f>VLOOKUP($A50,'Operating Main Budget'!$C:$S,11,0)</f>
        <v>1000</v>
      </c>
      <c r="I50" s="12">
        <f>VLOOKUP($A50,'Operating Main Budget'!$C:$S,12,0)</f>
        <v>1000</v>
      </c>
      <c r="J50" s="12">
        <f>VLOOKUP($A50,'Operating Main Budget'!$C:$S,13,0)</f>
        <v>1000</v>
      </c>
      <c r="K50" s="12">
        <f>VLOOKUP($A50,'Operating Main Budget'!$C:$S,14,0)</f>
        <v>1000</v>
      </c>
      <c r="L50" s="12">
        <f>VLOOKUP($A50,'Operating Main Budget'!$C:$S,15,0)</f>
        <v>1000</v>
      </c>
      <c r="M50" s="12">
        <f>VLOOKUP($A50,'Operating Main Budget'!$C:$S,16,0)</f>
        <v>1000</v>
      </c>
      <c r="N50" s="12">
        <f>VLOOKUP($A50,'Operating Main Budget'!$C:$S,17,0)</f>
        <v>1000</v>
      </c>
    </row>
    <row r="51" spans="1:14" x14ac:dyDescent="0.25">
      <c r="A51" s="7" t="s">
        <v>543</v>
      </c>
      <c r="C51" s="12">
        <f>VLOOKUP($A51,'Operating Main Budget'!$C:$S,6,0)</f>
        <v>1441</v>
      </c>
      <c r="D51" s="12">
        <f>VLOOKUP($A51,'Operating Main Budget'!$C:$S,7,0)</f>
        <v>1441</v>
      </c>
      <c r="E51" s="12">
        <f>VLOOKUP($A51,'Operating Main Budget'!$C:$S,8,0)</f>
        <v>1441</v>
      </c>
      <c r="F51" s="12">
        <f>VLOOKUP($A51,'Operating Main Budget'!$C:$S,9,0)</f>
        <v>1441</v>
      </c>
      <c r="G51" s="12">
        <f>VLOOKUP($A51,'Operating Main Budget'!$C:$S,10,0)</f>
        <v>1441</v>
      </c>
      <c r="H51" s="12">
        <f>VLOOKUP($A51,'Operating Main Budget'!$C:$S,11,0)</f>
        <v>1441</v>
      </c>
      <c r="I51" s="12">
        <f>VLOOKUP($A51,'Operating Main Budget'!$C:$S,12,0)</f>
        <v>1441</v>
      </c>
      <c r="J51" s="12">
        <f>VLOOKUP($A51,'Operating Main Budget'!$C:$S,13,0)</f>
        <v>1441</v>
      </c>
      <c r="K51" s="12">
        <f>VLOOKUP($A51,'Operating Main Budget'!$C:$S,14,0)</f>
        <v>1441</v>
      </c>
      <c r="L51" s="12">
        <f>VLOOKUP($A51,'Operating Main Budget'!$C:$S,15,0)</f>
        <v>1441</v>
      </c>
      <c r="M51" s="12">
        <f>VLOOKUP($A51,'Operating Main Budget'!$C:$S,16,0)</f>
        <v>1441</v>
      </c>
      <c r="N51" s="12">
        <f>VLOOKUP($A51,'Operating Main Budget'!$C:$S,17,0)</f>
        <v>1444</v>
      </c>
    </row>
    <row r="52" spans="1:14" x14ac:dyDescent="0.25">
      <c r="A52" s="7" t="s">
        <v>539</v>
      </c>
      <c r="C52" s="12">
        <f>VLOOKUP($A52,'Operating Main Budget'!$C:$S,6,0)</f>
        <v>2093</v>
      </c>
      <c r="D52" s="12">
        <f>VLOOKUP($A52,'Operating Main Budget'!$C:$S,7,0)</f>
        <v>2093</v>
      </c>
      <c r="E52" s="12">
        <f>VLOOKUP($A52,'Operating Main Budget'!$C:$S,8,0)</f>
        <v>2093</v>
      </c>
      <c r="F52" s="12">
        <f>VLOOKUP($A52,'Operating Main Budget'!$C:$S,9,0)</f>
        <v>2093</v>
      </c>
      <c r="G52" s="12">
        <f>VLOOKUP($A52,'Operating Main Budget'!$C:$S,10,0)</f>
        <v>2093</v>
      </c>
      <c r="H52" s="12">
        <f>VLOOKUP($A52,'Operating Main Budget'!$C:$S,11,0)</f>
        <v>2093</v>
      </c>
      <c r="I52" s="12">
        <f>VLOOKUP($A52,'Operating Main Budget'!$C:$S,12,0)</f>
        <v>2093</v>
      </c>
      <c r="J52" s="12">
        <f>VLOOKUP($A52,'Operating Main Budget'!$C:$S,13,0)</f>
        <v>2093</v>
      </c>
      <c r="K52" s="12">
        <f>VLOOKUP($A52,'Operating Main Budget'!$C:$S,14,0)</f>
        <v>2093</v>
      </c>
      <c r="L52" s="12">
        <f>VLOOKUP($A52,'Operating Main Budget'!$C:$S,15,0)</f>
        <v>2093</v>
      </c>
      <c r="M52" s="12">
        <f>VLOOKUP($A52,'Operating Main Budget'!$C:$S,16,0)</f>
        <v>2093</v>
      </c>
      <c r="N52" s="12">
        <f>VLOOKUP($A52,'Operating Main Budget'!$C:$S,17,0)</f>
        <v>2087</v>
      </c>
    </row>
    <row r="53" spans="1:14" x14ac:dyDescent="0.25">
      <c r="A53" s="7" t="s">
        <v>535</v>
      </c>
      <c r="C53" s="12">
        <f>VLOOKUP($A53,'Operating Main Budget'!$C:$S,6,0)</f>
        <v>7817</v>
      </c>
      <c r="D53" s="12">
        <f>VLOOKUP($A53,'Operating Main Budget'!$C:$S,7,0)</f>
        <v>7817</v>
      </c>
      <c r="E53" s="12">
        <f>VLOOKUP($A53,'Operating Main Budget'!$C:$S,8,0)</f>
        <v>7817</v>
      </c>
      <c r="F53" s="12">
        <f>VLOOKUP($A53,'Operating Main Budget'!$C:$S,9,0)</f>
        <v>7817</v>
      </c>
      <c r="G53" s="12">
        <f>VLOOKUP($A53,'Operating Main Budget'!$C:$S,10,0)</f>
        <v>7817</v>
      </c>
      <c r="H53" s="12">
        <f>VLOOKUP($A53,'Operating Main Budget'!$C:$S,11,0)</f>
        <v>7817</v>
      </c>
      <c r="I53" s="12">
        <f>VLOOKUP($A53,'Operating Main Budget'!$C:$S,12,0)</f>
        <v>7817</v>
      </c>
      <c r="J53" s="12">
        <f>VLOOKUP($A53,'Operating Main Budget'!$C:$S,13,0)</f>
        <v>7817</v>
      </c>
      <c r="K53" s="12">
        <f>VLOOKUP($A53,'Operating Main Budget'!$C:$S,14,0)</f>
        <v>7817</v>
      </c>
      <c r="L53" s="12">
        <f>VLOOKUP($A53,'Operating Main Budget'!$C:$S,15,0)</f>
        <v>7817</v>
      </c>
      <c r="M53" s="12">
        <f>VLOOKUP($A53,'Operating Main Budget'!$C:$S,16,0)</f>
        <v>7817</v>
      </c>
      <c r="N53" s="12">
        <f>VLOOKUP($A53,'Operating Main Budget'!$C:$S,17,0)</f>
        <v>7813</v>
      </c>
    </row>
    <row r="54" spans="1:14" x14ac:dyDescent="0.25">
      <c r="A54" s="7" t="s">
        <v>600</v>
      </c>
      <c r="C54" s="12">
        <f>VLOOKUP($A54,'Operating Main Budget'!$C:$S,6,0)</f>
        <v>833</v>
      </c>
      <c r="D54" s="12">
        <f>VLOOKUP($A54,'Operating Main Budget'!$C:$S,7,0)</f>
        <v>833</v>
      </c>
      <c r="E54" s="12">
        <f>VLOOKUP($A54,'Operating Main Budget'!$C:$S,8,0)</f>
        <v>833</v>
      </c>
      <c r="F54" s="12">
        <f>VLOOKUP($A54,'Operating Main Budget'!$C:$S,9,0)</f>
        <v>833</v>
      </c>
      <c r="G54" s="12">
        <f>VLOOKUP($A54,'Operating Main Budget'!$C:$S,10,0)</f>
        <v>833</v>
      </c>
      <c r="H54" s="12">
        <f>VLOOKUP($A54,'Operating Main Budget'!$C:$S,11,0)</f>
        <v>833</v>
      </c>
      <c r="I54" s="12">
        <f>VLOOKUP($A54,'Operating Main Budget'!$C:$S,12,0)</f>
        <v>833</v>
      </c>
      <c r="J54" s="12">
        <f>VLOOKUP($A54,'Operating Main Budget'!$C:$S,13,0)</f>
        <v>833</v>
      </c>
      <c r="K54" s="12">
        <f>VLOOKUP($A54,'Operating Main Budget'!$C:$S,14,0)</f>
        <v>833</v>
      </c>
      <c r="L54" s="12">
        <f>VLOOKUP($A54,'Operating Main Budget'!$C:$S,15,0)</f>
        <v>833</v>
      </c>
      <c r="M54" s="12">
        <f>VLOOKUP($A54,'Operating Main Budget'!$C:$S,16,0)</f>
        <v>833</v>
      </c>
      <c r="N54" s="12">
        <f>VLOOKUP($A54,'Operating Main Budget'!$C:$S,17,0)</f>
        <v>837</v>
      </c>
    </row>
    <row r="55" spans="1:14" x14ac:dyDescent="0.25">
      <c r="A55" s="7" t="s">
        <v>585</v>
      </c>
      <c r="C55" s="12">
        <f>VLOOKUP($A55,'Operating Main Budget'!$C:$S,6,0)</f>
        <v>2500</v>
      </c>
      <c r="D55" s="12">
        <f>VLOOKUP($A55,'Operating Main Budget'!$C:$S,7,0)</f>
        <v>2500</v>
      </c>
      <c r="E55" s="12">
        <f>VLOOKUP($A55,'Operating Main Budget'!$C:$S,8,0)</f>
        <v>2500</v>
      </c>
      <c r="F55" s="12">
        <f>VLOOKUP($A55,'Operating Main Budget'!$C:$S,9,0)</f>
        <v>2500</v>
      </c>
      <c r="G55" s="12">
        <f>VLOOKUP($A55,'Operating Main Budget'!$C:$S,10,0)</f>
        <v>2500</v>
      </c>
      <c r="H55" s="12">
        <f>VLOOKUP($A55,'Operating Main Budget'!$C:$S,11,0)</f>
        <v>2500</v>
      </c>
      <c r="I55" s="12">
        <f>VLOOKUP($A55,'Operating Main Budget'!$C:$S,12,0)</f>
        <v>2500</v>
      </c>
      <c r="J55" s="12">
        <f>VLOOKUP($A55,'Operating Main Budget'!$C:$S,13,0)</f>
        <v>2500</v>
      </c>
      <c r="K55" s="12">
        <f>VLOOKUP($A55,'Operating Main Budget'!$C:$S,14,0)</f>
        <v>2500</v>
      </c>
      <c r="L55" s="12">
        <f>VLOOKUP($A55,'Operating Main Budget'!$C:$S,15,0)</f>
        <v>2500</v>
      </c>
      <c r="M55" s="12">
        <f>VLOOKUP($A55,'Operating Main Budget'!$C:$S,16,0)</f>
        <v>2500</v>
      </c>
      <c r="N55" s="12">
        <f>VLOOKUP($A55,'Operating Main Budget'!$C:$S,17,0)</f>
        <v>2500</v>
      </c>
    </row>
    <row r="56" spans="1:14" x14ac:dyDescent="0.25">
      <c r="A56" s="16" t="s">
        <v>381</v>
      </c>
      <c r="C56" s="12">
        <f>VLOOKUP($A56,'Operating Main Budget'!$C:$S,6,0)</f>
        <v>350</v>
      </c>
      <c r="D56" s="12">
        <f>VLOOKUP($A56,'Operating Main Budget'!$C:$S,7,0)</f>
        <v>350</v>
      </c>
      <c r="E56" s="12">
        <f>VLOOKUP($A56,'Operating Main Budget'!$C:$S,8,0)</f>
        <v>350</v>
      </c>
      <c r="F56" s="12">
        <f>VLOOKUP($A56,'Operating Main Budget'!$C:$S,9,0)</f>
        <v>350</v>
      </c>
      <c r="G56" s="12">
        <f>VLOOKUP($A56,'Operating Main Budget'!$C:$S,10,0)</f>
        <v>350</v>
      </c>
      <c r="H56" s="12">
        <f>VLOOKUP($A56,'Operating Main Budget'!$C:$S,11,0)</f>
        <v>350</v>
      </c>
      <c r="I56" s="12">
        <f>VLOOKUP($A56,'Operating Main Budget'!$C:$S,12,0)</f>
        <v>350</v>
      </c>
      <c r="J56" s="12">
        <f>VLOOKUP($A56,'Operating Main Budget'!$C:$S,13,0)</f>
        <v>350</v>
      </c>
      <c r="K56" s="12">
        <f>VLOOKUP($A56,'Operating Main Budget'!$C:$S,14,0)</f>
        <v>350</v>
      </c>
      <c r="L56" s="12">
        <f>VLOOKUP($A56,'Operating Main Budget'!$C:$S,15,0)</f>
        <v>350</v>
      </c>
      <c r="M56" s="12">
        <f>VLOOKUP($A56,'Operating Main Budget'!$C:$S,16,0)</f>
        <v>350</v>
      </c>
      <c r="N56" s="12">
        <f>VLOOKUP($A56,'Operating Main Budget'!$C:$S,17,0)</f>
        <v>350</v>
      </c>
    </row>
    <row r="57" spans="1:14" x14ac:dyDescent="0.25">
      <c r="A57" s="7" t="s">
        <v>372</v>
      </c>
      <c r="C57" s="12">
        <f>VLOOKUP($A57,'Operating Main Budget'!$C:$S,6,0)</f>
        <v>375</v>
      </c>
      <c r="D57" s="12">
        <f>VLOOKUP($A57,'Operating Main Budget'!$C:$S,7,0)</f>
        <v>375</v>
      </c>
      <c r="E57" s="12">
        <f>VLOOKUP($A57,'Operating Main Budget'!$C:$S,8,0)</f>
        <v>375</v>
      </c>
      <c r="F57" s="12">
        <f>VLOOKUP($A57,'Operating Main Budget'!$C:$S,9,0)</f>
        <v>375</v>
      </c>
      <c r="G57" s="12">
        <f>VLOOKUP($A57,'Operating Main Budget'!$C:$S,10,0)</f>
        <v>375</v>
      </c>
      <c r="H57" s="12">
        <f>VLOOKUP($A57,'Operating Main Budget'!$C:$S,11,0)</f>
        <v>375</v>
      </c>
      <c r="I57" s="12">
        <f>VLOOKUP($A57,'Operating Main Budget'!$C:$S,12,0)</f>
        <v>375</v>
      </c>
      <c r="J57" s="12">
        <f>VLOOKUP($A57,'Operating Main Budget'!$C:$S,13,0)</f>
        <v>375</v>
      </c>
      <c r="K57" s="12">
        <f>VLOOKUP($A57,'Operating Main Budget'!$C:$S,14,0)</f>
        <v>375</v>
      </c>
      <c r="L57" s="12">
        <f>VLOOKUP($A57,'Operating Main Budget'!$C:$S,15,0)</f>
        <v>375</v>
      </c>
      <c r="M57" s="12">
        <f>VLOOKUP($A57,'Operating Main Budget'!$C:$S,16,0)</f>
        <v>375</v>
      </c>
      <c r="N57" s="12">
        <f>VLOOKUP($A57,'Operating Main Budget'!$C:$S,17,0)</f>
        <v>379</v>
      </c>
    </row>
    <row r="58" spans="1:14" x14ac:dyDescent="0.25">
      <c r="A58" s="7" t="s">
        <v>314</v>
      </c>
      <c r="C58" s="12">
        <f>VLOOKUP($A58,'Operating Main Budget'!$C:$S,6,0)</f>
        <v>2132</v>
      </c>
      <c r="D58" s="12">
        <f>VLOOKUP($A58,'Operating Main Budget'!$C:$S,7,0)</f>
        <v>2132</v>
      </c>
      <c r="E58" s="12">
        <f>VLOOKUP($A58,'Operating Main Budget'!$C:$S,8,0)</f>
        <v>2132</v>
      </c>
      <c r="F58" s="12">
        <f>VLOOKUP($A58,'Operating Main Budget'!$C:$S,9,0)</f>
        <v>2132</v>
      </c>
      <c r="G58" s="12">
        <f>VLOOKUP($A58,'Operating Main Budget'!$C:$S,10,0)</f>
        <v>2132</v>
      </c>
      <c r="H58" s="12">
        <f>VLOOKUP($A58,'Operating Main Budget'!$C:$S,11,0)</f>
        <v>2132</v>
      </c>
      <c r="I58" s="12">
        <f>VLOOKUP($A58,'Operating Main Budget'!$C:$S,12,0)</f>
        <v>2132</v>
      </c>
      <c r="J58" s="12">
        <f>VLOOKUP($A58,'Operating Main Budget'!$C:$S,13,0)</f>
        <v>2132</v>
      </c>
      <c r="K58" s="12">
        <f>VLOOKUP($A58,'Operating Main Budget'!$C:$S,14,0)</f>
        <v>2132</v>
      </c>
      <c r="L58" s="12">
        <f>VLOOKUP($A58,'Operating Main Budget'!$C:$S,15,0)</f>
        <v>2132</v>
      </c>
      <c r="M58" s="12">
        <f>VLOOKUP($A58,'Operating Main Budget'!$C:$S,16,0)</f>
        <v>2132</v>
      </c>
      <c r="N58" s="12">
        <f>VLOOKUP($A58,'Operating Main Budget'!$C:$S,17,0)</f>
        <v>2130</v>
      </c>
    </row>
    <row r="59" spans="1:14" x14ac:dyDescent="0.25">
      <c r="A59" s="7" t="s">
        <v>486</v>
      </c>
      <c r="C59" s="12">
        <f>VLOOKUP($A59,'Operating Main Budget'!$C:$S,6,0)</f>
        <v>1417</v>
      </c>
      <c r="D59" s="12">
        <f>VLOOKUP($A59,'Operating Main Budget'!$C:$S,7,0)</f>
        <v>1417</v>
      </c>
      <c r="E59" s="12">
        <f>VLOOKUP($A59,'Operating Main Budget'!$C:$S,8,0)</f>
        <v>1417</v>
      </c>
      <c r="F59" s="12">
        <f>VLOOKUP($A59,'Operating Main Budget'!$C:$S,9,0)</f>
        <v>1417</v>
      </c>
      <c r="G59" s="12">
        <f>VLOOKUP($A59,'Operating Main Budget'!$C:$S,10,0)</f>
        <v>1417</v>
      </c>
      <c r="H59" s="12">
        <f>VLOOKUP($A59,'Operating Main Budget'!$C:$S,11,0)</f>
        <v>1417</v>
      </c>
      <c r="I59" s="12">
        <f>VLOOKUP($A59,'Operating Main Budget'!$C:$S,12,0)</f>
        <v>1417</v>
      </c>
      <c r="J59" s="12">
        <f>VLOOKUP($A59,'Operating Main Budget'!$C:$S,13,0)</f>
        <v>1417</v>
      </c>
      <c r="K59" s="12">
        <f>VLOOKUP($A59,'Operating Main Budget'!$C:$S,14,0)</f>
        <v>1417</v>
      </c>
      <c r="L59" s="12">
        <f>VLOOKUP($A59,'Operating Main Budget'!$C:$S,15,0)</f>
        <v>1417</v>
      </c>
      <c r="M59" s="12">
        <f>VLOOKUP($A59,'Operating Main Budget'!$C:$S,16,0)</f>
        <v>1417</v>
      </c>
      <c r="N59" s="12">
        <f>VLOOKUP($A59,'Operating Main Budget'!$C:$S,17,0)</f>
        <v>1413</v>
      </c>
    </row>
    <row r="60" spans="1:14" x14ac:dyDescent="0.25">
      <c r="A60" s="7" t="s">
        <v>171</v>
      </c>
      <c r="C60" s="12">
        <f>VLOOKUP($A60,'Operating Main Budget'!$C:$S,6,0)</f>
        <v>11134</v>
      </c>
      <c r="D60" s="12">
        <f>VLOOKUP($A60,'Operating Main Budget'!$C:$S,7,0)</f>
        <v>11134</v>
      </c>
      <c r="E60" s="12">
        <f>VLOOKUP($A60,'Operating Main Budget'!$C:$S,8,0)</f>
        <v>11134</v>
      </c>
      <c r="F60" s="12">
        <f>VLOOKUP($A60,'Operating Main Budget'!$C:$S,9,0)</f>
        <v>11134</v>
      </c>
      <c r="G60" s="12">
        <f>VLOOKUP($A60,'Operating Main Budget'!$C:$S,10,0)</f>
        <v>11134</v>
      </c>
      <c r="H60" s="12">
        <f>VLOOKUP($A60,'Operating Main Budget'!$C:$S,11,0)</f>
        <v>11134</v>
      </c>
      <c r="I60" s="12">
        <f>VLOOKUP($A60,'Operating Main Budget'!$C:$S,12,0)</f>
        <v>11134</v>
      </c>
      <c r="J60" s="12">
        <f>VLOOKUP($A60,'Operating Main Budget'!$C:$S,13,0)</f>
        <v>11134</v>
      </c>
      <c r="K60" s="12">
        <f>VLOOKUP($A60,'Operating Main Budget'!$C:$S,14,0)</f>
        <v>11134</v>
      </c>
      <c r="L60" s="12">
        <f>VLOOKUP($A60,'Operating Main Budget'!$C:$S,15,0)</f>
        <v>11134</v>
      </c>
      <c r="M60" s="12">
        <f>VLOOKUP($A60,'Operating Main Budget'!$C:$S,16,0)</f>
        <v>11134</v>
      </c>
      <c r="N60" s="12">
        <f>VLOOKUP($A60,'Operating Main Budget'!$C:$S,17,0)</f>
        <v>11129</v>
      </c>
    </row>
    <row r="61" spans="1:14" x14ac:dyDescent="0.25">
      <c r="A61" s="7" t="s">
        <v>342</v>
      </c>
      <c r="C61" s="12">
        <f>VLOOKUP($A61,'Operating Main Budget'!$C:$S,6,0)</f>
        <v>2826</v>
      </c>
      <c r="D61" s="12">
        <f>VLOOKUP($A61,'Operating Main Budget'!$C:$S,7,0)</f>
        <v>2826</v>
      </c>
      <c r="E61" s="12">
        <f>VLOOKUP($A61,'Operating Main Budget'!$C:$S,8,0)</f>
        <v>2826</v>
      </c>
      <c r="F61" s="12">
        <f>VLOOKUP($A61,'Operating Main Budget'!$C:$S,9,0)</f>
        <v>2826</v>
      </c>
      <c r="G61" s="12">
        <f>VLOOKUP($A61,'Operating Main Budget'!$C:$S,10,0)</f>
        <v>2826</v>
      </c>
      <c r="H61" s="12">
        <f>VLOOKUP($A61,'Operating Main Budget'!$C:$S,11,0)</f>
        <v>2826</v>
      </c>
      <c r="I61" s="12">
        <f>VLOOKUP($A61,'Operating Main Budget'!$C:$S,12,0)</f>
        <v>2826</v>
      </c>
      <c r="J61" s="12">
        <f>VLOOKUP($A61,'Operating Main Budget'!$C:$S,13,0)</f>
        <v>2826</v>
      </c>
      <c r="K61" s="12">
        <f>VLOOKUP($A61,'Operating Main Budget'!$C:$S,14,0)</f>
        <v>2826</v>
      </c>
      <c r="L61" s="12">
        <f>VLOOKUP($A61,'Operating Main Budget'!$C:$S,15,0)</f>
        <v>2826</v>
      </c>
      <c r="M61" s="12">
        <f>VLOOKUP($A61,'Operating Main Budget'!$C:$S,16,0)</f>
        <v>2826</v>
      </c>
      <c r="N61" s="12">
        <f>VLOOKUP($A61,'Operating Main Budget'!$C:$S,17,0)</f>
        <v>2826</v>
      </c>
    </row>
    <row r="62" spans="1:14" x14ac:dyDescent="0.25">
      <c r="A62" s="7" t="s">
        <v>415</v>
      </c>
      <c r="C62" s="12">
        <f>VLOOKUP($A62,'Operating Main Budget'!$C:$S,6,0)</f>
        <v>833</v>
      </c>
      <c r="D62" s="12">
        <f>VLOOKUP($A62,'Operating Main Budget'!$C:$S,7,0)</f>
        <v>833</v>
      </c>
      <c r="E62" s="12">
        <f>VLOOKUP($A62,'Operating Main Budget'!$C:$S,8,0)</f>
        <v>833</v>
      </c>
      <c r="F62" s="12">
        <f>VLOOKUP($A62,'Operating Main Budget'!$C:$S,9,0)</f>
        <v>833</v>
      </c>
      <c r="G62" s="12">
        <f>VLOOKUP($A62,'Operating Main Budget'!$C:$S,10,0)</f>
        <v>833</v>
      </c>
      <c r="H62" s="12">
        <f>VLOOKUP($A62,'Operating Main Budget'!$C:$S,11,0)</f>
        <v>833</v>
      </c>
      <c r="I62" s="12">
        <f>VLOOKUP($A62,'Operating Main Budget'!$C:$S,12,0)</f>
        <v>833</v>
      </c>
      <c r="J62" s="12">
        <f>VLOOKUP($A62,'Operating Main Budget'!$C:$S,13,0)</f>
        <v>833</v>
      </c>
      <c r="K62" s="12">
        <f>VLOOKUP($A62,'Operating Main Budget'!$C:$S,14,0)</f>
        <v>833</v>
      </c>
      <c r="L62" s="12">
        <f>VLOOKUP($A62,'Operating Main Budget'!$C:$S,15,0)</f>
        <v>833</v>
      </c>
      <c r="M62" s="12">
        <f>VLOOKUP($A62,'Operating Main Budget'!$C:$S,16,0)</f>
        <v>833</v>
      </c>
      <c r="N62" s="12">
        <f>VLOOKUP($A62,'Operating Main Budget'!$C:$S,17,0)</f>
        <v>837</v>
      </c>
    </row>
    <row r="63" spans="1:14" x14ac:dyDescent="0.25">
      <c r="A63" s="7" t="s">
        <v>614</v>
      </c>
      <c r="C63" s="12">
        <f>VLOOKUP($A63,'Operating Main Budget'!$C:$S,6,0)</f>
        <v>417</v>
      </c>
      <c r="D63" s="12">
        <f>VLOOKUP($A63,'Operating Main Budget'!$C:$S,7,0)</f>
        <v>417</v>
      </c>
      <c r="E63" s="12">
        <f>VLOOKUP($A63,'Operating Main Budget'!$C:$S,8,0)</f>
        <v>417</v>
      </c>
      <c r="F63" s="12">
        <f>VLOOKUP($A63,'Operating Main Budget'!$C:$S,9,0)</f>
        <v>417</v>
      </c>
      <c r="G63" s="12">
        <f>VLOOKUP($A63,'Operating Main Budget'!$C:$S,10,0)</f>
        <v>417</v>
      </c>
      <c r="H63" s="12">
        <f>VLOOKUP($A63,'Operating Main Budget'!$C:$S,11,0)</f>
        <v>417</v>
      </c>
      <c r="I63" s="12">
        <f>VLOOKUP($A63,'Operating Main Budget'!$C:$S,12,0)</f>
        <v>417</v>
      </c>
      <c r="J63" s="12">
        <f>VLOOKUP($A63,'Operating Main Budget'!$C:$S,13,0)</f>
        <v>417</v>
      </c>
      <c r="K63" s="12">
        <f>VLOOKUP($A63,'Operating Main Budget'!$C:$S,14,0)</f>
        <v>417</v>
      </c>
      <c r="L63" s="12">
        <f>VLOOKUP($A63,'Operating Main Budget'!$C:$S,15,0)</f>
        <v>417</v>
      </c>
      <c r="M63" s="12">
        <f>VLOOKUP($A63,'Operating Main Budget'!$C:$S,16,0)</f>
        <v>417</v>
      </c>
      <c r="N63" s="12">
        <f>VLOOKUP($A63,'Operating Main Budget'!$C:$S,17,0)</f>
        <v>413</v>
      </c>
    </row>
    <row r="64" spans="1:14" x14ac:dyDescent="0.25">
      <c r="A64" s="7" t="s">
        <v>399</v>
      </c>
      <c r="C64" s="12">
        <f>VLOOKUP($A64,'Operating Main Budget'!$C:$S,6,0)</f>
        <v>400</v>
      </c>
      <c r="D64" s="12">
        <f>VLOOKUP($A64,'Operating Main Budget'!$C:$S,7,0)</f>
        <v>400</v>
      </c>
      <c r="E64" s="12">
        <f>VLOOKUP($A64,'Operating Main Budget'!$C:$S,8,0)</f>
        <v>400</v>
      </c>
      <c r="F64" s="12">
        <f>VLOOKUP($A64,'Operating Main Budget'!$C:$S,9,0)</f>
        <v>400</v>
      </c>
      <c r="G64" s="12">
        <f>VLOOKUP($A64,'Operating Main Budget'!$C:$S,10,0)</f>
        <v>400</v>
      </c>
      <c r="H64" s="12">
        <f>VLOOKUP($A64,'Operating Main Budget'!$C:$S,11,0)</f>
        <v>400</v>
      </c>
      <c r="I64" s="12">
        <f>VLOOKUP($A64,'Operating Main Budget'!$C:$S,12,0)</f>
        <v>400</v>
      </c>
      <c r="J64" s="12">
        <f>VLOOKUP($A64,'Operating Main Budget'!$C:$S,13,0)</f>
        <v>400</v>
      </c>
      <c r="K64" s="12">
        <f>VLOOKUP($A64,'Operating Main Budget'!$C:$S,14,0)</f>
        <v>400</v>
      </c>
      <c r="L64" s="12">
        <f>VLOOKUP($A64,'Operating Main Budget'!$C:$S,15,0)</f>
        <v>400</v>
      </c>
      <c r="M64" s="12">
        <f>VLOOKUP($A64,'Operating Main Budget'!$C:$S,16,0)</f>
        <v>400</v>
      </c>
      <c r="N64" s="12">
        <f>VLOOKUP($A64,'Operating Main Budget'!$C:$S,17,0)</f>
        <v>400</v>
      </c>
    </row>
    <row r="65" spans="1:14" x14ac:dyDescent="0.25">
      <c r="A65" s="7" t="s">
        <v>387</v>
      </c>
      <c r="C65" s="12">
        <f>VLOOKUP($A65,'Operating Main Budget'!$C:$S,6,0)</f>
        <v>1260</v>
      </c>
      <c r="D65" s="12">
        <f>VLOOKUP($A65,'Operating Main Budget'!$C:$S,7,0)</f>
        <v>1260</v>
      </c>
      <c r="E65" s="12">
        <f>VLOOKUP($A65,'Operating Main Budget'!$C:$S,8,0)</f>
        <v>1260</v>
      </c>
      <c r="F65" s="12">
        <f>VLOOKUP($A65,'Operating Main Budget'!$C:$S,9,0)</f>
        <v>1260</v>
      </c>
      <c r="G65" s="12">
        <f>VLOOKUP($A65,'Operating Main Budget'!$C:$S,10,0)</f>
        <v>1260</v>
      </c>
      <c r="H65" s="12">
        <f>VLOOKUP($A65,'Operating Main Budget'!$C:$S,11,0)</f>
        <v>1260</v>
      </c>
      <c r="I65" s="12">
        <f>VLOOKUP($A65,'Operating Main Budget'!$C:$S,12,0)</f>
        <v>1260</v>
      </c>
      <c r="J65" s="12">
        <f>VLOOKUP($A65,'Operating Main Budget'!$C:$S,13,0)</f>
        <v>1260</v>
      </c>
      <c r="K65" s="12">
        <f>VLOOKUP($A65,'Operating Main Budget'!$C:$S,14,0)</f>
        <v>1260</v>
      </c>
      <c r="L65" s="12">
        <f>VLOOKUP($A65,'Operating Main Budget'!$C:$S,15,0)</f>
        <v>1260</v>
      </c>
      <c r="M65" s="12">
        <f>VLOOKUP($A65,'Operating Main Budget'!$C:$S,16,0)</f>
        <v>1260</v>
      </c>
      <c r="N65" s="12">
        <f>VLOOKUP($A65,'Operating Main Budget'!$C:$S,17,0)</f>
        <v>1260</v>
      </c>
    </row>
    <row r="66" spans="1:14" x14ac:dyDescent="0.25">
      <c r="A66" s="7" t="s">
        <v>474</v>
      </c>
      <c r="C66" s="12">
        <f>VLOOKUP($A66,'Operating Main Budget'!$C:$S,6,0)</f>
        <v>3333</v>
      </c>
      <c r="D66" s="12">
        <f>VLOOKUP($A66,'Operating Main Budget'!$C:$S,7,0)</f>
        <v>3333</v>
      </c>
      <c r="E66" s="12">
        <f>VLOOKUP($A66,'Operating Main Budget'!$C:$S,8,0)</f>
        <v>3333</v>
      </c>
      <c r="F66" s="12">
        <f>VLOOKUP($A66,'Operating Main Budget'!$C:$S,9,0)</f>
        <v>3333</v>
      </c>
      <c r="G66" s="12">
        <f>VLOOKUP($A66,'Operating Main Budget'!$C:$S,10,0)</f>
        <v>3333</v>
      </c>
      <c r="H66" s="12">
        <f>VLOOKUP($A66,'Operating Main Budget'!$C:$S,11,0)</f>
        <v>3333</v>
      </c>
      <c r="I66" s="12">
        <f>VLOOKUP($A66,'Operating Main Budget'!$C:$S,12,0)</f>
        <v>3333</v>
      </c>
      <c r="J66" s="12">
        <f>VLOOKUP($A66,'Operating Main Budget'!$C:$S,13,0)</f>
        <v>3333</v>
      </c>
      <c r="K66" s="12">
        <f>VLOOKUP($A66,'Operating Main Budget'!$C:$S,14,0)</f>
        <v>3333</v>
      </c>
      <c r="L66" s="12">
        <f>VLOOKUP($A66,'Operating Main Budget'!$C:$S,15,0)</f>
        <v>3333</v>
      </c>
      <c r="M66" s="12">
        <f>VLOOKUP($A66,'Operating Main Budget'!$C:$S,16,0)</f>
        <v>3333</v>
      </c>
      <c r="N66" s="12">
        <f>VLOOKUP($A66,'Operating Main Budget'!$C:$S,17,0)</f>
        <v>3337</v>
      </c>
    </row>
    <row r="67" spans="1:14" x14ac:dyDescent="0.25">
      <c r="A67" s="7" t="s">
        <v>458</v>
      </c>
      <c r="C67" s="12">
        <f>VLOOKUP($A67,'Operating Main Budget'!$C:$S,6,0)</f>
        <v>335</v>
      </c>
      <c r="D67" s="12">
        <f>VLOOKUP($A67,'Operating Main Budget'!$C:$S,7,0)</f>
        <v>335</v>
      </c>
      <c r="E67" s="12">
        <f>VLOOKUP($A67,'Operating Main Budget'!$C:$S,8,0)</f>
        <v>335</v>
      </c>
      <c r="F67" s="12">
        <f>VLOOKUP($A67,'Operating Main Budget'!$C:$S,9,0)</f>
        <v>335</v>
      </c>
      <c r="G67" s="12">
        <f>VLOOKUP($A67,'Operating Main Budget'!$C:$S,10,0)</f>
        <v>335</v>
      </c>
      <c r="H67" s="12">
        <f>VLOOKUP($A67,'Operating Main Budget'!$C:$S,11,0)</f>
        <v>335</v>
      </c>
      <c r="I67" s="12">
        <f>VLOOKUP($A67,'Operating Main Budget'!$C:$S,12,0)</f>
        <v>335</v>
      </c>
      <c r="J67" s="12">
        <f>VLOOKUP($A67,'Operating Main Budget'!$C:$S,13,0)</f>
        <v>335</v>
      </c>
      <c r="K67" s="12">
        <f>VLOOKUP($A67,'Operating Main Budget'!$C:$S,14,0)</f>
        <v>335</v>
      </c>
      <c r="L67" s="12">
        <f>VLOOKUP($A67,'Operating Main Budget'!$C:$S,15,0)</f>
        <v>335</v>
      </c>
      <c r="M67" s="12">
        <f>VLOOKUP($A67,'Operating Main Budget'!$C:$S,16,0)</f>
        <v>335</v>
      </c>
      <c r="N67" s="12">
        <f>VLOOKUP($A67,'Operating Main Budget'!$C:$S,17,0)</f>
        <v>335</v>
      </c>
    </row>
    <row r="68" spans="1:14" x14ac:dyDescent="0.25">
      <c r="A68" s="7" t="s">
        <v>460</v>
      </c>
      <c r="C68" s="12">
        <f>VLOOKUP($A68,'Operating Main Budget'!$C:$S,6,0)</f>
        <v>417</v>
      </c>
      <c r="D68" s="12">
        <f>VLOOKUP($A68,'Operating Main Budget'!$C:$S,7,0)</f>
        <v>417</v>
      </c>
      <c r="E68" s="12">
        <f>VLOOKUP($A68,'Operating Main Budget'!$C:$S,8,0)</f>
        <v>417</v>
      </c>
      <c r="F68" s="12">
        <f>VLOOKUP($A68,'Operating Main Budget'!$C:$S,9,0)</f>
        <v>417</v>
      </c>
      <c r="G68" s="12">
        <f>VLOOKUP($A68,'Operating Main Budget'!$C:$S,10,0)</f>
        <v>417</v>
      </c>
      <c r="H68" s="12">
        <f>VLOOKUP($A68,'Operating Main Budget'!$C:$S,11,0)</f>
        <v>417</v>
      </c>
      <c r="I68" s="12">
        <f>VLOOKUP($A68,'Operating Main Budget'!$C:$S,12,0)</f>
        <v>417</v>
      </c>
      <c r="J68" s="12">
        <f>VLOOKUP($A68,'Operating Main Budget'!$C:$S,13,0)</f>
        <v>417</v>
      </c>
      <c r="K68" s="12">
        <f>VLOOKUP($A68,'Operating Main Budget'!$C:$S,14,0)</f>
        <v>417</v>
      </c>
      <c r="L68" s="12">
        <f>VLOOKUP($A68,'Operating Main Budget'!$C:$S,15,0)</f>
        <v>417</v>
      </c>
      <c r="M68" s="12">
        <f>VLOOKUP($A68,'Operating Main Budget'!$C:$S,16,0)</f>
        <v>417</v>
      </c>
      <c r="N68" s="12">
        <f>VLOOKUP($A68,'Operating Main Budget'!$C:$S,17,0)</f>
        <v>413</v>
      </c>
    </row>
    <row r="69" spans="1:14" x14ac:dyDescent="0.25">
      <c r="A69" s="7" t="s">
        <v>449</v>
      </c>
      <c r="C69" s="12">
        <f>VLOOKUP($A69,'Operating Main Budget'!$C:$S,6,0)</f>
        <v>2000</v>
      </c>
      <c r="D69" s="12">
        <f>VLOOKUP($A69,'Operating Main Budget'!$C:$S,7,0)</f>
        <v>2000</v>
      </c>
      <c r="E69" s="12">
        <f>VLOOKUP($A69,'Operating Main Budget'!$C:$S,8,0)</f>
        <v>2000</v>
      </c>
      <c r="F69" s="12">
        <f>VLOOKUP($A69,'Operating Main Budget'!$C:$S,9,0)</f>
        <v>2000</v>
      </c>
      <c r="G69" s="12">
        <f>VLOOKUP($A69,'Operating Main Budget'!$C:$S,10,0)</f>
        <v>2000</v>
      </c>
      <c r="H69" s="12">
        <f>VLOOKUP($A69,'Operating Main Budget'!$C:$S,11,0)</f>
        <v>2000</v>
      </c>
      <c r="I69" s="12">
        <f>VLOOKUP($A69,'Operating Main Budget'!$C:$S,12,0)</f>
        <v>2000</v>
      </c>
      <c r="J69" s="12">
        <f>VLOOKUP($A69,'Operating Main Budget'!$C:$S,13,0)</f>
        <v>2000</v>
      </c>
      <c r="K69" s="12">
        <f>VLOOKUP($A69,'Operating Main Budget'!$C:$S,14,0)</f>
        <v>2000</v>
      </c>
      <c r="L69" s="12">
        <f>VLOOKUP($A69,'Operating Main Budget'!$C:$S,15,0)</f>
        <v>2000</v>
      </c>
      <c r="M69" s="12">
        <f>VLOOKUP($A69,'Operating Main Budget'!$C:$S,16,0)</f>
        <v>2000</v>
      </c>
      <c r="N69" s="12">
        <f>VLOOKUP($A69,'Operating Main Budget'!$C:$S,17,0)</f>
        <v>2000</v>
      </c>
    </row>
    <row r="70" spans="1:14" x14ac:dyDescent="0.25">
      <c r="A70" s="7" t="s">
        <v>231</v>
      </c>
      <c r="C70" s="12">
        <f>VLOOKUP($A70,'Operating Main Budget'!$C:$S,6,0)</f>
        <v>900</v>
      </c>
      <c r="D70" s="12">
        <f>VLOOKUP($A70,'Operating Main Budget'!$C:$S,7,0)</f>
        <v>900</v>
      </c>
      <c r="E70" s="12">
        <f>VLOOKUP($A70,'Operating Main Budget'!$C:$S,8,0)</f>
        <v>900</v>
      </c>
      <c r="F70" s="12">
        <f>VLOOKUP($A70,'Operating Main Budget'!$C:$S,9,0)</f>
        <v>900</v>
      </c>
      <c r="G70" s="12">
        <f>VLOOKUP($A70,'Operating Main Budget'!$C:$S,10,0)</f>
        <v>900</v>
      </c>
      <c r="H70" s="12">
        <f>VLOOKUP($A70,'Operating Main Budget'!$C:$S,11,0)</f>
        <v>900</v>
      </c>
      <c r="I70" s="12">
        <f>VLOOKUP($A70,'Operating Main Budget'!$C:$S,12,0)</f>
        <v>900</v>
      </c>
      <c r="J70" s="12">
        <f>VLOOKUP($A70,'Operating Main Budget'!$C:$S,13,0)</f>
        <v>900</v>
      </c>
      <c r="K70" s="12">
        <f>VLOOKUP($A70,'Operating Main Budget'!$C:$S,14,0)</f>
        <v>900</v>
      </c>
      <c r="L70" s="12">
        <f>VLOOKUP($A70,'Operating Main Budget'!$C:$S,15,0)</f>
        <v>900</v>
      </c>
      <c r="M70" s="12">
        <f>VLOOKUP($A70,'Operating Main Budget'!$C:$S,16,0)</f>
        <v>900</v>
      </c>
      <c r="N70" s="12">
        <f>VLOOKUP($A70,'Operating Main Budget'!$C:$S,17,0)</f>
        <v>900</v>
      </c>
    </row>
    <row r="71" spans="1:14" x14ac:dyDescent="0.25">
      <c r="A71" s="7" t="s">
        <v>235</v>
      </c>
      <c r="C71" s="12">
        <f>VLOOKUP($A71,'Operating Main Budget'!$C:$S,6,0)</f>
        <v>42</v>
      </c>
      <c r="D71" s="12">
        <f>VLOOKUP($A71,'Operating Main Budget'!$C:$S,7,0)</f>
        <v>42</v>
      </c>
      <c r="E71" s="12">
        <f>VLOOKUP($A71,'Operating Main Budget'!$C:$S,8,0)</f>
        <v>42</v>
      </c>
      <c r="F71" s="12">
        <f>VLOOKUP($A71,'Operating Main Budget'!$C:$S,9,0)</f>
        <v>42</v>
      </c>
      <c r="G71" s="12">
        <f>VLOOKUP($A71,'Operating Main Budget'!$C:$S,10,0)</f>
        <v>42</v>
      </c>
      <c r="H71" s="12">
        <f>VLOOKUP($A71,'Operating Main Budget'!$C:$S,11,0)</f>
        <v>42</v>
      </c>
      <c r="I71" s="12">
        <f>VLOOKUP($A71,'Operating Main Budget'!$C:$S,12,0)</f>
        <v>42</v>
      </c>
      <c r="J71" s="12">
        <f>VLOOKUP($A71,'Operating Main Budget'!$C:$S,13,0)</f>
        <v>42</v>
      </c>
      <c r="K71" s="12">
        <f>VLOOKUP($A71,'Operating Main Budget'!$C:$S,14,0)</f>
        <v>42</v>
      </c>
      <c r="L71" s="12">
        <f>VLOOKUP($A71,'Operating Main Budget'!$C:$S,15,0)</f>
        <v>42</v>
      </c>
      <c r="M71" s="12">
        <f>VLOOKUP($A71,'Operating Main Budget'!$C:$S,16,0)</f>
        <v>42</v>
      </c>
      <c r="N71" s="12">
        <f>VLOOKUP($A71,'Operating Main Budget'!$C:$S,17,0)</f>
        <v>38</v>
      </c>
    </row>
    <row r="72" spans="1:14" x14ac:dyDescent="0.25">
      <c r="A72" s="7" t="s">
        <v>239</v>
      </c>
      <c r="C72" s="12">
        <f>VLOOKUP($A72,'Operating Main Budget'!$C:$S,6,0)</f>
        <v>42</v>
      </c>
      <c r="D72" s="12">
        <f>VLOOKUP($A72,'Operating Main Budget'!$C:$S,7,0)</f>
        <v>42</v>
      </c>
      <c r="E72" s="12">
        <f>VLOOKUP($A72,'Operating Main Budget'!$C:$S,8,0)</f>
        <v>42</v>
      </c>
      <c r="F72" s="12">
        <f>VLOOKUP($A72,'Operating Main Budget'!$C:$S,9,0)</f>
        <v>42</v>
      </c>
      <c r="G72" s="12">
        <f>VLOOKUP($A72,'Operating Main Budget'!$C:$S,10,0)</f>
        <v>42</v>
      </c>
      <c r="H72" s="12">
        <f>VLOOKUP($A72,'Operating Main Budget'!$C:$S,11,0)</f>
        <v>42</v>
      </c>
      <c r="I72" s="12">
        <f>VLOOKUP($A72,'Operating Main Budget'!$C:$S,12,0)</f>
        <v>42</v>
      </c>
      <c r="J72" s="12">
        <f>VLOOKUP($A72,'Operating Main Budget'!$C:$S,13,0)</f>
        <v>42</v>
      </c>
      <c r="K72" s="12">
        <f>VLOOKUP($A72,'Operating Main Budget'!$C:$S,14,0)</f>
        <v>42</v>
      </c>
      <c r="L72" s="12">
        <f>VLOOKUP($A72,'Operating Main Budget'!$C:$S,15,0)</f>
        <v>42</v>
      </c>
      <c r="M72" s="12">
        <f>VLOOKUP($A72,'Operating Main Budget'!$C:$S,16,0)</f>
        <v>42</v>
      </c>
      <c r="N72" s="12">
        <f>VLOOKUP($A72,'Operating Main Budget'!$C:$S,17,0)</f>
        <v>38</v>
      </c>
    </row>
    <row r="73" spans="1:14" x14ac:dyDescent="0.25">
      <c r="A73" s="7" t="s">
        <v>923</v>
      </c>
      <c r="C73" s="12">
        <f>VLOOKUP($A73,'Operating Main Budget'!$C:$S,6,0)</f>
        <v>10984</v>
      </c>
      <c r="D73" s="12">
        <f>VLOOKUP($A73,'Operating Main Budget'!$C:$S,7,0)</f>
        <v>10984</v>
      </c>
      <c r="E73" s="12">
        <f>VLOOKUP($A73,'Operating Main Budget'!$C:$S,8,0)</f>
        <v>10984</v>
      </c>
      <c r="F73" s="12">
        <f>VLOOKUP($A73,'Operating Main Budget'!$C:$S,9,0)</f>
        <v>10984</v>
      </c>
      <c r="G73" s="12">
        <f>VLOOKUP($A73,'Operating Main Budget'!$C:$S,10,0)</f>
        <v>10984</v>
      </c>
      <c r="H73" s="12">
        <f>VLOOKUP($A73,'Operating Main Budget'!$C:$S,11,0)</f>
        <v>10984</v>
      </c>
      <c r="I73" s="12">
        <f>VLOOKUP($A73,'Operating Main Budget'!$C:$S,12,0)</f>
        <v>10984</v>
      </c>
      <c r="J73" s="12">
        <f>VLOOKUP($A73,'Operating Main Budget'!$C:$S,13,0)</f>
        <v>10984</v>
      </c>
      <c r="K73" s="12">
        <f>VLOOKUP($A73,'Operating Main Budget'!$C:$S,14,0)</f>
        <v>10984</v>
      </c>
      <c r="L73" s="12">
        <f>VLOOKUP($A73,'Operating Main Budget'!$C:$S,15,0)</f>
        <v>10984</v>
      </c>
      <c r="M73" s="12">
        <f>VLOOKUP($A73,'Operating Main Budget'!$C:$S,16,0)</f>
        <v>10984</v>
      </c>
      <c r="N73" s="12">
        <f>VLOOKUP($A73,'Operating Main Budget'!$C:$S,17,0)</f>
        <v>10982</v>
      </c>
    </row>
    <row r="74" spans="1:14" x14ac:dyDescent="0.25">
      <c r="A74" s="7" t="s">
        <v>243</v>
      </c>
      <c r="C74" s="12">
        <f>VLOOKUP($A74,'Operating Main Budget'!$C:$S,6,0)</f>
        <v>467</v>
      </c>
      <c r="D74" s="12">
        <f>VLOOKUP($A74,'Operating Main Budget'!$C:$S,7,0)</f>
        <v>467</v>
      </c>
      <c r="E74" s="12">
        <f>VLOOKUP($A74,'Operating Main Budget'!$C:$S,8,0)</f>
        <v>467</v>
      </c>
      <c r="F74" s="12">
        <f>VLOOKUP($A74,'Operating Main Budget'!$C:$S,9,0)</f>
        <v>467</v>
      </c>
      <c r="G74" s="12">
        <f>VLOOKUP($A74,'Operating Main Budget'!$C:$S,10,0)</f>
        <v>467</v>
      </c>
      <c r="H74" s="12">
        <f>VLOOKUP($A74,'Operating Main Budget'!$C:$S,11,0)</f>
        <v>467</v>
      </c>
      <c r="I74" s="12">
        <f>VLOOKUP($A74,'Operating Main Budget'!$C:$S,12,0)</f>
        <v>467</v>
      </c>
      <c r="J74" s="12">
        <f>VLOOKUP($A74,'Operating Main Budget'!$C:$S,13,0)</f>
        <v>467</v>
      </c>
      <c r="K74" s="12">
        <f>VLOOKUP($A74,'Operating Main Budget'!$C:$S,14,0)</f>
        <v>467</v>
      </c>
      <c r="L74" s="12">
        <f>VLOOKUP($A74,'Operating Main Budget'!$C:$S,15,0)</f>
        <v>467</v>
      </c>
      <c r="M74" s="12">
        <f>VLOOKUP($A74,'Operating Main Budget'!$C:$S,16,0)</f>
        <v>467</v>
      </c>
      <c r="N74" s="12">
        <f>VLOOKUP($A74,'Operating Main Budget'!$C:$S,17,0)</f>
        <v>463</v>
      </c>
    </row>
    <row r="75" spans="1:14" x14ac:dyDescent="0.25">
      <c r="A75" s="7" t="s">
        <v>247</v>
      </c>
      <c r="C75" s="12">
        <f>VLOOKUP($A75,'Operating Main Budget'!$C:$S,6,0)</f>
        <v>633</v>
      </c>
      <c r="D75" s="12">
        <f>VLOOKUP($A75,'Operating Main Budget'!$C:$S,7,0)</f>
        <v>633</v>
      </c>
      <c r="E75" s="12">
        <f>VLOOKUP($A75,'Operating Main Budget'!$C:$S,8,0)</f>
        <v>633</v>
      </c>
      <c r="F75" s="12">
        <f>VLOOKUP($A75,'Operating Main Budget'!$C:$S,9,0)</f>
        <v>633</v>
      </c>
      <c r="G75" s="12">
        <f>VLOOKUP($A75,'Operating Main Budget'!$C:$S,10,0)</f>
        <v>633</v>
      </c>
      <c r="H75" s="12">
        <f>VLOOKUP($A75,'Operating Main Budget'!$C:$S,11,0)</f>
        <v>633</v>
      </c>
      <c r="I75" s="12">
        <f>VLOOKUP($A75,'Operating Main Budget'!$C:$S,12,0)</f>
        <v>633</v>
      </c>
      <c r="J75" s="12">
        <f>VLOOKUP($A75,'Operating Main Budget'!$C:$S,13,0)</f>
        <v>633</v>
      </c>
      <c r="K75" s="12">
        <f>VLOOKUP($A75,'Operating Main Budget'!$C:$S,14,0)</f>
        <v>633</v>
      </c>
      <c r="L75" s="12">
        <f>VLOOKUP($A75,'Operating Main Budget'!$C:$S,15,0)</f>
        <v>633</v>
      </c>
      <c r="M75" s="12">
        <f>VLOOKUP($A75,'Operating Main Budget'!$C:$S,16,0)</f>
        <v>633</v>
      </c>
      <c r="N75" s="12">
        <f>VLOOKUP($A75,'Operating Main Budget'!$C:$S,17,0)</f>
        <v>637</v>
      </c>
    </row>
    <row r="76" spans="1:14" x14ac:dyDescent="0.25">
      <c r="A76" s="7" t="s">
        <v>976</v>
      </c>
      <c r="C76" s="12">
        <f>VLOOKUP($A76,'Operating Main Budget'!$C:$S,6,0)</f>
        <v>996</v>
      </c>
      <c r="D76" s="12">
        <f>VLOOKUP($A76,'Operating Main Budget'!$C:$S,7,0)</f>
        <v>996</v>
      </c>
      <c r="E76" s="12">
        <f>VLOOKUP($A76,'Operating Main Budget'!$C:$S,8,0)</f>
        <v>996</v>
      </c>
      <c r="F76" s="12">
        <f>VLOOKUP($A76,'Operating Main Budget'!$C:$S,9,0)</f>
        <v>996</v>
      </c>
      <c r="G76" s="12">
        <f>VLOOKUP($A76,'Operating Main Budget'!$C:$S,10,0)</f>
        <v>996</v>
      </c>
      <c r="H76" s="12">
        <f>VLOOKUP($A76,'Operating Main Budget'!$C:$S,11,0)</f>
        <v>996</v>
      </c>
      <c r="I76" s="12">
        <f>VLOOKUP($A76,'Operating Main Budget'!$C:$S,12,0)</f>
        <v>996</v>
      </c>
      <c r="J76" s="12">
        <f>VLOOKUP($A76,'Operating Main Budget'!$C:$S,13,0)</f>
        <v>996</v>
      </c>
      <c r="K76" s="12">
        <f>VLOOKUP($A76,'Operating Main Budget'!$C:$S,14,0)</f>
        <v>996</v>
      </c>
      <c r="L76" s="12">
        <f>VLOOKUP($A76,'Operating Main Budget'!$C:$S,15,0)</f>
        <v>996</v>
      </c>
      <c r="M76" s="12">
        <f>VLOOKUP($A76,'Operating Main Budget'!$C:$S,16,0)</f>
        <v>996</v>
      </c>
      <c r="N76" s="12">
        <f>VLOOKUP($A76,'Operating Main Budget'!$C:$S,17,0)</f>
        <v>993</v>
      </c>
    </row>
    <row r="77" spans="1:14" x14ac:dyDescent="0.25">
      <c r="A77" s="7" t="s">
        <v>978</v>
      </c>
      <c r="C77" s="12">
        <f>VLOOKUP($A77,'Operating Main Budget'!$C:$S,6,0)</f>
        <v>10725</v>
      </c>
      <c r="D77" s="12">
        <f>VLOOKUP($A77,'Operating Main Budget'!$C:$S,7,0)</f>
        <v>10725</v>
      </c>
      <c r="E77" s="12">
        <f>VLOOKUP($A77,'Operating Main Budget'!$C:$S,8,0)</f>
        <v>10725</v>
      </c>
      <c r="F77" s="12">
        <f>VLOOKUP($A77,'Operating Main Budget'!$C:$S,9,0)</f>
        <v>10725</v>
      </c>
      <c r="G77" s="12">
        <f>VLOOKUP($A77,'Operating Main Budget'!$C:$S,10,0)</f>
        <v>10725</v>
      </c>
      <c r="H77" s="12">
        <f>VLOOKUP($A77,'Operating Main Budget'!$C:$S,11,0)</f>
        <v>10725</v>
      </c>
      <c r="I77" s="12">
        <f>VLOOKUP($A77,'Operating Main Budget'!$C:$S,12,0)</f>
        <v>10725</v>
      </c>
      <c r="J77" s="12">
        <f>VLOOKUP($A77,'Operating Main Budget'!$C:$S,13,0)</f>
        <v>10725</v>
      </c>
      <c r="K77" s="12">
        <f>VLOOKUP($A77,'Operating Main Budget'!$C:$S,14,0)</f>
        <v>10725</v>
      </c>
      <c r="L77" s="12">
        <f>VLOOKUP($A77,'Operating Main Budget'!$C:$S,15,0)</f>
        <v>10725</v>
      </c>
      <c r="M77" s="12">
        <f>VLOOKUP($A77,'Operating Main Budget'!$C:$S,16,0)</f>
        <v>10725</v>
      </c>
      <c r="N77" s="12">
        <f>VLOOKUP($A77,'Operating Main Budget'!$C:$S,17,0)</f>
        <v>10727</v>
      </c>
    </row>
    <row r="78" spans="1:14" x14ac:dyDescent="0.25">
      <c r="A78" s="7" t="s">
        <v>939</v>
      </c>
      <c r="C78" s="12">
        <f>VLOOKUP($A78,'Operating Main Budget'!$C:$S,6,0)</f>
        <v>40431</v>
      </c>
      <c r="D78" s="12">
        <f>VLOOKUP($A78,'Operating Main Budget'!$C:$S,7,0)</f>
        <v>40431</v>
      </c>
      <c r="E78" s="12">
        <f>VLOOKUP($A78,'Operating Main Budget'!$C:$S,8,0)</f>
        <v>40431</v>
      </c>
      <c r="F78" s="12">
        <f>VLOOKUP($A78,'Operating Main Budget'!$C:$S,9,0)</f>
        <v>40431</v>
      </c>
      <c r="G78" s="12">
        <f>VLOOKUP($A78,'Operating Main Budget'!$C:$S,10,0)</f>
        <v>40431</v>
      </c>
      <c r="H78" s="12">
        <f>VLOOKUP($A78,'Operating Main Budget'!$C:$S,11,0)</f>
        <v>40431</v>
      </c>
      <c r="I78" s="12">
        <f>VLOOKUP($A78,'Operating Main Budget'!$C:$S,12,0)</f>
        <v>40431</v>
      </c>
      <c r="J78" s="12">
        <f>VLOOKUP($A78,'Operating Main Budget'!$C:$S,13,0)</f>
        <v>40431</v>
      </c>
      <c r="K78" s="12">
        <f>VLOOKUP($A78,'Operating Main Budget'!$C:$S,14,0)</f>
        <v>40431</v>
      </c>
      <c r="L78" s="12">
        <f>VLOOKUP($A78,'Operating Main Budget'!$C:$S,15,0)</f>
        <v>40431</v>
      </c>
      <c r="M78" s="12">
        <f>VLOOKUP($A78,'Operating Main Budget'!$C:$S,16,0)</f>
        <v>40431</v>
      </c>
      <c r="N78" s="12">
        <f>VLOOKUP($A78,'Operating Main Budget'!$C:$S,17,0)</f>
        <v>40433</v>
      </c>
    </row>
  </sheetData>
  <sortState ref="A4:N45">
    <sortCondition ref="A4"/>
  </sortState>
  <pageMargins left="0.7" right="0.7" top="0.75" bottom="0.75" header="0.3" footer="0.3"/>
  <pageSetup scale="62" orientation="landscape" r:id="rId1"/>
  <headerFooter>
    <oddFooter>&amp;C&amp;P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zoomScaleNormal="100" workbookViewId="0"/>
  </sheetViews>
  <sheetFormatPr defaultRowHeight="15" x14ac:dyDescent="0.25"/>
  <sheetData>
    <row r="1" spans="1:14" x14ac:dyDescent="0.25">
      <c r="A1" s="2" t="s">
        <v>1497</v>
      </c>
      <c r="B1">
        <v>2013</v>
      </c>
    </row>
    <row r="2" spans="1:14" x14ac:dyDescent="0.25">
      <c r="C2" t="s">
        <v>1397</v>
      </c>
      <c r="D2" t="s">
        <v>1398</v>
      </c>
      <c r="E2" t="s">
        <v>1399</v>
      </c>
      <c r="F2" t="s">
        <v>1400</v>
      </c>
      <c r="G2" t="s">
        <v>1401</v>
      </c>
      <c r="H2" t="s">
        <v>1402</v>
      </c>
      <c r="I2" t="s">
        <v>1403</v>
      </c>
      <c r="J2" t="s">
        <v>1404</v>
      </c>
      <c r="K2" t="s">
        <v>1405</v>
      </c>
      <c r="L2" t="s">
        <v>1406</v>
      </c>
      <c r="M2" t="s">
        <v>1407</v>
      </c>
      <c r="N2" t="s">
        <v>1408</v>
      </c>
    </row>
    <row r="3" spans="1:14" x14ac:dyDescent="0.25">
      <c r="C3">
        <v>2013</v>
      </c>
      <c r="D3">
        <v>2013</v>
      </c>
      <c r="E3">
        <v>2013</v>
      </c>
      <c r="F3">
        <v>2013</v>
      </c>
      <c r="G3">
        <v>2013</v>
      </c>
      <c r="H3">
        <v>2013</v>
      </c>
      <c r="I3">
        <v>2013</v>
      </c>
      <c r="J3">
        <v>2013</v>
      </c>
      <c r="K3">
        <v>2013</v>
      </c>
      <c r="L3">
        <v>2013</v>
      </c>
      <c r="M3">
        <v>2013</v>
      </c>
      <c r="N3">
        <v>2013</v>
      </c>
    </row>
    <row r="4" spans="1:14" x14ac:dyDescent="0.25">
      <c r="A4" s="5" t="s">
        <v>1078</v>
      </c>
      <c r="C4" s="3">
        <f>VLOOKUP($A4,'Reserve Budget Main'!$C:$S,6,0)</f>
        <v>-40431</v>
      </c>
      <c r="D4" s="3">
        <f>VLOOKUP($A4,'Reserve Budget Main'!$C:$S,7,0)</f>
        <v>-40431</v>
      </c>
      <c r="E4" s="3">
        <f>VLOOKUP($A4,'Reserve Budget Main'!$C:$S,8,0)</f>
        <v>-40431</v>
      </c>
      <c r="F4" s="3">
        <f>VLOOKUP($A4,'Reserve Budget Main'!$C:$S,9,0)</f>
        <v>-40431</v>
      </c>
      <c r="G4" s="3">
        <f>VLOOKUP($A4,'Reserve Budget Main'!$C:$S,10,0)</f>
        <v>-40431</v>
      </c>
      <c r="H4" s="3">
        <f>VLOOKUP($A4,'Reserve Budget Main'!$C:$S,11,0)</f>
        <v>-40431</v>
      </c>
      <c r="I4" s="3">
        <f>VLOOKUP($A4,'Reserve Budget Main'!$C:$S,12,0)</f>
        <v>-40431</v>
      </c>
      <c r="J4" s="3">
        <f>VLOOKUP($A4,'Reserve Budget Main'!$C:$S,13,0)</f>
        <v>-40431</v>
      </c>
      <c r="K4" s="3">
        <f>VLOOKUP($A4,'Reserve Budget Main'!$C:$S,14,0)</f>
        <v>-40431</v>
      </c>
      <c r="L4" s="3">
        <f>VLOOKUP($A4,'Reserve Budget Main'!$C:$S,15,0)</f>
        <v>-40431</v>
      </c>
      <c r="M4" s="3">
        <f>VLOOKUP($A4,'Reserve Budget Main'!$C:$S,16,0)</f>
        <v>-40431</v>
      </c>
      <c r="N4" s="3">
        <f>VLOOKUP($A4,'Reserve Budget Main'!$C:$S,17,0)</f>
        <v>-40433</v>
      </c>
    </row>
    <row r="5" spans="1:14" x14ac:dyDescent="0.25">
      <c r="A5" t="s">
        <v>1317</v>
      </c>
      <c r="C5" s="3">
        <f>VLOOKUP($A5,'Reserve Budget Main'!$C:$S,6,0)</f>
        <v>200</v>
      </c>
      <c r="D5" s="3">
        <f>VLOOKUP($A5,'Reserve Budget Main'!$C:$S,7,0)</f>
        <v>200</v>
      </c>
      <c r="E5" s="3">
        <f>VLOOKUP($A5,'Reserve Budget Main'!$C:$S,8,0)</f>
        <v>200</v>
      </c>
      <c r="F5" s="3">
        <f>VLOOKUP($A5,'Reserve Budget Main'!$C:$S,9,0)</f>
        <v>200</v>
      </c>
      <c r="G5" s="3">
        <f>VLOOKUP($A5,'Reserve Budget Main'!$C:$S,10,0)</f>
        <v>200</v>
      </c>
      <c r="H5" s="3">
        <f>VLOOKUP($A5,'Reserve Budget Main'!$C:$S,11,0)</f>
        <v>200</v>
      </c>
      <c r="I5" s="3">
        <f>VLOOKUP($A5,'Reserve Budget Main'!$C:$S,12,0)</f>
        <v>200</v>
      </c>
      <c r="J5" s="3">
        <f>VLOOKUP($A5,'Reserve Budget Main'!$C:$S,13,0)</f>
        <v>200</v>
      </c>
      <c r="K5" s="3">
        <f>VLOOKUP($A5,'Reserve Budget Main'!$C:$S,14,0)</f>
        <v>200</v>
      </c>
      <c r="L5" s="3">
        <f>VLOOKUP($A5,'Reserve Budget Main'!$C:$S,15,0)</f>
        <v>200</v>
      </c>
      <c r="M5" s="3">
        <f>VLOOKUP($A5,'Reserve Budget Main'!$C:$S,16,0)</f>
        <v>200</v>
      </c>
      <c r="N5" s="3">
        <f>VLOOKUP($A5,'Reserve Budget Main'!$C:$S,17,0)</f>
        <v>200</v>
      </c>
    </row>
    <row r="6" spans="1:14" x14ac:dyDescent="0.25">
      <c r="A6" t="s">
        <v>1277</v>
      </c>
      <c r="C6" s="3">
        <f>VLOOKUP($A6,'Reserve Budget Main'!$C:$S,6,0)</f>
        <v>125</v>
      </c>
      <c r="D6" s="3">
        <f>VLOOKUP($A6,'Reserve Budget Main'!$C:$S,7,0)</f>
        <v>125</v>
      </c>
      <c r="E6" s="3">
        <f>VLOOKUP($A6,'Reserve Budget Main'!$C:$S,8,0)</f>
        <v>125</v>
      </c>
      <c r="F6" s="3">
        <f>VLOOKUP($A6,'Reserve Budget Main'!$C:$S,9,0)</f>
        <v>125</v>
      </c>
      <c r="G6" s="3">
        <f>VLOOKUP($A6,'Reserve Budget Main'!$C:$S,10,0)</f>
        <v>125</v>
      </c>
      <c r="H6" s="3">
        <f>VLOOKUP($A6,'Reserve Budget Main'!$C:$S,11,0)</f>
        <v>125</v>
      </c>
      <c r="I6" s="3">
        <f>VLOOKUP($A6,'Reserve Budget Main'!$C:$S,12,0)</f>
        <v>125</v>
      </c>
      <c r="J6" s="3">
        <f>VLOOKUP($A6,'Reserve Budget Main'!$C:$S,13,0)</f>
        <v>125</v>
      </c>
      <c r="K6" s="3">
        <f>VLOOKUP($A6,'Reserve Budget Main'!$C:$S,14,0)</f>
        <v>125</v>
      </c>
      <c r="L6" s="3">
        <f>VLOOKUP($A6,'Reserve Budget Main'!$C:$S,15,0)</f>
        <v>125</v>
      </c>
      <c r="M6" s="3">
        <f>VLOOKUP($A6,'Reserve Budget Main'!$C:$S,16,0)</f>
        <v>125</v>
      </c>
      <c r="N6" s="3">
        <f>VLOOKUP($A6,'Reserve Budget Main'!$C:$S,17,0)</f>
        <v>125</v>
      </c>
    </row>
    <row r="7" spans="1:14" x14ac:dyDescent="0.25">
      <c r="A7" t="s">
        <v>1271</v>
      </c>
      <c r="C7" s="3">
        <f>VLOOKUP($A7,'Reserve Budget Main'!$C:$S,6,0)</f>
        <v>8333</v>
      </c>
      <c r="D7" s="3">
        <f>VLOOKUP($A7,'Reserve Budget Main'!$C:$S,7,0)</f>
        <v>8333</v>
      </c>
      <c r="E7" s="3">
        <f>VLOOKUP($A7,'Reserve Budget Main'!$C:$S,8,0)</f>
        <v>8333</v>
      </c>
      <c r="F7" s="3">
        <f>VLOOKUP($A7,'Reserve Budget Main'!$C:$S,9,0)</f>
        <v>8333</v>
      </c>
      <c r="G7" s="3">
        <f>VLOOKUP($A7,'Reserve Budget Main'!$C:$S,10,0)</f>
        <v>8333</v>
      </c>
      <c r="H7" s="3">
        <f>VLOOKUP($A7,'Reserve Budget Main'!$C:$S,11,0)</f>
        <v>8333</v>
      </c>
      <c r="I7" s="3">
        <f>VLOOKUP($A7,'Reserve Budget Main'!$C:$S,12,0)</f>
        <v>8333</v>
      </c>
      <c r="J7" s="3">
        <f>VLOOKUP($A7,'Reserve Budget Main'!$C:$S,13,0)</f>
        <v>8333</v>
      </c>
      <c r="K7" s="3">
        <f>VLOOKUP($A7,'Reserve Budget Main'!$C:$S,14,0)</f>
        <v>8333</v>
      </c>
      <c r="L7" s="3">
        <f>VLOOKUP($A7,'Reserve Budget Main'!$C:$S,15,0)</f>
        <v>8333</v>
      </c>
      <c r="M7" s="3">
        <f>VLOOKUP($A7,'Reserve Budget Main'!$C:$S,16,0)</f>
        <v>8333</v>
      </c>
      <c r="N7" s="3">
        <f>VLOOKUP($A7,'Reserve Budget Main'!$C:$S,17,0)</f>
        <v>8337</v>
      </c>
    </row>
    <row r="8" spans="1:14" x14ac:dyDescent="0.25">
      <c r="A8" t="s">
        <v>1207</v>
      </c>
      <c r="C8" s="3">
        <f>VLOOKUP($A8,'Reserve Budget Main'!$C:$S,6,0)</f>
        <v>292</v>
      </c>
      <c r="D8" s="3">
        <f>VLOOKUP($A8,'Reserve Budget Main'!$C:$S,7,0)</f>
        <v>292</v>
      </c>
      <c r="E8" s="3">
        <f>VLOOKUP($A8,'Reserve Budget Main'!$C:$S,8,0)</f>
        <v>292</v>
      </c>
      <c r="F8" s="3">
        <f>VLOOKUP($A8,'Reserve Budget Main'!$C:$S,9,0)</f>
        <v>292</v>
      </c>
      <c r="G8" s="3">
        <f>VLOOKUP($A8,'Reserve Budget Main'!$C:$S,10,0)</f>
        <v>292</v>
      </c>
      <c r="H8" s="3">
        <f>VLOOKUP($A8,'Reserve Budget Main'!$C:$S,11,0)</f>
        <v>292</v>
      </c>
      <c r="I8" s="3">
        <f>VLOOKUP($A8,'Reserve Budget Main'!$C:$S,12,0)</f>
        <v>292</v>
      </c>
      <c r="J8" s="3">
        <f>VLOOKUP($A8,'Reserve Budget Main'!$C:$S,13,0)</f>
        <v>292</v>
      </c>
      <c r="K8" s="3">
        <f>VLOOKUP($A8,'Reserve Budget Main'!$C:$S,14,0)</f>
        <v>292</v>
      </c>
      <c r="L8" s="3">
        <f>VLOOKUP($A8,'Reserve Budget Main'!$C:$S,15,0)</f>
        <v>292</v>
      </c>
      <c r="M8" s="3">
        <f>VLOOKUP($A8,'Reserve Budget Main'!$C:$S,16,0)</f>
        <v>292</v>
      </c>
      <c r="N8" s="3">
        <f>VLOOKUP($A8,'Reserve Budget Main'!$C:$S,17,0)</f>
        <v>288</v>
      </c>
    </row>
    <row r="9" spans="1:14" x14ac:dyDescent="0.25">
      <c r="A9" t="s">
        <v>1199</v>
      </c>
      <c r="C9" s="3">
        <f>VLOOKUP($A9,'Reserve Budget Main'!$C:$S,6,0)</f>
        <v>18333</v>
      </c>
      <c r="D9" s="3">
        <f>VLOOKUP($A9,'Reserve Budget Main'!$C:$S,7,0)</f>
        <v>18333</v>
      </c>
      <c r="E9" s="3">
        <f>VLOOKUP($A9,'Reserve Budget Main'!$C:$S,8,0)</f>
        <v>18333</v>
      </c>
      <c r="F9" s="3">
        <f>VLOOKUP($A9,'Reserve Budget Main'!$C:$S,9,0)</f>
        <v>18333</v>
      </c>
      <c r="G9" s="3">
        <f>VLOOKUP($A9,'Reserve Budget Main'!$C:$S,10,0)</f>
        <v>18333</v>
      </c>
      <c r="H9" s="3">
        <f>VLOOKUP($A9,'Reserve Budget Main'!$C:$S,11,0)</f>
        <v>18333</v>
      </c>
      <c r="I9" s="3">
        <f>VLOOKUP($A9,'Reserve Budget Main'!$C:$S,12,0)</f>
        <v>18333</v>
      </c>
      <c r="J9" s="3">
        <f>VLOOKUP($A9,'Reserve Budget Main'!$C:$S,13,0)</f>
        <v>18333</v>
      </c>
      <c r="K9" s="3">
        <f>VLOOKUP($A9,'Reserve Budget Main'!$C:$S,14,0)</f>
        <v>18333</v>
      </c>
      <c r="L9" s="3">
        <f>VLOOKUP($A9,'Reserve Budget Main'!$C:$S,15,0)</f>
        <v>18333</v>
      </c>
      <c r="M9" s="3">
        <f>VLOOKUP($A9,'Reserve Budget Main'!$C:$S,16,0)</f>
        <v>18333</v>
      </c>
      <c r="N9" s="3">
        <f>VLOOKUP($A9,'Reserve Budget Main'!$C:$S,17,0)</f>
        <v>18337</v>
      </c>
    </row>
    <row r="10" spans="1:14" x14ac:dyDescent="0.25">
      <c r="A10" t="s">
        <v>1321</v>
      </c>
      <c r="C10" s="3">
        <f>VLOOKUP($A10,'Reserve Budget Main'!$C:$S,6,0)</f>
        <v>383</v>
      </c>
      <c r="D10" s="3">
        <f>VLOOKUP($A10,'Reserve Budget Main'!$C:$S,7,0)</f>
        <v>383</v>
      </c>
      <c r="E10" s="3">
        <f>VLOOKUP($A10,'Reserve Budget Main'!$C:$S,8,0)</f>
        <v>383</v>
      </c>
      <c r="F10" s="3">
        <f>VLOOKUP($A10,'Reserve Budget Main'!$C:$S,9,0)</f>
        <v>383</v>
      </c>
      <c r="G10" s="3">
        <f>VLOOKUP($A10,'Reserve Budget Main'!$C:$S,10,0)</f>
        <v>383</v>
      </c>
      <c r="H10" s="3">
        <f>VLOOKUP($A10,'Reserve Budget Main'!$C:$S,11,0)</f>
        <v>383</v>
      </c>
      <c r="I10" s="3">
        <f>VLOOKUP($A10,'Reserve Budget Main'!$C:$S,12,0)</f>
        <v>383</v>
      </c>
      <c r="J10" s="3">
        <f>VLOOKUP($A10,'Reserve Budget Main'!$C:$S,13,0)</f>
        <v>383</v>
      </c>
      <c r="K10" s="3">
        <f>VLOOKUP($A10,'Reserve Budget Main'!$C:$S,14,0)</f>
        <v>383</v>
      </c>
      <c r="L10" s="3">
        <f>VLOOKUP($A10,'Reserve Budget Main'!$C:$S,15,0)</f>
        <v>383</v>
      </c>
      <c r="M10" s="3">
        <f>VLOOKUP($A10,'Reserve Budget Main'!$C:$S,16,0)</f>
        <v>383</v>
      </c>
      <c r="N10" s="3">
        <f>VLOOKUP($A10,'Reserve Budget Main'!$C:$S,17,0)</f>
        <v>387</v>
      </c>
    </row>
    <row r="11" spans="1:14" x14ac:dyDescent="0.25">
      <c r="A11" t="s">
        <v>1232</v>
      </c>
      <c r="C11" s="3">
        <f>VLOOKUP($A11,'Reserve Budget Main'!$C:$S,6,0)</f>
        <v>1000</v>
      </c>
      <c r="D11" s="3">
        <f>VLOOKUP($A11,'Reserve Budget Main'!$C:$S,7,0)</f>
        <v>1000</v>
      </c>
      <c r="E11" s="3">
        <f>VLOOKUP($A11,'Reserve Budget Main'!$C:$S,8,0)</f>
        <v>1000</v>
      </c>
      <c r="F11" s="3">
        <f>VLOOKUP($A11,'Reserve Budget Main'!$C:$S,9,0)</f>
        <v>1000</v>
      </c>
      <c r="G11" s="3">
        <f>VLOOKUP($A11,'Reserve Budget Main'!$C:$S,10,0)</f>
        <v>1000</v>
      </c>
      <c r="H11" s="3">
        <f>VLOOKUP($A11,'Reserve Budget Main'!$C:$S,11,0)</f>
        <v>1000</v>
      </c>
      <c r="I11" s="3">
        <f>VLOOKUP($A11,'Reserve Budget Main'!$C:$S,12,0)</f>
        <v>1000</v>
      </c>
      <c r="J11" s="3">
        <f>VLOOKUP($A11,'Reserve Budget Main'!$C:$S,13,0)</f>
        <v>1000</v>
      </c>
      <c r="K11" s="3">
        <f>VLOOKUP($A11,'Reserve Budget Main'!$C:$S,14,0)</f>
        <v>1000</v>
      </c>
      <c r="L11" s="3">
        <f>VLOOKUP($A11,'Reserve Budget Main'!$C:$S,15,0)</f>
        <v>1000</v>
      </c>
      <c r="M11" s="3">
        <f>VLOOKUP($A11,'Reserve Budget Main'!$C:$S,16,0)</f>
        <v>1000</v>
      </c>
      <c r="N11" s="3">
        <f>VLOOKUP($A11,'Reserve Budget Main'!$C:$S,17,0)</f>
        <v>1000</v>
      </c>
    </row>
    <row r="12" spans="1:14" x14ac:dyDescent="0.25">
      <c r="A12" t="s">
        <v>1244</v>
      </c>
      <c r="C12" s="3">
        <f>VLOOKUP($A12,'Reserve Budget Main'!$C:$S,6,0)</f>
        <v>500</v>
      </c>
      <c r="D12" s="3">
        <f>VLOOKUP($A12,'Reserve Budget Main'!$C:$S,7,0)</f>
        <v>500</v>
      </c>
      <c r="E12" s="3">
        <f>VLOOKUP($A12,'Reserve Budget Main'!$C:$S,8,0)</f>
        <v>500</v>
      </c>
      <c r="F12" s="3">
        <f>VLOOKUP($A12,'Reserve Budget Main'!$C:$S,9,0)</f>
        <v>500</v>
      </c>
      <c r="G12" s="3">
        <f>VLOOKUP($A12,'Reserve Budget Main'!$C:$S,10,0)</f>
        <v>500</v>
      </c>
      <c r="H12" s="3">
        <f>VLOOKUP($A12,'Reserve Budget Main'!$C:$S,11,0)</f>
        <v>500</v>
      </c>
      <c r="I12" s="3">
        <f>VLOOKUP($A12,'Reserve Budget Main'!$C:$S,12,0)</f>
        <v>500</v>
      </c>
      <c r="J12" s="3">
        <f>VLOOKUP($A12,'Reserve Budget Main'!$C:$S,13,0)</f>
        <v>500</v>
      </c>
      <c r="K12" s="3">
        <f>VLOOKUP($A12,'Reserve Budget Main'!$C:$S,14,0)</f>
        <v>500</v>
      </c>
      <c r="L12" s="3">
        <f>VLOOKUP($A12,'Reserve Budget Main'!$C:$S,15,0)</f>
        <v>500</v>
      </c>
      <c r="M12" s="3">
        <f>VLOOKUP($A12,'Reserve Budget Main'!$C:$S,16,0)</f>
        <v>500</v>
      </c>
      <c r="N12" s="3">
        <f>VLOOKUP($A12,'Reserve Budget Main'!$C:$S,17,0)</f>
        <v>500</v>
      </c>
    </row>
    <row r="13" spans="1:14" x14ac:dyDescent="0.25">
      <c r="A13" t="s">
        <v>1179</v>
      </c>
      <c r="C13" s="3">
        <f>VLOOKUP($A13,'Reserve Budget Main'!$C:$S,6,0)</f>
        <v>1000</v>
      </c>
      <c r="D13" s="3">
        <f>VLOOKUP($A13,'Reserve Budget Main'!$C:$S,7,0)</f>
        <v>1000</v>
      </c>
      <c r="E13" s="3">
        <f>VLOOKUP($A13,'Reserve Budget Main'!$C:$S,8,0)</f>
        <v>1000</v>
      </c>
      <c r="F13" s="3">
        <f>VLOOKUP($A13,'Reserve Budget Main'!$C:$S,9,0)</f>
        <v>1000</v>
      </c>
      <c r="G13" s="3">
        <f>VLOOKUP($A13,'Reserve Budget Main'!$C:$S,10,0)</f>
        <v>1000</v>
      </c>
      <c r="H13" s="3">
        <f>VLOOKUP($A13,'Reserve Budget Main'!$C:$S,11,0)</f>
        <v>1000</v>
      </c>
      <c r="I13" s="3">
        <f>VLOOKUP($A13,'Reserve Budget Main'!$C:$S,12,0)</f>
        <v>1000</v>
      </c>
      <c r="J13" s="3">
        <f>VLOOKUP($A13,'Reserve Budget Main'!$C:$S,13,0)</f>
        <v>1000</v>
      </c>
      <c r="K13" s="3">
        <f>VLOOKUP($A13,'Reserve Budget Main'!$C:$S,14,0)</f>
        <v>1000</v>
      </c>
      <c r="L13" s="3">
        <f>VLOOKUP($A13,'Reserve Budget Main'!$C:$S,15,0)</f>
        <v>1000</v>
      </c>
      <c r="M13" s="3">
        <f>VLOOKUP($A13,'Reserve Budget Main'!$C:$S,16,0)</f>
        <v>1000</v>
      </c>
      <c r="N13" s="3">
        <f>VLOOKUP($A13,'Reserve Budget Main'!$C:$S,17,0)</f>
        <v>1000</v>
      </c>
    </row>
    <row r="14" spans="1:14" x14ac:dyDescent="0.25">
      <c r="A14" t="s">
        <v>1238</v>
      </c>
      <c r="C14" s="3">
        <f>VLOOKUP($A14,'Reserve Budget Main'!$C:$S,6,0)</f>
        <v>3333</v>
      </c>
      <c r="D14" s="3">
        <f>VLOOKUP($A14,'Reserve Budget Main'!$C:$S,7,0)</f>
        <v>3333</v>
      </c>
      <c r="E14" s="3">
        <f>VLOOKUP($A14,'Reserve Budget Main'!$C:$S,8,0)</f>
        <v>3333</v>
      </c>
      <c r="F14" s="3">
        <f>VLOOKUP($A14,'Reserve Budget Main'!$C:$S,9,0)</f>
        <v>3333</v>
      </c>
      <c r="G14" s="3">
        <f>VLOOKUP($A14,'Reserve Budget Main'!$C:$S,10,0)</f>
        <v>3333</v>
      </c>
      <c r="H14" s="3">
        <f>VLOOKUP($A14,'Reserve Budget Main'!$C:$S,11,0)</f>
        <v>3333</v>
      </c>
      <c r="I14" s="3">
        <f>VLOOKUP($A14,'Reserve Budget Main'!$C:$S,12,0)</f>
        <v>3333</v>
      </c>
      <c r="J14" s="3">
        <f>VLOOKUP($A14,'Reserve Budget Main'!$C:$S,13,0)</f>
        <v>3333</v>
      </c>
      <c r="K14" s="3">
        <f>VLOOKUP($A14,'Reserve Budget Main'!$C:$S,14,0)</f>
        <v>3333</v>
      </c>
      <c r="L14" s="3">
        <f>VLOOKUP($A14,'Reserve Budget Main'!$C:$S,15,0)</f>
        <v>3333</v>
      </c>
      <c r="M14" s="3">
        <f>VLOOKUP($A14,'Reserve Budget Main'!$C:$S,16,0)</f>
        <v>3333</v>
      </c>
      <c r="N14" s="3">
        <f>VLOOKUP($A14,'Reserve Budget Main'!$C:$S,17,0)</f>
        <v>3337</v>
      </c>
    </row>
    <row r="15" spans="1:14" x14ac:dyDescent="0.25">
      <c r="A15" t="s">
        <v>1185</v>
      </c>
      <c r="C15" s="3">
        <f>VLOOKUP($A15,'Reserve Budget Main'!$C:$S,6,0)</f>
        <v>833</v>
      </c>
      <c r="D15" s="3">
        <f>VLOOKUP($A15,'Reserve Budget Main'!$C:$S,7,0)</f>
        <v>833</v>
      </c>
      <c r="E15" s="3">
        <f>VLOOKUP($A15,'Reserve Budget Main'!$C:$S,8,0)</f>
        <v>833</v>
      </c>
      <c r="F15" s="3">
        <f>VLOOKUP($A15,'Reserve Budget Main'!$C:$S,9,0)</f>
        <v>833</v>
      </c>
      <c r="G15" s="3">
        <f>VLOOKUP($A15,'Reserve Budget Main'!$C:$S,10,0)</f>
        <v>833</v>
      </c>
      <c r="H15" s="3">
        <f>VLOOKUP($A15,'Reserve Budget Main'!$C:$S,11,0)</f>
        <v>833</v>
      </c>
      <c r="I15" s="3">
        <f>VLOOKUP($A15,'Reserve Budget Main'!$C:$S,12,0)</f>
        <v>833</v>
      </c>
      <c r="J15" s="3">
        <f>VLOOKUP($A15,'Reserve Budget Main'!$C:$S,13,0)</f>
        <v>833</v>
      </c>
      <c r="K15" s="3">
        <f>VLOOKUP($A15,'Reserve Budget Main'!$C:$S,14,0)</f>
        <v>833</v>
      </c>
      <c r="L15" s="3">
        <f>VLOOKUP($A15,'Reserve Budget Main'!$C:$S,15,0)</f>
        <v>833</v>
      </c>
      <c r="M15" s="3">
        <f>VLOOKUP($A15,'Reserve Budget Main'!$C:$S,16,0)</f>
        <v>833</v>
      </c>
      <c r="N15" s="3">
        <f>VLOOKUP($A15,'Reserve Budget Main'!$C:$S,17,0)</f>
        <v>837</v>
      </c>
    </row>
    <row r="16" spans="1:14" x14ac:dyDescent="0.25">
      <c r="A16" t="s">
        <v>1173</v>
      </c>
      <c r="C16" s="3">
        <f>VLOOKUP($A16,'Reserve Budget Main'!$C:$S,6,0)</f>
        <v>417</v>
      </c>
      <c r="D16" s="3">
        <f>VLOOKUP($A16,'Reserve Budget Main'!$C:$S,7,0)</f>
        <v>417</v>
      </c>
      <c r="E16" s="3">
        <f>VLOOKUP($A16,'Reserve Budget Main'!$C:$S,8,0)</f>
        <v>417</v>
      </c>
      <c r="F16" s="3">
        <f>VLOOKUP($A16,'Reserve Budget Main'!$C:$S,9,0)</f>
        <v>417</v>
      </c>
      <c r="G16" s="3">
        <f>VLOOKUP($A16,'Reserve Budget Main'!$C:$S,10,0)</f>
        <v>417</v>
      </c>
      <c r="H16" s="3">
        <f>VLOOKUP($A16,'Reserve Budget Main'!$C:$S,11,0)</f>
        <v>417</v>
      </c>
      <c r="I16" s="3">
        <f>VLOOKUP($A16,'Reserve Budget Main'!$C:$S,12,0)</f>
        <v>417</v>
      </c>
      <c r="J16" s="3">
        <f>VLOOKUP($A16,'Reserve Budget Main'!$C:$S,13,0)</f>
        <v>417</v>
      </c>
      <c r="K16" s="3">
        <f>VLOOKUP($A16,'Reserve Budget Main'!$C:$S,14,0)</f>
        <v>417</v>
      </c>
      <c r="L16" s="3">
        <f>VLOOKUP($A16,'Reserve Budget Main'!$C:$S,15,0)</f>
        <v>417</v>
      </c>
      <c r="M16" s="3">
        <f>VLOOKUP($A16,'Reserve Budget Main'!$C:$S,16,0)</f>
        <v>417</v>
      </c>
      <c r="N16" s="3">
        <f>VLOOKUP($A16,'Reserve Budget Main'!$C:$S,17,0)</f>
        <v>413</v>
      </c>
    </row>
    <row r="17" spans="1:14" x14ac:dyDescent="0.25">
      <c r="A17" t="s">
        <v>1180</v>
      </c>
      <c r="C17" s="3">
        <f>VLOOKUP($A17,'Reserve Budget Main'!$C:$S,6,0)</f>
        <v>667</v>
      </c>
      <c r="D17" s="3">
        <f>VLOOKUP($A17,'Reserve Budget Main'!$C:$S,7,0)</f>
        <v>667</v>
      </c>
      <c r="E17" s="3">
        <f>VLOOKUP($A17,'Reserve Budget Main'!$C:$S,8,0)</f>
        <v>667</v>
      </c>
      <c r="F17" s="3">
        <f>VLOOKUP($A17,'Reserve Budget Main'!$C:$S,9,0)</f>
        <v>667</v>
      </c>
      <c r="G17" s="3">
        <f>VLOOKUP($A17,'Reserve Budget Main'!$C:$S,10,0)</f>
        <v>667</v>
      </c>
      <c r="H17" s="3">
        <f>VLOOKUP($A17,'Reserve Budget Main'!$C:$S,11,0)</f>
        <v>667</v>
      </c>
      <c r="I17" s="3">
        <f>VLOOKUP($A17,'Reserve Budget Main'!$C:$S,12,0)</f>
        <v>667</v>
      </c>
      <c r="J17" s="3">
        <f>VLOOKUP($A17,'Reserve Budget Main'!$C:$S,13,0)</f>
        <v>667</v>
      </c>
      <c r="K17" s="3">
        <f>VLOOKUP($A17,'Reserve Budget Main'!$C:$S,14,0)</f>
        <v>667</v>
      </c>
      <c r="L17" s="3">
        <f>VLOOKUP($A17,'Reserve Budget Main'!$C:$S,15,0)</f>
        <v>667</v>
      </c>
      <c r="M17" s="3">
        <f>VLOOKUP($A17,'Reserve Budget Main'!$C:$S,16,0)</f>
        <v>667</v>
      </c>
      <c r="N17" s="3">
        <f>VLOOKUP($A17,'Reserve Budget Main'!$C:$S,17,0)</f>
        <v>663</v>
      </c>
    </row>
    <row r="18" spans="1:14" x14ac:dyDescent="0.25">
      <c r="A18" t="s">
        <v>1181</v>
      </c>
      <c r="C18" s="3">
        <f>VLOOKUP($A18,'Reserve Budget Main'!$C:$S,6,0)</f>
        <v>200</v>
      </c>
      <c r="D18" s="3">
        <f>VLOOKUP($A18,'Reserve Budget Main'!$C:$S,7,0)</f>
        <v>200</v>
      </c>
      <c r="E18" s="3">
        <f>VLOOKUP($A18,'Reserve Budget Main'!$C:$S,8,0)</f>
        <v>200</v>
      </c>
      <c r="F18" s="3">
        <f>VLOOKUP($A18,'Reserve Budget Main'!$C:$S,9,0)</f>
        <v>200</v>
      </c>
      <c r="G18" s="3">
        <f>VLOOKUP($A18,'Reserve Budget Main'!$C:$S,10,0)</f>
        <v>200</v>
      </c>
      <c r="H18" s="3">
        <f>VLOOKUP($A18,'Reserve Budget Main'!$C:$S,11,0)</f>
        <v>200</v>
      </c>
      <c r="I18" s="3">
        <f>VLOOKUP($A18,'Reserve Budget Main'!$C:$S,12,0)</f>
        <v>200</v>
      </c>
      <c r="J18" s="3">
        <f>VLOOKUP($A18,'Reserve Budget Main'!$C:$S,13,0)</f>
        <v>200</v>
      </c>
      <c r="K18" s="3">
        <f>VLOOKUP($A18,'Reserve Budget Main'!$C:$S,14,0)</f>
        <v>200</v>
      </c>
      <c r="L18" s="3">
        <f>VLOOKUP($A18,'Reserve Budget Main'!$C:$S,15,0)</f>
        <v>200</v>
      </c>
      <c r="M18" s="3">
        <f>VLOOKUP($A18,'Reserve Budget Main'!$C:$S,16,0)</f>
        <v>200</v>
      </c>
      <c r="N18" s="3">
        <f>VLOOKUP($A18,'Reserve Budget Main'!$C:$S,17,0)</f>
        <v>200</v>
      </c>
    </row>
    <row r="19" spans="1:14" x14ac:dyDescent="0.25">
      <c r="A19" t="s">
        <v>1195</v>
      </c>
      <c r="C19" s="3">
        <f>VLOOKUP($A19,'Reserve Budget Main'!$C:$S,6,0)</f>
        <v>483</v>
      </c>
      <c r="D19" s="3">
        <f>VLOOKUP($A19,'Reserve Budget Main'!$C:$S,7,0)</f>
        <v>483</v>
      </c>
      <c r="E19" s="3">
        <f>VLOOKUP($A19,'Reserve Budget Main'!$C:$S,8,0)</f>
        <v>483</v>
      </c>
      <c r="F19" s="3">
        <f>VLOOKUP($A19,'Reserve Budget Main'!$C:$S,9,0)</f>
        <v>483</v>
      </c>
      <c r="G19" s="3">
        <f>VLOOKUP($A19,'Reserve Budget Main'!$C:$S,10,0)</f>
        <v>483</v>
      </c>
      <c r="H19" s="3">
        <f>VLOOKUP($A19,'Reserve Budget Main'!$C:$S,11,0)</f>
        <v>483</v>
      </c>
      <c r="I19" s="3">
        <f>VLOOKUP($A19,'Reserve Budget Main'!$C:$S,12,0)</f>
        <v>483</v>
      </c>
      <c r="J19" s="3">
        <f>VLOOKUP($A19,'Reserve Budget Main'!$C:$S,13,0)</f>
        <v>483</v>
      </c>
      <c r="K19" s="3">
        <f>VLOOKUP($A19,'Reserve Budget Main'!$C:$S,14,0)</f>
        <v>483</v>
      </c>
      <c r="L19" s="3">
        <f>VLOOKUP($A19,'Reserve Budget Main'!$C:$S,15,0)</f>
        <v>483</v>
      </c>
      <c r="M19" s="3">
        <f>VLOOKUP($A19,'Reserve Budget Main'!$C:$S,16,0)</f>
        <v>483</v>
      </c>
      <c r="N19" s="3">
        <f>VLOOKUP($A19,'Reserve Budget Main'!$C:$S,17,0)</f>
        <v>487</v>
      </c>
    </row>
    <row r="20" spans="1:14" x14ac:dyDescent="0.25">
      <c r="A20" t="s">
        <v>1182</v>
      </c>
      <c r="C20" s="3">
        <f>VLOOKUP($A20,'Reserve Budget Main'!$C:$S,6,0)</f>
        <v>167</v>
      </c>
      <c r="D20" s="3">
        <f>VLOOKUP($A20,'Reserve Budget Main'!$C:$S,7,0)</f>
        <v>167</v>
      </c>
      <c r="E20" s="3">
        <f>VLOOKUP($A20,'Reserve Budget Main'!$C:$S,8,0)</f>
        <v>167</v>
      </c>
      <c r="F20" s="3">
        <f>VLOOKUP($A20,'Reserve Budget Main'!$C:$S,9,0)</f>
        <v>167</v>
      </c>
      <c r="G20" s="3">
        <f>VLOOKUP($A20,'Reserve Budget Main'!$C:$S,10,0)</f>
        <v>167</v>
      </c>
      <c r="H20" s="3">
        <f>VLOOKUP($A20,'Reserve Budget Main'!$C:$S,11,0)</f>
        <v>167</v>
      </c>
      <c r="I20" s="3">
        <f>VLOOKUP($A20,'Reserve Budget Main'!$C:$S,12,0)</f>
        <v>167</v>
      </c>
      <c r="J20" s="3">
        <f>VLOOKUP($A20,'Reserve Budget Main'!$C:$S,13,0)</f>
        <v>167</v>
      </c>
      <c r="K20" s="3">
        <f>VLOOKUP($A20,'Reserve Budget Main'!$C:$S,14,0)</f>
        <v>167</v>
      </c>
      <c r="L20" s="3">
        <f>VLOOKUP($A20,'Reserve Budget Main'!$C:$S,15,0)</f>
        <v>167</v>
      </c>
      <c r="M20" s="3">
        <f>VLOOKUP($A20,'Reserve Budget Main'!$C:$S,16,0)</f>
        <v>167</v>
      </c>
      <c r="N20" s="3">
        <f>VLOOKUP($A20,'Reserve Budget Main'!$C:$S,17,0)</f>
        <v>163</v>
      </c>
    </row>
    <row r="21" spans="1:14" x14ac:dyDescent="0.25">
      <c r="A21" t="s">
        <v>1279</v>
      </c>
      <c r="C21" s="3">
        <f>VLOOKUP($A21,'Reserve Budget Main'!$C:$S,6,0)</f>
        <v>125</v>
      </c>
      <c r="D21" s="3">
        <f>VLOOKUP($A21,'Reserve Budget Main'!$C:$S,7,0)</f>
        <v>125</v>
      </c>
      <c r="E21" s="3">
        <f>VLOOKUP($A21,'Reserve Budget Main'!$C:$S,8,0)</f>
        <v>125</v>
      </c>
      <c r="F21" s="3">
        <f>VLOOKUP($A21,'Reserve Budget Main'!$C:$S,9,0)</f>
        <v>125</v>
      </c>
      <c r="G21" s="3">
        <f>VLOOKUP($A21,'Reserve Budget Main'!$C:$S,10,0)</f>
        <v>125</v>
      </c>
      <c r="H21" s="3">
        <f>VLOOKUP($A21,'Reserve Budget Main'!$C:$S,11,0)</f>
        <v>125</v>
      </c>
      <c r="I21" s="3">
        <f>VLOOKUP($A21,'Reserve Budget Main'!$C:$S,12,0)</f>
        <v>125</v>
      </c>
      <c r="J21" s="3">
        <f>VLOOKUP($A21,'Reserve Budget Main'!$C:$S,13,0)</f>
        <v>125</v>
      </c>
      <c r="K21" s="3">
        <f>VLOOKUP($A21,'Reserve Budget Main'!$C:$S,14,0)</f>
        <v>125</v>
      </c>
      <c r="L21" s="3">
        <f>VLOOKUP($A21,'Reserve Budget Main'!$C:$S,15,0)</f>
        <v>125</v>
      </c>
      <c r="M21" s="3">
        <f>VLOOKUP($A21,'Reserve Budget Main'!$C:$S,16,0)</f>
        <v>125</v>
      </c>
      <c r="N21" s="3">
        <f>VLOOKUP($A21,'Reserve Budget Main'!$C:$S,17,0)</f>
        <v>125</v>
      </c>
    </row>
    <row r="22" spans="1:14" x14ac:dyDescent="0.25">
      <c r="A22" s="2" t="s">
        <v>1084</v>
      </c>
      <c r="C22" s="3">
        <f>VLOOKUP($A22,'Reserve Budget Main'!$C:$S,6,0)</f>
        <v>-11721</v>
      </c>
      <c r="D22" s="3">
        <f>VLOOKUP($A22,'Reserve Budget Main'!$C:$S,7,0)</f>
        <v>-11721</v>
      </c>
      <c r="E22" s="3">
        <f>VLOOKUP($A22,'Reserve Budget Main'!$C:$S,8,0)</f>
        <v>-11721</v>
      </c>
      <c r="F22" s="3">
        <f>VLOOKUP($A22,'Reserve Budget Main'!$C:$S,9,0)</f>
        <v>-11721</v>
      </c>
      <c r="G22" s="3">
        <f>VLOOKUP($A22,'Reserve Budget Main'!$C:$S,10,0)</f>
        <v>-11721</v>
      </c>
      <c r="H22" s="3">
        <f>VLOOKUP($A22,'Reserve Budget Main'!$C:$S,11,0)</f>
        <v>-11721</v>
      </c>
      <c r="I22" s="3">
        <f>VLOOKUP($A22,'Reserve Budget Main'!$C:$S,12,0)</f>
        <v>-11721</v>
      </c>
      <c r="J22" s="3">
        <f>VLOOKUP($A22,'Reserve Budget Main'!$C:$S,13,0)</f>
        <v>-11721</v>
      </c>
      <c r="K22" s="3">
        <f>VLOOKUP($A22,'Reserve Budget Main'!$C:$S,14,0)</f>
        <v>-11721</v>
      </c>
      <c r="L22" s="3">
        <f>VLOOKUP($A22,'Reserve Budget Main'!$C:$S,15,0)</f>
        <v>-11721</v>
      </c>
      <c r="M22" s="3">
        <f>VLOOKUP($A22,'Reserve Budget Main'!$C:$S,16,0)</f>
        <v>-11721</v>
      </c>
      <c r="N22" s="3">
        <f>VLOOKUP($A22,'Reserve Budget Main'!$C:$S,17,0)</f>
        <v>-11719</v>
      </c>
    </row>
    <row r="23" spans="1:14" x14ac:dyDescent="0.25">
      <c r="A23" s="2" t="s">
        <v>1325</v>
      </c>
      <c r="C23" s="3">
        <f>VLOOKUP($A23,'Reserve Budget Main'!$C:$S,6,0)</f>
        <v>996</v>
      </c>
      <c r="D23" s="3">
        <f>VLOOKUP($A23,'Reserve Budget Main'!$C:$S,7,0)</f>
        <v>996</v>
      </c>
      <c r="E23" s="3">
        <f>VLOOKUP($A23,'Reserve Budget Main'!$C:$S,8,0)</f>
        <v>996</v>
      </c>
      <c r="F23" s="3">
        <f>VLOOKUP($A23,'Reserve Budget Main'!$C:$S,9,0)</f>
        <v>996</v>
      </c>
      <c r="G23" s="3">
        <f>VLOOKUP($A23,'Reserve Budget Main'!$C:$S,10,0)</f>
        <v>996</v>
      </c>
      <c r="H23" s="3">
        <f>VLOOKUP($A23,'Reserve Budget Main'!$C:$S,11,0)</f>
        <v>996</v>
      </c>
      <c r="I23" s="3">
        <f>VLOOKUP($A23,'Reserve Budget Main'!$C:$S,12,0)</f>
        <v>996</v>
      </c>
      <c r="J23" s="3">
        <f>VLOOKUP($A23,'Reserve Budget Main'!$C:$S,13,0)</f>
        <v>996</v>
      </c>
      <c r="K23" s="3">
        <f>VLOOKUP($A23,'Reserve Budget Main'!$C:$S,14,0)</f>
        <v>996</v>
      </c>
      <c r="L23" s="3">
        <f>VLOOKUP($A23,'Reserve Budget Main'!$C:$S,15,0)</f>
        <v>996</v>
      </c>
      <c r="M23" s="3">
        <f>VLOOKUP($A23,'Reserve Budget Main'!$C:$S,16,0)</f>
        <v>996</v>
      </c>
      <c r="N23" s="3">
        <f>VLOOKUP($A23,'Reserve Budget Main'!$C:$S,17,0)</f>
        <v>993</v>
      </c>
    </row>
    <row r="24" spans="1:14" x14ac:dyDescent="0.25">
      <c r="A24" t="s">
        <v>1326</v>
      </c>
      <c r="C24" s="3">
        <f>VLOOKUP($A24,'Reserve Budget Main'!$C:$S,6,0)</f>
        <v>10725</v>
      </c>
      <c r="D24" s="3">
        <f>VLOOKUP($A24,'Reserve Budget Main'!$C:$S,7,0)</f>
        <v>10725</v>
      </c>
      <c r="E24" s="3">
        <f>VLOOKUP($A24,'Reserve Budget Main'!$C:$S,8,0)</f>
        <v>10725</v>
      </c>
      <c r="F24" s="3">
        <f>VLOOKUP($A24,'Reserve Budget Main'!$C:$S,9,0)</f>
        <v>10725</v>
      </c>
      <c r="G24" s="3">
        <f>VLOOKUP($A24,'Reserve Budget Main'!$C:$S,10,0)</f>
        <v>10725</v>
      </c>
      <c r="H24" s="3">
        <f>VLOOKUP($A24,'Reserve Budget Main'!$C:$S,11,0)</f>
        <v>10725</v>
      </c>
      <c r="I24" s="3">
        <f>VLOOKUP($A24,'Reserve Budget Main'!$C:$S,12,0)</f>
        <v>10725</v>
      </c>
      <c r="J24" s="3">
        <f>VLOOKUP($A24,'Reserve Budget Main'!$C:$S,13,0)</f>
        <v>10725</v>
      </c>
      <c r="K24" s="3">
        <f>VLOOKUP($A24,'Reserve Budget Main'!$C:$S,14,0)</f>
        <v>10725</v>
      </c>
      <c r="L24" s="3">
        <f>VLOOKUP($A24,'Reserve Budget Main'!$C:$S,15,0)</f>
        <v>10725</v>
      </c>
      <c r="M24" s="3">
        <f>VLOOKUP($A24,'Reserve Budget Main'!$C:$S,16,0)</f>
        <v>10725</v>
      </c>
      <c r="N24" s="3">
        <f>VLOOKUP($A24,'Reserve Budget Main'!$C:$S,17,0)</f>
        <v>10727</v>
      </c>
    </row>
    <row r="25" spans="1:14" x14ac:dyDescent="0.25">
      <c r="A25" t="s">
        <v>1089</v>
      </c>
      <c r="C25" s="3">
        <f>VLOOKUP($A25,'Reserve Budget Main'!$C:$S,6,0)</f>
        <v>-67</v>
      </c>
      <c r="D25" s="3">
        <f>VLOOKUP($A25,'Reserve Budget Main'!$C:$S,7,0)</f>
        <v>-67</v>
      </c>
      <c r="E25" s="3">
        <f>VLOOKUP($A25,'Reserve Budget Main'!$C:$S,8,0)</f>
        <v>-67</v>
      </c>
      <c r="F25" s="3">
        <f>VLOOKUP($A25,'Reserve Budget Main'!$C:$S,9,0)</f>
        <v>-67</v>
      </c>
      <c r="G25" s="3">
        <f>VLOOKUP($A25,'Reserve Budget Main'!$C:$S,10,0)</f>
        <v>-67</v>
      </c>
      <c r="H25" s="3">
        <f>VLOOKUP($A25,'Reserve Budget Main'!$C:$S,11,0)</f>
        <v>-67</v>
      </c>
      <c r="I25" s="3">
        <f>VLOOKUP($A25,'Reserve Budget Main'!$C:$S,12,0)</f>
        <v>-67</v>
      </c>
      <c r="J25" s="3">
        <f>VLOOKUP($A25,'Reserve Budget Main'!$C:$S,13,0)</f>
        <v>-67</v>
      </c>
      <c r="K25" s="3">
        <f>VLOOKUP($A25,'Reserve Budget Main'!$C:$S,14,0)</f>
        <v>-67</v>
      </c>
      <c r="L25" s="3">
        <f>VLOOKUP($A25,'Reserve Budget Main'!$C:$S,15,0)</f>
        <v>-67</v>
      </c>
      <c r="M25" s="3">
        <f>VLOOKUP($A25,'Reserve Budget Main'!$C:$S,16,0)</f>
        <v>-67</v>
      </c>
      <c r="N25" s="3">
        <f>VLOOKUP($A25,'Reserve Budget Main'!$C:$S,17,0)</f>
        <v>-63</v>
      </c>
    </row>
  </sheetData>
  <pageMargins left="0.7" right="0.7" top="0.75" bottom="0.75" header="0.3" footer="0.3"/>
  <pageSetup scale="62" orientation="landscape" r:id="rId1"/>
  <headerFooter>
    <oddFooter>&amp;C&amp;P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LU</vt:lpstr>
      <vt:lpstr>Operating Main Budget</vt:lpstr>
      <vt:lpstr>Reserve Budget Main</vt:lpstr>
      <vt:lpstr>Operating Upload</vt:lpstr>
      <vt:lpstr>Reserve Upload</vt:lpstr>
      <vt:lpstr>gllu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Lahey</dc:creator>
  <cp:lastModifiedBy>Lisette</cp:lastModifiedBy>
  <cp:lastPrinted>2013-01-07T16:33:40Z</cp:lastPrinted>
  <dcterms:created xsi:type="dcterms:W3CDTF">2012-03-05T22:35:51Z</dcterms:created>
  <dcterms:modified xsi:type="dcterms:W3CDTF">2013-02-20T19:59:05Z</dcterms:modified>
</cp:coreProperties>
</file>