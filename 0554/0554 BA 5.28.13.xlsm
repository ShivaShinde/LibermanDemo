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A196" i="1" s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51" i="11"/>
  <c r="A143" i="11"/>
  <c r="A135" i="11"/>
  <c r="A175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BA214" i="1"/>
  <c r="C82" i="11"/>
  <c r="C62" i="11"/>
  <c r="BA349" i="1"/>
  <c r="A340" i="11"/>
  <c r="BA239" i="1"/>
  <c r="BA237" i="1"/>
  <c r="BA235" i="1"/>
  <c r="BA197" i="1"/>
  <c r="BA240" i="1"/>
  <c r="BA236" i="1"/>
  <c r="BA198" i="1"/>
  <c r="C95" i="11"/>
  <c r="C363" i="11"/>
  <c r="BA347" i="1"/>
  <c r="BA331" i="1"/>
  <c r="BA273" i="1"/>
  <c r="A261" i="11"/>
  <c r="BA252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65" i="11"/>
  <c r="A262" i="11"/>
  <c r="A222" i="11"/>
  <c r="A255" i="11"/>
  <c r="A282" i="11"/>
  <c r="A224" i="11"/>
  <c r="A183" i="1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22" i="1" l="1"/>
  <c r="BA334" i="1"/>
  <c r="A283" i="11"/>
  <c r="A339" i="11"/>
  <c r="A349" i="11"/>
  <c r="A245" i="11"/>
  <c r="BA308" i="1"/>
  <c r="A311" i="11"/>
  <c r="BA262" i="1"/>
  <c r="A213" i="11"/>
  <c r="A153" i="11"/>
  <c r="A159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<sst xmlns="http://schemas.openxmlformats.org/spreadsheetml/2006/main" count="90603" uniqueCount="45020">
  <si>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</si>
  <si>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</si>
  <si>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</si>
  <si>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</si>
  <si>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</si>
  <si>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</si>
  <si>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</si>
  <si>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</si>
  <si>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</si>
  <si>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</si>
  <si>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</si>
  <si>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</si>
  <si>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</si>
  <si>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</si>
  <si>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</si>
  <si>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</si>
  <si>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</si>
  <si>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</si>
  <si>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</si>
  <si>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</si>
  <si>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</si>
  <si>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</si>
  <si>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</si>
  <si>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</si>
  <si>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</si>
  <si>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</si>
  <si>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</si>
  <si>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</si>
  <si>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</si>
  <si>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</si>
  <si>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</si>
  <si>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</si>
  <si>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</si>
  <si>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</si>
  <si>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</si>
  <si>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</si>
  <si>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</si>
  <si>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</si>
  <si>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</si>
  <si>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</si>
  <si>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</si>
  <si>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</si>
  <si>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</si>
  <si>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</si>
  <si>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</si>
  <si>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</si>
  <si>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</si>
  <si>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</si>
  <si>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</si>
  <si>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</si>
  <si>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</si>
  <si>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</si>
  <si>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</si>
  <si>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</si>
  <si>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</si>
  <si>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</si>
  <si>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</si>
  <si>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</si>
  <si>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</si>
  <si>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</si>
  <si>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</si>
  <si>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</si>
  <si>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</si>
  <si>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</si>
  <si>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</si>
  <si>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</si>
  <si>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</si>
  <si>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</si>
  <si>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</si>
  <si>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</si>
  <si>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</si>
  <si>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</si>
  <si>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</si>
  <si>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</si>
  <si>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</si>
  <si>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</si>
  <si>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</si>
  <si>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</si>
  <si>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</si>
  <si>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</si>
  <si>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</si>
  <si>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</si>
  <si>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</si>
  <si>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</si>
  <si>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</si>
  <si>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</si>
  <si>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</si>
  <si>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</si>
  <si>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</si>
  <si>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</si>
  <si>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</si>
  <si>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</si>
  <si>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</si>
  <si>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</si>
  <si>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</si>
  <si>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</si>
  <si>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</si>
  <si>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</si>
  <si>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</si>
  <si>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</si>
  <si>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</si>
  <si>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</si>
  <si>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</si>
  <si>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</si>
  <si>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</si>
  <si>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</si>
  <si>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</si>
  <si>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</si>
  <si>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</si>
  <si>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</si>
  <si>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</si>
  <si>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</si>
  <si>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</si>
  <si>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</si>
  <si>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</si>
  <si>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</si>
  <si>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</si>
  <si>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</si>
  <si>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</si>
  <si>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</si>
  <si>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</si>
  <si>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</si>
  <si>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</si>
  <si>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</si>
  <si>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</si>
  <si>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</si>
  <si>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</si>
  <si>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</si>
  <si>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</si>
  <si>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</si>
  <si>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</si>
  <si>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</si>
  <si>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</si>
  <si>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</si>
  <si>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</si>
  <si>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</si>
  <si>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</si>
  <si>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</si>
  <si>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</si>
  <si>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</si>
  <si>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</si>
  <si>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</si>
  <si>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</si>
  <si>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</si>
  <si>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</si>
  <si>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</si>
  <si>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</si>
  <si>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</si>
  <si>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</si>
  <si>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</si>
  <si>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</si>
  <si>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</si>
  <si>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</si>
  <si>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</si>
  <si>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</si>
  <si>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</si>
  <si>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</si>
  <si>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</si>
  <si>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</si>
  <si>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</si>
  <si>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</si>
  <si>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</si>
  <si>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</si>
  <si>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</si>
  <si>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</si>
  <si>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</si>
  <si>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</si>
  <si>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</si>
  <si>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</si>
  <si>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</si>
  <si>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</si>
  <si>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</si>
  <si>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</si>
  <si>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</si>
  <si>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</si>
  <si>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</si>
  <si>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</si>
  <si>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</si>
  <si>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</si>
  <si>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</si>
  <si>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</si>
  <si>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</si>
  <si>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</si>
  <si>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</si>
  <si>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</si>
  <si>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</si>
  <si>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</si>
  <si>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</si>
  <si>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</si>
  <si>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</si>
  <si>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</si>
  <si>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</si>
  <si>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</si>
  <si>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</si>
  <si>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</si>
  <si>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</si>
  <si>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</si>
  <si>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</si>
  <si>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</si>
  <si>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</si>
  <si>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</si>
  <si>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</si>
  <si>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</si>
  <si>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</si>
  <si>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</si>
  <si>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</si>
  <si>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</si>
  <si>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</si>
  <si>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</si>
  <si>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</si>
  <si>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</si>
  <si>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</si>
  <si>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</si>
  <si>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</si>
  <si>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</si>
  <si>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</si>
  <si>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</si>
  <si>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</si>
  <si>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</si>
  <si>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</si>
  <si>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</si>
  <si>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</si>
  <si>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</si>
  <si>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</si>
  <si>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</si>
  <si>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</si>
  <si>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</si>
  <si>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</si>
  <si>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</si>
  <si>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</si>
  <si>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</si>
  <si>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</si>
  <si>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</si>
  <si>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</si>
  <si>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</si>
  <si>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</si>
  <si>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</si>
  <si>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</si>
  <si>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</si>
  <si>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</si>
  <si>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</si>
  <si>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</si>
  <si>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</si>
  <si>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</si>
  <si>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</si>
  <si>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</si>
  <si>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</si>
  <si>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</si>
  <si>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</si>
  <si>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</si>
  <si>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</si>
  <si>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</si>
  <si>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</si>
  <si>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</si>
  <si>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</si>
  <si>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</si>
  <si>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</si>
  <si>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</si>
  <si>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</si>
  <si>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</si>
  <si>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</si>
  <si>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</si>
  <si>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</si>
  <si>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</si>
  <si>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</si>
  <si>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</si>
  <si>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</si>
  <si>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</si>
  <si>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</si>
  <si>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</si>
  <si>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</si>
  <si>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</si>
  <si>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</si>
  <si>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</si>
  <si>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</si>
  <si>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</si>
  <si>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</si>
  <si>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</si>
  <si>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</si>
  <si>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</si>
  <si>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</si>
  <si>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</si>
  <si>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</si>
  <si>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</si>
  <si>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</si>
  <si>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</si>
  <si>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</si>
  <si>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</si>
  <si>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</si>
  <si>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</si>
  <si>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</si>
  <si>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</si>
  <si>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</si>
  <si>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</si>
  <si>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</si>
  <si>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</si>
  <si>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</si>
  <si>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</si>
  <si>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</si>
  <si>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</si>
  <si>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</si>
  <si>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</si>
  <si>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</si>
  <si>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</si>
  <si>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</si>
  <si>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</si>
  <si>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</si>
  <si>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</si>
  <si>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</si>
  <si>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</si>
  <si>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</si>
  <si>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</si>
  <si>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</si>
  <si>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</si>
  <si>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</si>
  <si>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</si>
  <si>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</si>
  <si>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</si>
  <si>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</si>
  <si>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</si>
  <si>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</si>
  <si>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</si>
  <si>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</si>
  <si>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</si>
  <si>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</si>
  <si>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</si>
  <si>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</si>
  <si>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</si>
  <si>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</si>
  <si>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</si>
  <si>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</si>
  <si>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</si>
  <si>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</si>
  <si>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</si>
  <si>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</si>
  <si>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</si>
  <si>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</si>
  <si>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</si>
  <si>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</si>
  <si>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</si>
  <si>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</si>
  <si>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</si>
  <si>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</si>
  <si>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</si>
  <si>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</si>
  <si>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</si>
  <si>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</si>
  <si>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</si>
  <si>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</si>
  <si>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</si>
  <si>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</si>
  <si>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</si>
  <si>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</si>
  <si>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</si>
  <si>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</si>
  <si>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</si>
  <si>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</si>
  <si>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</si>
  <si>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</si>
  <si>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</si>
  <si>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</si>
  <si>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</si>
  <si>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</si>
  <si>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</si>
  <si>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</si>
  <si>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</si>
  <si>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</si>
  <si>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</si>
  <si>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</si>
  <si>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</si>
  <si>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</si>
  <si>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</si>
  <si>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</si>
  <si>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</si>
  <si>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</si>
  <si>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</si>
  <si>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</si>
  <si>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</si>
  <si>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</si>
  <si>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</si>
  <si>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</si>
  <si>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</si>
  <si>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</si>
  <si>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</si>
  <si>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</si>
  <si>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</si>
  <si>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</si>
  <si>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</si>
  <si>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</si>
  <si>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</si>
  <si>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</si>
  <si>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</si>
  <si>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</si>
  <si>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</si>
  <si>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</si>
  <si>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</si>
  <si>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</si>
  <si>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</si>
  <si>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</si>
  <si>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</si>
  <si>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</si>
  <si>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</si>
  <si>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</si>
  <si>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</si>
  <si>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</si>
  <si>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</si>
  <si>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</si>
  <si>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</si>
  <si>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</si>
  <si>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</si>
  <si>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</si>
  <si>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</si>
  <si>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</si>
  <si>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</si>
  <si>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</si>
  <si>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</si>
  <si>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</si>
  <si>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</si>
  <si>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</si>
  <si>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</si>
  <si>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</si>
  <si>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</si>
  <si>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</si>
  <si>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</si>
  <si>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</si>
  <si>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</si>
  <si>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</si>
  <si>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</si>
  <si>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</si>
  <si>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</si>
  <si>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</si>
  <si>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</si>
  <si>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</si>
  <si>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</si>
  <si>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</si>
  <si>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</si>
  <si>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</si>
  <si>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</si>
  <si>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</si>
  <si>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</si>
  <si>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</si>
  <si>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</si>
  <si>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</si>
  <si>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</si>
  <si>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</si>
  <si>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</si>
  <si>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</si>
  <si>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</si>
  <si>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</si>
  <si>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</si>
  <si>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</si>
  <si>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</si>
  <si>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</si>
  <si>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</si>
  <si>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</si>
  <si>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</si>
  <si>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</si>
  <si>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</si>
  <si>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</si>
  <si>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</si>
  <si>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</si>
  <si>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</si>
  <si>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</si>
  <si>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</si>
  <si>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</si>
  <si>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</si>
  <si>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</si>
  <si>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</si>
  <si>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</si>
  <si>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</si>
  <si>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</si>
  <si>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</si>
  <si>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</si>
  <si>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</si>
  <si>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</si>
  <si>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</si>
  <si>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</si>
  <si>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</si>
  <si>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</si>
  <si>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</si>
  <si>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</si>
  <si>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</si>
  <si>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</si>
  <si>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</si>
  <si>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</si>
  <si>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</si>
  <si>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</si>
  <si>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</si>
  <si>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</si>
  <si>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</si>
  <si>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</si>
  <si>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</si>
  <si>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</si>
  <si>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</si>
  <si>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</si>
  <si>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</si>
  <si>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</si>
  <si>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</si>
  <si>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</si>
  <si>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</si>
  <si>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</si>
  <si>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</si>
  <si>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</si>
  <si>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</si>
  <si>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</si>
  <si>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</si>
  <si>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</si>
  <si>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</si>
  <si>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</si>
  <si>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</si>
  <si>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</si>
  <si>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</si>
  <si>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</si>
  <si>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</si>
  <si>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</si>
  <si>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</si>
  <si>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</si>
  <si>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</si>
  <si>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</si>
  <si>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</si>
  <si>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</si>
  <si>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</si>
  <si>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</si>
  <si>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</si>
  <si>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</si>
  <si>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</si>
  <si>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</si>
  <si>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</si>
  <si>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</si>
  <si>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</si>
  <si>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</si>
  <si>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</si>
  <si>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</si>
  <si>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</si>
  <si>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</si>
  <si>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</si>
  <si>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</si>
  <si>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</si>
  <si>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</si>
  <si>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</si>
  <si>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</si>
  <si>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</si>
  <si>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</si>
  <si>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</si>
  <si>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</si>
  <si>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</si>
  <si>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</si>
  <si>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</si>
  <si>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</si>
  <si>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</si>
  <si>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</si>
  <si>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</si>
  <si>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</si>
  <si>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</si>
  <si>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</si>
  <si>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</si>
  <si>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</si>
  <si>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</si>
  <si>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</si>
  <si>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</si>
  <si>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</si>
  <si>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</si>
  <si>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</si>
  <si>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</si>
  <si>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</si>
  <si>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</si>
  <si>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</si>
  <si>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</si>
  <si>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</si>
  <si>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</si>
  <si>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</si>
  <si>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</si>
  <si>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</si>
  <si>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</si>
  <si>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</si>
  <si>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</si>
  <si>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</si>
  <si>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</si>
  <si>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</si>
  <si>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</si>
  <si>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</si>
  <si>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</si>
  <si>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</si>
  <si>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</si>
  <si>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</si>
  <si>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</si>
  <si>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</si>
  <si>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</si>
  <si>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</si>
  <si>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</si>
  <si>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</si>
  <si>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</si>
  <si>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</si>
  <si>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</si>
  <si>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</si>
  <si>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</si>
  <si>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</si>
  <si>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</si>
  <si>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</si>
  <si>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</si>
  <si>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</si>
  <si>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</si>
  <si>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</si>
  <si>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</si>
  <si>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</si>
  <si>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</si>
  <si>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</si>
  <si>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</si>
  <si>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</si>
  <si>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</si>
  <si>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</si>
  <si>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</si>
  <si>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</si>
  <si>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</si>
  <si>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</si>
  <si>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</si>
  <si>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</si>
  <si>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</si>
  <si>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</si>
  <si>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</si>
  <si>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</si>
  <si>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</si>
  <si>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</si>
  <si>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</si>
  <si>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</si>
  <si>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</si>
  <si>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</si>
  <si>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</si>
  <si>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</si>
  <si>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</si>
  <si>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</si>
  <si>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</si>
  <si>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</si>
  <si>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</si>
  <si>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</si>
  <si>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</si>
  <si>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</si>
  <si>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</si>
  <si>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</si>
  <si>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</si>
  <si>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</si>
  <si>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</si>
  <si>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</si>
  <si>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</si>
  <si>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</si>
  <si>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</si>
  <si>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</si>
  <si>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</si>
  <si>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</si>
  <si>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</si>
  <si>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</si>
  <si>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</si>
  <si>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</si>
  <si>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</si>
  <si>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</si>
  <si>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</si>
  <si>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</si>
  <si>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</si>
  <si>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</si>
  <si>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</si>
  <si>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</si>
  <si>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</si>
  <si>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</si>
  <si>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</si>
  <si>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</si>
  <si>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</si>
  <si>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</si>
  <si>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</si>
  <si>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</si>
  <si>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</si>
  <si>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</si>
  <si>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</si>
  <si>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</si>
  <si>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</si>
  <si>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</si>
  <si>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</si>
  <si>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</si>
  <si>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</si>
  <si>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</si>
  <si>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</si>
  <si>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</si>
  <si>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</si>
  <si>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</si>
  <si>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</si>
  <si>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</si>
  <si>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</si>
  <si>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</si>
  <si>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</si>
  <si>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</si>
  <si>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</si>
  <si>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</si>
  <si>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</si>
  <si>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</si>
  <si>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</si>
  <si>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</si>
  <si>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</si>
  <si>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</si>
  <si>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</si>
  <si>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</si>
  <si>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</si>
  <si>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</si>
  <si>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</si>
  <si>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</si>
  <si>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</si>
  <si>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</si>
  <si>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</si>
  <si>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</si>
  <si>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</si>
  <si>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</si>
  <si>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</si>
  <si>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</si>
  <si>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</si>
  <si>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</si>
  <si>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</si>
  <si>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</si>
  <si>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</si>
  <si>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</si>
  <si>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</si>
  <si>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</si>
  <si>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</si>
  <si>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</si>
  <si>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</si>
  <si>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</si>
  <si>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</si>
  <si>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</si>
  <si>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</si>
  <si>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</si>
  <si>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</si>
  <si>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</si>
  <si>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</si>
  <si>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</si>
  <si>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</si>
  <si>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</si>
  <si>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</si>
  <si>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</si>
  <si>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</si>
  <si>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</si>
  <si>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</si>
  <si>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</si>
  <si>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</si>
  <si>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</si>
  <si>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</si>
  <si>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</si>
  <si>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</si>
  <si>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</si>
  <si>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</si>
  <si>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</si>
  <si>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</si>
  <si>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</si>
  <si>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</si>
  <si>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</si>
  <si>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</si>
  <si>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</si>
  <si>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</si>
  <si>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</si>
  <si>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</si>
  <si>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</si>
  <si>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</si>
  <si>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</si>
  <si>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</si>
  <si>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</si>
  <si>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</si>
  <si>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</si>
  <si>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</si>
  <si>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</si>
  <si>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</si>
  <si>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</si>
  <si>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</si>
  <si>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</si>
  <si>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</si>
  <si>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</si>
  <si>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</si>
  <si>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</si>
  <si>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</si>
  <si>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</si>
  <si>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</si>
  <si>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</si>
  <si>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</si>
  <si>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</si>
  <si>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</si>
  <si>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</si>
  <si>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</si>
  <si>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</si>
  <si>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</si>
  <si>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</si>
  <si>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</si>
  <si>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</si>
  <si>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</si>
  <si>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</si>
  <si>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</si>
  <si>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</si>
  <si>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</si>
  <si>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</si>
  <si>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</si>
  <si>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</si>
  <si>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</si>
  <si>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</si>
  <si>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</si>
  <si>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</si>
  <si>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</si>
  <si>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</si>
  <si>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</si>
  <si>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</si>
  <si>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</si>
  <si>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</si>
  <si>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</si>
  <si>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</si>
  <si>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</si>
  <si>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</si>
  <si>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</si>
  <si>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</si>
  <si>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</si>
  <si>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</si>
  <si>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</si>
  <si>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</si>
  <si>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</si>
  <si>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</si>
  <si>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</si>
  <si>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</si>
  <si>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</si>
  <si>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</si>
  <si>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</si>
  <si>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</si>
  <si>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</si>
  <si>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</si>
  <si>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</si>
  <si>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</si>
  <si>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</si>
  <si>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</si>
  <si>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</si>
  <si>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</si>
  <si>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</si>
  <si>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</si>
  <si>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</si>
  <si>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</si>
  <si>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</si>
  <si>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</si>
  <si>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</si>
  <si>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</si>
  <si>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</si>
  <si>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</si>
  <si>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</si>
  <si>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</si>
  <si>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</si>
  <si>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</si>
  <si>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</si>
  <si>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</si>
  <si>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</si>
  <si>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</si>
  <si>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</si>
  <si>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</si>
  <si>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</si>
  <si>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</si>
  <si>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</si>
  <si>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</si>
  <si>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</si>
  <si>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</si>
  <si>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</si>
  <si>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</si>
  <si>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</si>
  <si>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</si>
  <si>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</si>
  <si>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</si>
  <si>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</si>
  <si>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</si>
  <si>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</si>
  <si>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</si>
  <si>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</si>
  <si>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</si>
  <si>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</si>
  <si>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</si>
  <si>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</si>
  <si>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</si>
  <si>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</si>
  <si>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</si>
  <si>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</si>
  <si>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</si>
  <si>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</si>
  <si>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</si>
  <si>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</si>
  <si>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</si>
  <si>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</si>
  <si>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</si>
  <si>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</si>
  <si>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</si>
  <si>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</si>
  <si>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</si>
  <si>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</si>
  <si>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</si>
  <si>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</si>
  <si>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</si>
  <si>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</si>
  <si>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</si>
  <si>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</si>
  <si>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</si>
  <si>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</si>
  <si>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</si>
  <si>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</si>
  <si>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</si>
  <si>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</si>
  <si>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</si>
  <si>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</si>
  <si>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</si>
  <si>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</si>
  <si>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</si>
  <si>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</si>
  <si>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</si>
  <si>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</si>
  <si>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</si>
  <si>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</si>
  <si>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</si>
  <si>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</si>
  <si>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</si>
  <si>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</si>
  <si>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</si>
  <si>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</si>
  <si>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</si>
  <si>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</si>
  <si>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</si>
  <si>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</si>
  <si>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</si>
  <si>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</si>
  <si>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</si>
  <si>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</si>
  <si>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</si>
  <si>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</si>
  <si>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</si>
  <si>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</si>
  <si>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</si>
  <si>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</si>
  <si>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</si>
  <si>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</si>
  <si>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</si>
  <si>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</si>
  <si>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</si>
  <si>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</si>
  <si>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</si>
  <si>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</si>
  <si>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</si>
  <si>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</si>
  <si>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</si>
  <si>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</si>
  <si>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</si>
  <si>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</si>
  <si>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</si>
  <si>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</si>
  <si>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</si>
  <si>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</si>
  <si>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</si>
  <si>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</si>
  <si>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</si>
  <si>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</si>
  <si>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</si>
  <si>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</si>
  <si>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</si>
  <si>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</si>
  <si>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</si>
  <si>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</si>
  <si>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</si>
  <si>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</si>
  <si>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</si>
  <si>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</si>
  <si>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</si>
  <si>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</si>
  <si>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</si>
  <si>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</si>
  <si>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</si>
  <si>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</si>
  <si>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</si>
  <si>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</si>
  <si>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</si>
  <si>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</si>
  <si>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</si>
  <si>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</si>
  <si>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</si>
  <si>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</si>
  <si>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</si>
  <si>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</si>
  <si>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</si>
  <si>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</si>
  <si>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</si>
  <si>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</si>
  <si>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</si>
  <si>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</si>
  <si>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</si>
  <si>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</si>
  <si>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</si>
  <si>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</si>
  <si>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</si>
  <si>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</si>
  <si>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</si>
  <si>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</si>
  <si>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</si>
  <si>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</si>
  <si>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</si>
  <si>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</si>
  <si>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</si>
  <si>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</si>
  <si>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</si>
  <si>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</si>
  <si>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</si>
  <si>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</si>
  <si>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</si>
  <si>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</si>
  <si>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</si>
  <si>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</si>
  <si>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</si>
  <si>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</si>
  <si>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</si>
  <si>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</si>
  <si>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</si>
  <si>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</si>
  <si>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</si>
  <si>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</si>
  <si>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</si>
  <si>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</si>
  <si>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</si>
  <si>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</si>
  <si>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</si>
  <si>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</si>
  <si>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</si>
  <si>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</si>
  <si>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</si>
  <si>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</si>
  <si>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</si>
  <si>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</si>
  <si>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</si>
  <si>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</si>
  <si>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</si>
  <si>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</si>
  <si>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</si>
  <si>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</si>
  <si>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</si>
  <si>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</si>
  <si>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</si>
  <si>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</si>
  <si>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</si>
  <si>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</si>
  <si>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</si>
  <si>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</si>
  <si>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</si>
  <si>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</si>
  <si>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</si>
  <si>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</si>
  <si>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</si>
  <si>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</si>
  <si>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</si>
  <si>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</si>
  <si>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</si>
  <si>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</si>
  <si>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</si>
  <si>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</si>
  <si>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</si>
  <si>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</si>
  <si>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</si>
  <si>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</si>
  <si>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</si>
  <si>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</si>
  <si>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</si>
  <si>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</si>
  <si>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</si>
  <si>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</si>
  <si>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</si>
  <si>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</si>
  <si>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</si>
  <si>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</si>
  <si>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</si>
  <si>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</si>
  <si>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</si>
  <si>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</si>
  <si>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</si>
  <si>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</si>
  <si>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</si>
  <si>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</si>
  <si>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</si>
  <si>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</si>
  <si>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</si>
  <si>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</si>
  <si>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</si>
  <si>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</si>
  <si>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</si>
  <si>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</si>
  <si>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</si>
  <si>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</si>
  <si>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</si>
  <si>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</si>
  <si>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</si>
  <si>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</si>
  <si>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</si>
  <si>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</si>
  <si>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</si>
  <si>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</si>
  <si>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</si>
  <si>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</si>
  <si>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</si>
  <si>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</si>
  <si>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</si>
  <si>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</si>
  <si>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</si>
  <si>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</si>
  <si>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</si>
  <si>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</si>
  <si>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</si>
  <si>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</si>
  <si>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</si>
  <si>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</si>
  <si>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</si>
  <si>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</si>
  <si>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</si>
  <si>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</si>
  <si>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</si>
  <si>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</si>
  <si>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</si>
  <si>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</si>
  <si>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</si>
  <si>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</si>
  <si>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</si>
  <si>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</si>
  <si>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</si>
  <si>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</si>
  <si>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</si>
  <si>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</si>
  <si>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</si>
  <si>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</si>
  <si>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</si>
  <si>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</si>
  <si>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</si>
  <si>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</si>
  <si>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</si>
  <si>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</si>
  <si>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</si>
  <si>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</si>
  <si>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</si>
  <si>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</si>
  <si>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</si>
  <si>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</si>
  <si>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</si>
  <si>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</si>
  <si>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</si>
  <si>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</si>
  <si>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</si>
  <si>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</si>
  <si>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</si>
  <si>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</si>
  <si>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</si>
  <si>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</si>
  <si>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</si>
  <si>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</si>
  <si>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</si>
  <si>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</si>
  <si>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</si>
  <si>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</si>
  <si>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</si>
  <si>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</si>
  <si>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</si>
  <si>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</si>
  <si>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</si>
  <si>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</si>
  <si>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</si>
  <si>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</si>
  <si>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</si>
  <si>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</si>
  <si>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</si>
  <si>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</si>
  <si>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</si>
  <si>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</si>
  <si>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</si>
  <si>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</si>
  <si>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</si>
  <si>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</si>
  <si>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</si>
  <si>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</si>
  <si>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</si>
  <si>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</si>
  <si>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</si>
  <si>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</si>
  <si>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</si>
  <si>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</si>
  <si>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</si>
  <si>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</si>
  <si>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</si>
  <si>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</si>
  <si>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</si>
  <si>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</si>
  <si>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</si>
  <si>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</si>
  <si>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</si>
  <si>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</si>
  <si>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</si>
  <si>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</si>
  <si>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</si>
  <si>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</si>
  <si>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</si>
  <si>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</si>
  <si>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</si>
  <si>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</si>
  <si>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</si>
  <si>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</si>
  <si>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</si>
  <si>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</si>
  <si>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</si>
  <si>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</si>
  <si>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</si>
  <si>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</si>
  <si>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</si>
  <si>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</si>
  <si>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</si>
  <si>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</si>
  <si>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</si>
  <si>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</si>
  <si>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</si>
  <si>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</si>
  <si>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</si>
  <si>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</si>
  <si>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</si>
  <si>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</si>
  <si>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</si>
  <si>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</si>
  <si>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</si>
  <si>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</si>
  <si>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</si>
  <si>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</si>
  <si>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</si>
  <si>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</si>
  <si>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</si>
  <si>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</si>
  <si>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</si>
  <si>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</si>
  <si>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</si>
  <si>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</si>
  <si>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</si>
  <si>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</si>
  <si>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</si>
  <si>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</si>
  <si>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</si>
  <si>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</si>
  <si>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</si>
  <si>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</si>
  <si>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</si>
  <si>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</si>
  <si>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</si>
  <si>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</si>
  <si>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</si>
  <si>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</si>
  <si>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</si>
  <si>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</si>
  <si>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</si>
  <si>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</si>
  <si>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</si>
  <si>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</si>
  <si>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</si>
  <si>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</si>
  <si>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</si>
  <si>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</si>
  <si>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</si>
  <si>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</si>
  <si>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</si>
  <si>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</si>
  <si>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</si>
  <si>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</si>
  <si>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</si>
  <si>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</si>
  <si>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</si>
  <si>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</si>
  <si>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</si>
  <si>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</si>
  <si>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</si>
  <si>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</si>
  <si>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</si>
  <si>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</si>
  <si>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</si>
  <si>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</si>
  <si>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</si>
  <si>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</si>
  <si>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</si>
  <si>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</si>
  <si>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</si>
  <si>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</si>
  <si>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</si>
  <si>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</si>
  <si>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</si>
  <si>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</si>
  <si>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</si>
  <si>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</si>
  <si>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</si>
  <si>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</si>
  <si>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</si>
  <si>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</si>
  <si>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</si>
  <si>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</si>
  <si>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</si>
  <si>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</si>
  <si>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</si>
  <si>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</si>
  <si>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</si>
  <si>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</si>
  <si>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</si>
  <si>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</si>
  <si>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</si>
  <si>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</si>
  <si>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</si>
  <si>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</si>
  <si>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</si>
  <si>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</si>
  <si>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</si>
  <si>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</si>
  <si>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</si>
  <si>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</si>
  <si>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</si>
  <si>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</si>
  <si>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</si>
  <si>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</si>
  <si>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</si>
  <si>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</si>
  <si>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</si>
  <si>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</si>
  <si>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</si>
  <si>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</si>
  <si>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</si>
  <si>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</si>
  <si>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</si>
  <si>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</si>
  <si>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</si>
  <si>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</si>
  <si>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</si>
  <si>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</si>
  <si>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</si>
  <si>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</si>
  <si>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</si>
  <si>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</si>
  <si>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</si>
  <si>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</si>
  <si>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</si>
  <si>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</si>
  <si>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</si>
  <si>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</si>
  <si>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</si>
  <si>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</si>
  <si>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</si>
  <si>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</si>
  <si>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</si>
  <si>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</si>
  <si>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</si>
  <si>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</si>
  <si>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</si>
  <si>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</si>
  <si>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</si>
  <si>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</si>
  <si>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</si>
  <si>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</si>
  <si>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</si>
  <si>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</si>
  <si>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</si>
  <si>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</si>
  <si>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</si>
  <si>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</si>
  <si>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</si>
  <si>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</si>
  <si>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</si>
  <si>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</si>
  <si>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</si>
  <si>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</si>
  <si>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</si>
  <si>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</si>
  <si>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</si>
  <si>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</si>
  <si>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</si>
  <si>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</si>
  <si>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</si>
  <si>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</si>
  <si>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</si>
  <si>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</si>
  <si>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</si>
  <si>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</si>
  <si>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</si>
  <si>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</si>
  <si>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</si>
  <si>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</si>
  <si>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</si>
  <si>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</si>
  <si>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</si>
  <si>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</si>
  <si>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</si>
  <si>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</si>
  <si>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</si>
  <si>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</si>
  <si>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</si>
  <si>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</si>
  <si>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</si>
  <si>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</si>
  <si>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</si>
  <si>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</si>
  <si>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</si>
  <si>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</si>
  <si>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</si>
  <si>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</si>
  <si>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</si>
  <si>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</si>
  <si>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</si>
  <si>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</si>
  <si>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</si>
  <si>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</si>
  <si>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</si>
  <si>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</si>
  <si>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</si>
  <si>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</si>
  <si>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</si>
  <si>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</si>
  <si>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</si>
  <si>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</si>
  <si>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</si>
  <si>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</si>
  <si>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</si>
  <si>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</si>
  <si>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</si>
  <si>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</si>
  <si>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</si>
  <si>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</si>
  <si>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</si>
  <si>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</si>
  <si>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</si>
  <si>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</si>
  <si>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</si>
  <si>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</si>
  <si>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</si>
  <si>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</si>
  <si>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</si>
  <si>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</si>
  <si>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</si>
  <si>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</si>
  <si>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</si>
  <si>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</si>
  <si>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</si>
  <si>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</si>
  <si>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</si>
  <si>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</si>
  <si>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</si>
  <si>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</si>
  <si>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</si>
  <si>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</si>
  <si>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</si>
  <si>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</si>
  <si>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</si>
  <si>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</si>
  <si>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</si>
  <si>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</si>
  <si>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</si>
  <si>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</si>
  <si>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</si>
  <si>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</si>
  <si>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</si>
  <si>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</si>
  <si>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</si>
  <si>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</si>
  <si>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</si>
  <si>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</si>
  <si>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</si>
  <si>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</si>
  <si>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</si>
  <si>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</si>
  <si>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</si>
  <si>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</si>
  <si>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</si>
  <si>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</si>
  <si>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</si>
  <si>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</si>
  <si>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</si>
  <si>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</si>
  <si>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</si>
  <si>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</si>
  <si>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</si>
  <si>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</si>
  <si>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</si>
  <si>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</si>
  <si>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</si>
  <si>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</si>
  <si>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</si>
  <si>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</si>
  <si>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</si>
  <si>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</si>
  <si>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</si>
  <si>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</si>
  <si>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</si>
  <si>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</si>
  <si>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</si>
  <si>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</si>
  <si>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</si>
  <si>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</si>
  <si>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</si>
  <si>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</si>
  <si>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</si>
  <si>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</si>
  <si>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</si>
  <si>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</si>
  <si>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</si>
  <si>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</si>
  <si>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</si>
  <si>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</si>
  <si>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</si>
  <si>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</si>
  <si>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</si>
  <si>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</si>
  <si>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</si>
  <si>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</si>
  <si>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</si>
  <si>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</si>
  <si>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</si>
  <si>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</si>
  <si>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</si>
  <si>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</si>
  <si>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</si>
  <si>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</si>
  <si>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</si>
  <si>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</si>
  <si>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</si>
  <si>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</si>
  <si>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</si>
  <si>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</si>
  <si>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</si>
  <si>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</si>
  <si>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</si>
  <si>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</si>
  <si>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</si>
  <si>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</si>
  <si>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</si>
  <si>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</si>
  <si>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</si>
  <si>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</si>
  <si>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</si>
  <si>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</si>
  <si>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</si>
  <si>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</si>
  <si>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</si>
  <si>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</si>
  <si>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</si>
  <si>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</si>
  <si>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</si>
  <si>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</si>
  <si>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</si>
  <si>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</si>
  <si>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</si>
  <si>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</si>
  <si>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</si>
  <si>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</si>
  <si>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</si>
  <si>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</si>
  <si>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</si>
  <si>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</si>
  <si>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</si>
  <si>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</si>
  <si>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</si>
  <si>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</si>
  <si>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</si>
  <si>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</si>
  <si>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</si>
  <si>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</si>
  <si>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</si>
  <si>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</si>
  <si>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</si>
  <si>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</si>
  <si>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</si>
  <si>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</si>
  <si>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</si>
  <si>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</si>
  <si>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</si>
  <si>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</si>
  <si>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</si>
  <si>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</si>
  <si>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</si>
  <si>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</si>
  <si>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</si>
  <si>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</si>
  <si>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</si>
  <si>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</si>
  <si>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</si>
  <si>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</si>
  <si>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</si>
  <si>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</si>
  <si>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</si>
  <si>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</si>
  <si>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</si>
  <si>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</si>
  <si>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</si>
  <si>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</si>
  <si>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</si>
  <si>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</si>
  <si>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</si>
  <si>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</si>
  <si>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</si>
  <si>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</si>
  <si>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</si>
  <si>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</si>
  <si>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</si>
  <si>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</si>
  <si>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</si>
  <si>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</si>
  <si>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</si>
  <si>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</si>
  <si>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</si>
  <si>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</si>
  <si>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</si>
  <si>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</si>
  <si>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</si>
  <si>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</si>
  <si>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</si>
  <si>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</si>
  <si>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</si>
  <si>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</si>
  <si>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</si>
  <si>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</si>
  <si>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</si>
  <si>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</si>
  <si>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</si>
  <si>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</si>
  <si>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</si>
  <si>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</si>
  <si>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</si>
  <si>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</si>
  <si>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</si>
  <si>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</si>
  <si>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</si>
  <si>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</si>
  <si>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</si>
  <si>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</si>
  <si>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</si>
  <si>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</si>
  <si>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</si>
  <si>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</si>
  <si>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</si>
  <si>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</si>
  <si>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</si>
  <si>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</si>
  <si>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</si>
  <si>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</si>
  <si>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</si>
  <si>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</si>
  <si>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</si>
  <si>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</si>
  <si>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</si>
  <si>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</si>
  <si>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</si>
  <si>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</si>
  <si>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</si>
  <si>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</si>
  <si>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</si>
  <si>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</si>
  <si>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</si>
  <si>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</si>
  <si>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</si>
  <si>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</si>
  <si>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</si>
  <si>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</si>
  <si>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</si>
  <si>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</si>
  <si>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</si>
  <si>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</si>
  <si>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</si>
  <si>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</si>
  <si>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</si>
  <si>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</si>
  <si>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</si>
  <si>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</si>
  <si>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</si>
  <si>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</si>
  <si>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</si>
  <si>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</si>
  <si>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</si>
  <si>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</si>
  <si>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</si>
  <si>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</si>
  <si>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</si>
  <si>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</si>
  <si>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</si>
  <si>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</si>
  <si>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</si>
  <si>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</si>
  <si>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</si>
  <si>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</si>
  <si>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</si>
  <si>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</si>
  <si>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</si>
  <si>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</si>
  <si>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</si>
  <si>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</si>
  <si>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</si>
  <si>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</si>
  <si>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</si>
  <si>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</si>
  <si>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</si>
  <si>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</si>
  <si>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</si>
  <si>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</si>
  <si>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</si>
  <si>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</si>
  <si>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</si>
  <si>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</si>
  <si>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</si>
  <si>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</si>
  <si>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</si>
  <si>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</si>
  <si>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</si>
  <si>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</si>
  <si>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</si>
  <si>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</si>
  <si>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</si>
  <si>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</si>
  <si>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</si>
  <si>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</si>
  <si>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</si>
  <si>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</si>
  <si>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</si>
  <si>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</si>
  <si>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</si>
  <si>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</si>
  <si>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</si>
  <si>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</si>
  <si>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</si>
  <si>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</si>
  <si>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</si>
  <si>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</si>
  <si>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</si>
  <si>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</si>
  <si>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</si>
  <si>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</si>
  <si>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</si>
  <si>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</si>
  <si>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</si>
  <si>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</si>
  <si>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</si>
  <si>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</si>
  <si>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</si>
  <si>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</si>
  <si>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</si>
  <si>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</si>
  <si>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</si>
  <si>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</si>
  <si>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</si>
  <si>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</si>
  <si>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</si>
  <si>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</si>
  <si>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</si>
  <si>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</si>
  <si>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</si>
  <si>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</si>
  <si>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</si>
  <si>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</si>
  <si>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</si>
  <si>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</si>
  <si>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</si>
  <si>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</si>
  <si>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</si>
  <si>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</si>
  <si>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</si>
  <si>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</si>
  <si>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</si>
  <si>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</si>
  <si>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</si>
  <si>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</si>
  <si>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</si>
  <si>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</si>
  <si>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</si>
  <si>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</si>
  <si>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</si>
  <si>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</si>
  <si>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</si>
  <si>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</si>
  <si>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</si>
  <si>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</si>
  <si>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</si>
  <si>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</si>
  <si>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</si>
  <si>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</si>
  <si>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</si>
  <si>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</si>
  <si>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</si>
  <si>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</si>
  <si>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</si>
  <si>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</si>
  <si>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</si>
  <si>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</si>
  <si>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</si>
  <si>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</si>
  <si>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</si>
  <si>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</si>
  <si>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</si>
  <si>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</si>
  <si>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</si>
  <si>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</si>
  <si>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</si>
  <si>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</si>
  <si>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</si>
  <si>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</si>
  <si>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</si>
  <si>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</si>
  <si>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</si>
  <si>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</si>
  <si>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</si>
  <si>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</si>
  <si>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</si>
  <si>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</si>
  <si>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</si>
  <si>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</si>
  <si>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</si>
  <si>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</si>
  <si>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</si>
  <si>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</si>
  <si>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</si>
  <si>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</si>
  <si>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</si>
  <si>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</si>
  <si>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</si>
  <si>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</si>
  <si>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</si>
  <si>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</si>
  <si>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</si>
  <si>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</si>
  <si>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</si>
  <si>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</si>
  <si>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</si>
  <si>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</si>
  <si>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</si>
  <si>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</si>
  <si>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</si>
  <si>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</si>
  <si>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</si>
  <si>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</si>
  <si>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</si>
  <si>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</si>
  <si>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</si>
  <si>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</si>
  <si>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</si>
  <si>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</si>
  <si>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</si>
  <si>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</si>
  <si>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</si>
  <si>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</si>
  <si>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</si>
  <si>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</si>
  <si>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</si>
  <si>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</si>
  <si>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</si>
  <si>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</si>
  <si>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</si>
  <si>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</si>
  <si>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</si>
  <si>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</si>
  <si>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</si>
  <si>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</si>
  <si>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</si>
  <si>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</si>
  <si>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</si>
  <si>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</si>
  <si>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</si>
  <si>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</si>
  <si>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</si>
  <si>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</si>
  <si>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</si>
  <si>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</si>
  <si>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</si>
  <si>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</si>
  <si>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</si>
  <si>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</si>
  <si>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</si>
  <si>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</si>
  <si>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</si>
  <si>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</si>
  <si>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</si>
  <si>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</si>
  <si>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</si>
  <si>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</si>
  <si>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</si>
  <si>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</si>
  <si>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</si>
  <si>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</si>
  <si>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</si>
  <si>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</si>
  <si>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</si>
  <si>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</si>
  <si>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</si>
  <si>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</si>
  <si>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</si>
  <si>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</si>
  <si>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</si>
  <si>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</si>
  <si>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</si>
  <si>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</si>
  <si>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</si>
  <si>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</si>
  <si>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</si>
  <si>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</si>
  <si>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</si>
  <si>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</si>
  <si>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</si>
  <si>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</si>
  <si>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</si>
  <si>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</si>
  <si>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</si>
  <si>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</si>
  <si>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</si>
  <si>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</si>
  <si>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</si>
  <si>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</si>
  <si>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</si>
  <si>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</si>
  <si>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</si>
  <si>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</si>
  <si>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</si>
  <si>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</si>
  <si>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</si>
  <si>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</si>
  <si>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</si>
  <si>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</si>
  <si>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</si>
  <si>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</si>
  <si>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</si>
  <si>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</si>
  <si>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</si>
  <si>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</si>
  <si>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</si>
  <si>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</si>
  <si>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</si>
  <si>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</si>
  <si>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</si>
  <si>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</si>
  <si>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</si>
  <si>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</si>
  <si>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</si>
  <si>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</si>
  <si>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</si>
  <si>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</si>
  <si>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</si>
  <si>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</si>
  <si>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</si>
  <si>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</si>
  <si>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</si>
  <si>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</si>
  <si>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</si>
  <si>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</si>
  <si>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</si>
  <si>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</si>
  <si>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</si>
  <si>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</si>
  <si>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</si>
  <si>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</si>
  <si>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</si>
  <si>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</si>
  <si>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</si>
  <si>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</si>
  <si>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</si>
  <si>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</si>
  <si>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</si>
  <si>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</si>
  <si>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</si>
  <si>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</si>
  <si>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</si>
  <si>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</si>
  <si>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</si>
  <si>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</si>
  <si>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</si>
  <si>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</si>
  <si>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</si>
  <si>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</si>
  <si>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</si>
  <si>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</si>
  <si>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</si>
  <si>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</si>
  <si>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</si>
  <si>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</si>
  <si>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</si>
  <si>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</si>
  <si>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</si>
  <si>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</si>
  <si>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</si>
  <si>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</si>
  <si>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</si>
  <si>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</si>
  <si>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</si>
  <si>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</si>
  <si>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</si>
  <si>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</si>
  <si>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</si>
  <si>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</si>
  <si>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</si>
  <si>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</si>
  <si>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</si>
  <si>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</si>
  <si>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</si>
  <si>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</si>
  <si>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</si>
  <si>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</si>
  <si>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</si>
  <si>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</si>
  <si>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</si>
  <si>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</si>
  <si>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</si>
  <si>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</si>
  <si>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</si>
  <si>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</si>
  <si>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</si>
  <si>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</si>
  <si>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</si>
  <si>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</si>
  <si>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</si>
  <si>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</si>
  <si>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</si>
  <si>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</si>
  <si>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</si>
  <si>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</si>
  <si>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</si>
  <si>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</si>
  <si>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</si>
  <si>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</si>
  <si>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</si>
  <si>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</si>
  <si>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</si>
  <si>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</si>
  <si>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</si>
  <si>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</si>
  <si>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</si>
  <si>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</si>
  <si>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</si>
  <si>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</si>
  <si>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</si>
  <si>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</si>
  <si>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</si>
  <si>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</si>
  <si>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</si>
  <si>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</si>
  <si>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</si>
  <si>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</si>
  <si>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</si>
  <si>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</si>
  <si>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</si>
  <si>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</si>
  <si>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</si>
  <si>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</si>
  <si>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</si>
  <si>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</si>
  <si>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</si>
  <si>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</si>
  <si>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</si>
  <si>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</si>
  <si>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</si>
  <si>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</si>
  <si>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</si>
  <si>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</si>
  <si>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</si>
  <si>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</si>
  <si>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</si>
  <si>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</si>
  <si>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</si>
  <si>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</si>
  <si>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</si>
  <si>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</si>
  <si>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</si>
  <si>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</si>
  <si>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</si>
  <si>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</si>
  <si>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</si>
  <si>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</si>
  <si>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</si>
  <si>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</si>
  <si>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</si>
  <si>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</si>
  <si>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</si>
  <si>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</si>
  <si>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</si>
  <si>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</si>
  <si>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</si>
  <si>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</si>
  <si>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</si>
  <si>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</si>
  <si>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</si>
  <si>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</si>
  <si>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</si>
  <si>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</si>
  <si>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</si>
  <si>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</si>
  <si>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</si>
  <si>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</si>
  <si>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</si>
  <si>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</si>
  <si>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</si>
  <si>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</si>
  <si>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</si>
  <si>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</si>
  <si>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</si>
  <si>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</si>
  <si>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</si>
  <si>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</si>
  <si>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</si>
  <si>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</si>
  <si>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</si>
  <si>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</si>
  <si>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</si>
  <si>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</si>
  <si>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</si>
  <si>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</si>
  <si>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</si>
  <si>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</si>
  <si>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</si>
  <si>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</si>
  <si>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</si>
  <si>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</si>
  <si>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</si>
  <si>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</si>
  <si>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</si>
  <si>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</si>
  <si>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</si>
  <si>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</si>
  <si>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</si>
  <si>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</si>
  <si>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</si>
  <si>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</si>
  <si>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</si>
  <si>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</si>
  <si>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</si>
  <si>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</si>
  <si>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</si>
  <si>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</si>
  <si>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</si>
  <si>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</si>
  <si>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</si>
  <si>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</si>
  <si>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</si>
  <si>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</si>
  <si>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</si>
  <si>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</si>
  <si>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</si>
  <si>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</si>
  <si>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</si>
  <si>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</si>
  <si>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</si>
  <si>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</si>
  <si>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</si>
  <si>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</si>
  <si>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</si>
  <si>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</si>
  <si>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</si>
  <si>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</si>
  <si>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</si>
  <si>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</si>
  <si>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</si>
  <si>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</si>
  <si>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</si>
  <si>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</si>
  <si>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</si>
  <si>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</si>
  <si>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</si>
  <si>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</si>
  <si>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</si>
  <si>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</si>
  <si>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</si>
  <si>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</si>
  <si>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</si>
  <si>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</si>
  <si>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</si>
  <si>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</si>
  <si>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</si>
  <si>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</si>
  <si>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</si>
  <si>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</si>
  <si>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</si>
  <si>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</si>
  <si>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</si>
  <si>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</si>
  <si>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</si>
  <si>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</si>
  <si>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</si>
  <si>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</si>
  <si>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</si>
  <si>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</si>
  <si>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</si>
  <si>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</si>
  <si>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</si>
  <si>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</si>
  <si>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</si>
  <si>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</si>
  <si>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</si>
  <si>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</si>
  <si>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</si>
  <si>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</si>
  <si>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</si>
  <si>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</si>
  <si>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</si>
  <si>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</si>
  <si>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</si>
  <si>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</si>
  <si>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</si>
  <si>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</si>
  <si>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</si>
  <si>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</si>
  <si>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</si>
  <si>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</si>
  <si>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</si>
  <si>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</si>
  <si>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</si>
  <si>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</si>
  <si>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</si>
  <si>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</si>
  <si>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</si>
  <si>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</si>
  <si>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</si>
  <si>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</si>
  <si>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</si>
  <si>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</si>
  <si>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</si>
  <si>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</si>
  <si>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</si>
  <si>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</si>
  <si>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</si>
  <si>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</si>
  <si>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</si>
  <si>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</si>
  <si>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</si>
  <si>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</si>
  <si>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</si>
  <si>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</si>
  <si>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</si>
  <si>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</si>
  <si>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</si>
  <si>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</si>
  <si>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</si>
  <si>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</si>
  <si>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</si>
  <si>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</si>
  <si>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</si>
  <si>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</si>
  <si>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</si>
  <si>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</si>
  <si>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</si>
  <si>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</si>
  <si>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</si>
  <si>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</si>
  <si>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</si>
  <si>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</si>
  <si>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</si>
  <si>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</si>
  <si>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</si>
  <si>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</si>
  <si>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</si>
  <si>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</si>
  <si>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</si>
  <si>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</si>
  <si>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</si>
  <si>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</si>
  <si>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</si>
  <si>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</si>
  <si>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</si>
  <si>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</si>
  <si>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</si>
  <si>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</si>
  <si>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</si>
  <si>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</si>
  <si>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</si>
  <si>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</si>
  <si>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</si>
  <si>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</si>
  <si>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</si>
  <si>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</si>
  <si>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</si>
  <si>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</si>
  <si>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</si>
  <si>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</si>
  <si>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</si>
  <si>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</si>
  <si>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</si>
  <si>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</si>
  <si>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</si>
  <si>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</si>
  <si>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</si>
  <si>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</si>
  <si>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</si>
  <si>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</si>
  <si>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</si>
  <si>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</si>
  <si>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</si>
  <si>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</si>
  <si>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</si>
  <si>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</si>
  <si>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</si>
  <si>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</si>
  <si>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</si>
  <si>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</si>
  <si>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</si>
  <si>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</si>
  <si>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</si>
  <si>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</si>
  <si>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</si>
  <si>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</si>
  <si>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</si>
  <si>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</si>
  <si>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</si>
  <si>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</si>
  <si>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</si>
  <si>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</si>
  <si>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</si>
  <si>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</si>
  <si>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</si>
  <si>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</si>
  <si>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</si>
  <si>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</si>
  <si>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</si>
  <si>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</si>
  <si>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</si>
  <si>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</si>
  <si>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</si>
  <si>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</si>
  <si>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</si>
  <si>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</si>
  <si>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</si>
  <si>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</si>
  <si>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</si>
  <si>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</si>
  <si>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</si>
  <si>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</si>
  <si>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</si>
  <si>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</si>
  <si>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</si>
  <si>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</si>
  <si>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</si>
  <si>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</si>
  <si>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</si>
  <si>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</si>
  <si>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</si>
  <si>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</si>
  <si>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</si>
  <si>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</si>
  <si>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</si>
  <si>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</si>
  <si>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</si>
  <si>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</si>
  <si>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</si>
  <si>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</si>
  <si>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</si>
  <si>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</si>
  <si>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</si>
  <si>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</si>
  <si>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</si>
  <si>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</si>
  <si>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</si>
  <si>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</si>
  <si>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</si>
  <si>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</si>
  <si>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</si>
  <si>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</si>
  <si>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</si>
  <si>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</si>
  <si>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</si>
  <si>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</si>
  <si>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</si>
  <si>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</si>
  <si>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</si>
  <si>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</si>
  <si>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</si>
  <si>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</si>
  <si>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</si>
  <si>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</si>
  <si>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</si>
  <si>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</si>
  <si>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</si>
  <si>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</si>
  <si>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</si>
  <si>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</si>
  <si>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</si>
  <si>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</si>
  <si>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</si>
  <si>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</si>
  <si>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</si>
  <si>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</si>
  <si>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</si>
  <si>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</si>
  <si>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</si>
  <si>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</si>
  <si>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</si>
  <si>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</si>
  <si>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</si>
  <si>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</si>
  <si>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</si>
  <si>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</si>
  <si>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</si>
  <si>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</si>
  <si>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</si>
  <si>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</si>
  <si>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</si>
  <si>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</si>
  <si>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</si>
  <si>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</si>
  <si>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</si>
  <si>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</si>
  <si>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</si>
  <si>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</si>
  <si>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</si>
  <si>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</si>
  <si>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</si>
  <si>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</si>
  <si>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</si>
  <si>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</si>
  <si>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</si>
  <si>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</si>
  <si>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</si>
  <si>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</si>
  <si>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</si>
  <si>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</si>
  <si>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</si>
  <si>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</si>
  <si>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</si>
  <si>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</si>
  <si>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</si>
  <si>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</si>
  <si>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</si>
  <si>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</si>
  <si>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</si>
  <si>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</si>
  <si>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</si>
  <si>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</si>
  <si>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</si>
  <si>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</si>
  <si>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</si>
  <si>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</si>
  <si>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</si>
  <si>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</si>
  <si>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</si>
  <si>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</si>
  <si>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</si>
  <si>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</si>
  <si>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</si>
  <si>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</si>
  <si>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</si>
  <si>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</si>
  <si>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</si>
  <si>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</si>
  <si>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</si>
  <si>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</si>
  <si>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</si>
  <si>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</si>
  <si>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</si>
  <si>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</si>
  <si>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</si>
  <si>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</si>
  <si>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</si>
  <si>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</si>
  <si>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</si>
  <si>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</si>
  <si>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</si>
  <si>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</si>
  <si>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</si>
  <si>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</si>
  <si>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</si>
  <si>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</si>
  <si>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</si>
  <si>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</si>
  <si>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</si>
  <si>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</si>
  <si>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</si>
  <si>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</si>
  <si>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</si>
  <si>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</si>
  <si>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</si>
  <si>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</si>
  <si>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</si>
  <si>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</si>
  <si>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</si>
  <si>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</si>
  <si>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</si>
  <si>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</si>
  <si>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</si>
  <si>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</si>
  <si>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</si>
  <si>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</si>
  <si>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</si>
  <si>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</si>
  <si>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</si>
  <si>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</si>
  <si>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</si>
  <si>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</si>
  <si>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</si>
  <si>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</si>
  <si>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</si>
  <si>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</si>
  <si>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</si>
  <si>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</si>
  <si>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</si>
  <si>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</si>
  <si>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</si>
  <si>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</si>
  <si>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</si>
  <si>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</si>
  <si>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</si>
  <si>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</si>
  <si>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</si>
  <si>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</si>
  <si>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</si>
  <si>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</si>
  <si>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</si>
  <si>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</si>
  <si>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</si>
  <si>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</si>
  <si>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</si>
  <si>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</si>
  <si>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</si>
  <si>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</si>
  <si>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</si>
  <si>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</si>
  <si>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</si>
  <si>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</si>
  <si>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</si>
  <si>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</si>
  <si>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</si>
  <si>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</si>
  <si>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</si>
  <si>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</si>
  <si>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</si>
  <si>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</si>
  <si>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</si>
  <si>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</si>
  <si>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</si>
  <si>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</si>
  <si>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</si>
  <si>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</si>
  <si>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</si>
  <si>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</si>
  <si>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</si>
  <si>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</si>
  <si>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</si>
  <si>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</si>
  <si>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</si>
  <si>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</si>
  <si>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</si>
  <si>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</si>
  <si>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</si>
  <si>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</si>
  <si>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</si>
  <si>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</si>
  <si>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</si>
  <si>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</si>
  <si>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</si>
  <si>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</si>
  <si>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</si>
  <si>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</si>
  <si>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</si>
  <si>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</si>
  <si>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</si>
  <si>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</si>
  <si>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</si>
  <si>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</si>
  <si>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</si>
  <si>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</si>
  <si>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</si>
  <si>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</si>
  <si>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</si>
  <si>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</si>
  <si>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</si>
  <si>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</si>
  <si>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</si>
  <si>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</si>
  <si>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</si>
  <si>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</si>
  <si>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</si>
  <si>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</si>
  <si>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</si>
  <si>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</si>
  <si>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</si>
  <si>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</si>
  <si>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</si>
  <si>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</si>
  <si>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</si>
  <si>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</si>
  <si>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</si>
  <si>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</si>
  <si>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</si>
  <si>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</si>
  <si>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</si>
  <si>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</si>
  <si>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</si>
  <si>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</si>
  <si>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</si>
  <si>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</si>
  <si>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</si>
  <si>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</si>
  <si>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</si>
  <si>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</si>
  <si>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</si>
  <si>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</si>
  <si>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</si>
  <si>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</si>
  <si>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</si>
  <si>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</si>
  <si>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</si>
  <si>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</si>
  <si>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</si>
  <si>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</si>
  <si>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</si>
  <si>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</si>
  <si>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</si>
  <si>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</si>
  <si>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</si>
  <si>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</si>
  <si>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</si>
  <si>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</si>
  <si>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</si>
  <si>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</si>
  <si>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</si>
  <si>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</si>
  <si>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</si>
  <si>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</si>
  <si>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</si>
  <si>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</si>
  <si>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</si>
  <si>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</si>
  <si>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</si>
  <si>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</si>
  <si>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</si>
  <si>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</si>
  <si>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</si>
  <si>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</si>
  <si>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</si>
  <si>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</si>
  <si>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</si>
  <si>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</si>
  <si>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</si>
  <si>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</si>
  <si>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</si>
  <si>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</si>
  <si>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</si>
  <si>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</si>
  <si>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</si>
  <si>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</si>
  <si>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</si>
  <si>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</si>
  <si>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</si>
  <si>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</si>
  <si>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</si>
  <si>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</si>
  <si>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</si>
  <si>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</si>
  <si>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</si>
  <si>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</si>
  <si>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</si>
  <si>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</si>
  <si>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</si>
  <si>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</si>
  <si>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</si>
  <si>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</si>
  <si>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</si>
  <si>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</si>
  <si>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</si>
  <si>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</si>
  <si>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</si>
  <si>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</si>
  <si>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</si>
  <si>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</si>
  <si>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</si>
  <si>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</si>
  <si>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</si>
  <si>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</si>
  <si>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</si>
  <si>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</si>
  <si>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</si>
  <si>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</si>
  <si>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</si>
  <si>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</si>
  <si>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</si>
  <si>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</si>
  <si>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</si>
  <si>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</si>
  <si>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</si>
  <si>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</si>
  <si>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</si>
  <si>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</si>
  <si>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</si>
  <si>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</si>
  <si>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</si>
  <si>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</si>
  <si>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</si>
  <si>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</si>
  <si>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</si>
  <si>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</si>
  <si>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</si>
  <si>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</si>
  <si>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</si>
  <si>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</si>
  <si>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</si>
  <si>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</si>
  <si>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</si>
  <si>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</si>
  <si>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</si>
  <si>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</si>
  <si>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</si>
  <si>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</si>
  <si>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</si>
  <si>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</si>
  <si>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</si>
  <si>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</si>
  <si>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</si>
  <si>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</si>
  <si>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</si>
  <si>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</si>
  <si>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</si>
  <si>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</si>
  <si>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</si>
  <si>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</si>
  <si>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</si>
  <si>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</si>
  <si>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</si>
  <si>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</si>
  <si>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</si>
  <si>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</si>
  <si>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</si>
  <si>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</si>
  <si>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</si>
  <si>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</si>
  <si>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</si>
  <si>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</si>
  <si>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</si>
  <si>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</si>
  <si>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</si>
  <si>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</si>
  <si>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</si>
  <si>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</si>
  <si>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</si>
  <si>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</si>
  <si>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</si>
  <si>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</si>
  <si>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</si>
  <si>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</si>
  <si>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</si>
  <si>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</si>
  <si>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</si>
  <si>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</si>
  <si>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</si>
  <si>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</si>
  <si>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</si>
  <si>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</si>
  <si>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</si>
  <si>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</si>
  <si>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</si>
  <si>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</si>
  <si>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</si>
  <si>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</si>
  <si>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</si>
  <si>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</si>
  <si>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</si>
  <si>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</si>
  <si>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</si>
  <si>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</si>
  <si>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</si>
  <si>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</si>
  <si>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</si>
  <si>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</si>
  <si>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</si>
  <si>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</si>
  <si>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</si>
  <si>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</si>
  <si>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</si>
  <si>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</si>
  <si>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</si>
  <si>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</si>
  <si>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</si>
  <si>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</si>
  <si>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</si>
  <si>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</si>
  <si>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</si>
  <si>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</si>
  <si>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</si>
  <si>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</si>
  <si>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</si>
  <si>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</si>
  <si>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</si>
  <si>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</si>
  <si>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</si>
  <si>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</si>
  <si>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</si>
  <si>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</si>
  <si>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</si>
  <si>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</si>
  <si>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</si>
  <si>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</si>
  <si>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</si>
  <si>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</si>
  <si>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</si>
  <si>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</si>
  <si>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</si>
  <si>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</si>
  <si>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</si>
  <si>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</si>
  <si>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</si>
  <si>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</si>
  <si>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</si>
  <si>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</si>
  <si>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</si>
  <si>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</si>
  <si>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</si>
  <si>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</si>
  <si>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</si>
  <si>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</si>
  <si>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</si>
  <si>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</si>
  <si>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</si>
  <si>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</si>
  <si>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</si>
  <si>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</si>
  <si>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</si>
  <si>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</si>
  <si>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</si>
  <si>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</si>
  <si>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</si>
  <si>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</si>
  <si>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</si>
  <si>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</si>
  <si>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</si>
  <si>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</si>
  <si>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</si>
  <si>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</si>
  <si>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</si>
  <si>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</si>
  <si>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</si>
  <si>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</si>
  <si>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</si>
  <si>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</si>
  <si>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</si>
  <si>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</si>
  <si>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</si>
  <si>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</si>
  <si>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</si>
  <si>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</si>
  <si>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</si>
  <si>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</si>
  <si>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</si>
  <si>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</si>
  <si>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</si>
  <si>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</si>
  <si>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</si>
  <si>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</si>
  <si>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</si>
  <si>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</si>
  <si>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</si>
  <si>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</si>
  <si>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</si>
  <si>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</si>
  <si>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</si>
  <si>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</si>
  <si>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</si>
  <si>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</si>
  <si>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</si>
  <si>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</si>
  <si>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</si>
  <si>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</si>
  <si>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</si>
  <si>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</si>
  <si>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</si>
  <si>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</si>
  <si>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</si>
  <si>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</si>
  <si>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</si>
  <si>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</si>
  <si>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</si>
  <si>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</si>
  <si>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</si>
  <si>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</si>
  <si>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</si>
  <si>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</si>
  <si>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</si>
  <si>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</si>
  <si>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</si>
  <si>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</si>
  <si>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</si>
  <si>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</si>
  <si>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</si>
  <si>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</si>
  <si>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</si>
  <si>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</si>
  <si>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</si>
  <si>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</si>
  <si>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</si>
  <si>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</si>
  <si>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</si>
  <si>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</si>
  <si>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</si>
  <si>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</si>
  <si>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</si>
  <si>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</si>
  <si>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</si>
  <si>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</si>
  <si>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</si>
  <si>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</si>
  <si>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</si>
  <si>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</si>
  <si>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</si>
  <si>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</si>
  <si>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</si>
  <si>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</si>
  <si>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</si>
  <si>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</si>
  <si>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</si>
  <si>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</si>
  <si>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</si>
  <si>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</si>
  <si>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</si>
  <si>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</si>
  <si>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</si>
  <si>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</si>
  <si>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</si>
  <si>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</si>
  <si>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</si>
  <si>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</si>
  <si>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</si>
  <si>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</si>
  <si>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</si>
  <si>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</si>
  <si>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</si>
  <si>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</si>
  <si>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</si>
  <si>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</si>
  <si>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</si>
  <si>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</si>
  <si>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</si>
  <si>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</si>
  <si>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</si>
  <si>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</si>
  <si>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</si>
  <si>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</si>
  <si>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</si>
  <si>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</si>
  <si>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</si>
  <si>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</si>
  <si>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</si>
  <si>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</si>
  <si>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</si>
  <si>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</si>
  <si>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</si>
  <si>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</si>
  <si>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</si>
  <si>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</si>
  <si>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</si>
  <si>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</si>
  <si>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</si>
  <si>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</si>
  <si>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</si>
  <si>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</si>
  <si>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</si>
  <si>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</si>
  <si>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</si>
  <si>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</si>
  <si>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</si>
  <si>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</si>
  <si>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</si>
  <si>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</si>
  <si>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</si>
  <si>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</si>
  <si>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</si>
  <si>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</si>
  <si>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</si>
  <si>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</si>
  <si>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</si>
  <si>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</si>
  <si>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</si>
  <si>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</si>
  <si>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</si>
  <si>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</si>
  <si>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</si>
  <si>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</si>
  <si>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</si>
  <si>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</si>
  <si>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</si>
  <si>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</si>
  <si>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</si>
  <si>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</si>
  <si>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</si>
  <si>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</si>
  <si>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</si>
  <si>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</si>
  <si>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</si>
  <si>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</si>
  <si>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</si>
  <si>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</si>
  <si>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</si>
  <si>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</si>
  <si>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</si>
  <si>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</si>
  <si>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</si>
  <si>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</si>
  <si>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</si>
  <si>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</si>
  <si>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</si>
  <si>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</si>
  <si>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</si>
  <si>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</si>
  <si>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</si>
  <si>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</si>
  <si>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</si>
  <si>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</si>
  <si>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</si>
  <si>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</si>
  <si>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</si>
  <si>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</si>
  <si>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</si>
  <si>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</si>
  <si>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</si>
  <si>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</si>
  <si>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</si>
  <si>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</si>
  <si>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</si>
  <si>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</si>
  <si>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</si>
  <si>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</si>
  <si>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</si>
  <si>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</si>
  <si>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</si>
  <si>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</si>
  <si>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</si>
  <si>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</si>
  <si>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</si>
  <si>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</si>
  <si>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</si>
  <si>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</si>
  <si>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</si>
  <si>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</si>
  <si>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</si>
  <si>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</si>
  <si>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</si>
  <si>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</si>
  <si>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</si>
  <si>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</si>
  <si>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</si>
  <si>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</si>
  <si>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</si>
  <si>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</si>
  <si>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</si>
  <si>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</si>
  <si>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</si>
  <si>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</si>
  <si>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</si>
  <si>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</si>
  <si>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</si>
  <si>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</si>
  <si>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</si>
  <si>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</si>
  <si>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</si>
  <si>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</si>
  <si>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</si>
  <si>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</si>
  <si>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</si>
  <si>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</si>
  <si>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</si>
  <si>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</si>
  <si>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</si>
  <si>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</si>
  <si>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</si>
  <si>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</si>
  <si>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</si>
  <si>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</si>
  <si>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</si>
  <si>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</si>
  <si>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</si>
  <si>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</si>
  <si>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</si>
  <si>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</si>
  <si>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</si>
  <si>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</si>
  <si>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</si>
  <si>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</si>
  <si>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</si>
  <si>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</si>
  <si>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</si>
  <si>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</si>
  <si>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</si>
  <si>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</si>
  <si>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</si>
  <si>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</si>
  <si>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</si>
  <si>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</si>
  <si>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</si>
  <si>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</si>
  <si>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</si>
  <si>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</si>
  <si>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</si>
  <si>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</si>
  <si>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</si>
  <si>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</si>
  <si>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</si>
  <si>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</si>
  <si>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</si>
  <si>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</si>
  <si>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</si>
  <si>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</si>
  <si>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</si>
  <si>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</si>
  <si>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</si>
  <si>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</si>
  <si>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</si>
  <si>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</si>
  <si>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</si>
  <si>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</si>
  <si>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</si>
  <si>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</si>
  <si>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</si>
  <si>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</si>
  <si>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</si>
  <si>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</si>
  <si>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</si>
  <si>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</si>
  <si>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</si>
  <si>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</si>
  <si>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</si>
  <si>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</si>
  <si>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</si>
  <si>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</si>
  <si>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</si>
  <si>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</si>
  <si>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</si>
  <si>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</si>
  <si>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</si>
  <si>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</si>
  <si>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</si>
  <si>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</si>
  <si>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</si>
  <si>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</si>
  <si>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</si>
  <si>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</si>
  <si>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</si>
  <si>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</si>
  <si>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</si>
  <si>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</si>
  <si>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</si>
  <si>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</si>
  <si>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</si>
  <si>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</si>
  <si>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</si>
  <si>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</si>
  <si>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</si>
  <si>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</si>
  <si>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</si>
  <si>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</si>
  <si>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</si>
  <si>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</si>
  <si>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</si>
  <si>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</si>
  <si>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</si>
  <si>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</si>
  <si>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</si>
  <si>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</si>
  <si>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</si>
  <si>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</si>
  <si>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</si>
  <si>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</si>
  <si>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</si>
  <si>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</si>
  <si>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</si>
  <si>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</si>
  <si>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</si>
  <si>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</si>
  <si>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</si>
  <si>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</si>
  <si>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</si>
  <si>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</si>
  <si>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</si>
  <si>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</si>
  <si>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</si>
  <si>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</si>
  <si>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</si>
  <si>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</si>
  <si>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</si>
  <si>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</si>
  <si>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</si>
  <si>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</si>
  <si>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</si>
  <si>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</si>
  <si>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</si>
  <si>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</si>
  <si>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</si>
  <si>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</si>
  <si>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</si>
  <si>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</si>
  <si>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</si>
  <si>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</si>
  <si>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</si>
  <si>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</si>
  <si>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</si>
  <si>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</si>
  <si>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</si>
  <si>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</si>
  <si>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</si>
  <si>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</si>
  <si>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</si>
  <si>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</si>
  <si>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</si>
  <si>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</si>
  <si>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</si>
  <si>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</si>
  <si>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</si>
  <si>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</si>
  <si>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</si>
  <si>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</si>
  <si>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</si>
  <si>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</si>
  <si>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</si>
  <si>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</si>
  <si>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</si>
  <si>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</si>
  <si>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</si>
  <si>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</si>
  <si>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</si>
  <si>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</si>
  <si>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</si>
  <si>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</si>
  <si>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</si>
  <si>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</si>
  <si>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</si>
  <si>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</si>
  <si>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</si>
  <si>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</si>
  <si>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</si>
  <si>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</si>
  <si>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</si>
  <si>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</si>
  <si>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</si>
  <si>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</si>
  <si>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</si>
  <si>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</si>
  <si>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</si>
  <si>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</si>
  <si>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</si>
  <si>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</si>
  <si>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</si>
  <si>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</si>
  <si>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</si>
  <si>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</si>
  <si>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</si>
  <si>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</si>
  <si>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</si>
  <si>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</si>
  <si>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</si>
  <si>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</si>
  <si>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</si>
  <si>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</si>
  <si>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</si>
  <si>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</si>
  <si>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</si>
  <si>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</si>
  <si>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</si>
  <si>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</si>
  <si>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</si>
  <si>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</si>
  <si>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</si>
  <si>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</si>
  <si>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</si>
  <si>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</si>
  <si>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</si>
  <si>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</si>
  <si>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</si>
  <si>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</si>
  <si>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</si>
  <si>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</si>
  <si>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</si>
  <si>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</si>
  <si>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</si>
  <si>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</si>
  <si>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</si>
  <si>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</si>
  <si>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</si>
  <si>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</si>
  <si>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</si>
  <si>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</si>
  <si>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</si>
  <si>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</si>
  <si>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</si>
  <si>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</si>
  <si>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</si>
  <si>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</si>
  <si>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</si>
  <si>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</si>
  <si>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</si>
  <si>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</si>
  <si>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</si>
  <si>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</si>
  <si>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</si>
  <si>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</si>
  <si>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</si>
  <si>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</si>
  <si>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</si>
  <si>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</si>
  <si>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</si>
  <si>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</si>
  <si>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</si>
  <si>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</si>
  <si>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</si>
  <si>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</si>
  <si>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</si>
  <si>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</si>
  <si>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</si>
  <si>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</si>
  <si>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</si>
  <si>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</si>
  <si>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</si>
  <si>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</si>
  <si>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</si>
  <si>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</si>
  <si>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</si>
  <si>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</si>
  <si>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</si>
  <si>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</si>
  <si>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</si>
  <si>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</si>
  <si>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</si>
  <si>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</si>
  <si>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</si>
  <si>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</si>
  <si>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</si>
  <si>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</si>
  <si>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</si>
  <si>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</si>
  <si>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</si>
  <si>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</si>
  <si>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</si>
  <si>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</si>
  <si>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</si>
  <si>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</si>
  <si>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</si>
  <si>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</si>
  <si>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</si>
  <si>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</si>
  <si>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</si>
  <si>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</si>
  <si>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</si>
  <si>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</si>
  <si>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</si>
  <si>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</si>
  <si>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</si>
  <si>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</si>
  <si>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</si>
  <si>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</si>
  <si>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</si>
  <si>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</si>
  <si>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</si>
  <si>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</si>
  <si>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</si>
  <si>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</si>
  <si>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</si>
  <si>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</si>
  <si>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</si>
  <si>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</si>
  <si>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</si>
  <si>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</si>
  <si>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</si>
  <si>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</si>
  <si>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</si>
  <si>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</si>
  <si>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</si>
  <si>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</si>
  <si>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</si>
  <si>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</si>
  <si>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</si>
  <si>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</si>
  <si>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</si>
  <si>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</si>
  <si>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</si>
  <si>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</si>
  <si>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</si>
  <si>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</si>
  <si>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</si>
  <si>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</si>
  <si>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</si>
  <si>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</si>
  <si>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</si>
  <si>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</si>
  <si>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</si>
  <si>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</si>
  <si>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</si>
  <si>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</si>
  <si>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</si>
  <si>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</si>
  <si>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</si>
  <si>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</si>
  <si>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</si>
  <si>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</si>
  <si>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</si>
  <si>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</si>
  <si>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</si>
  <si>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</si>
  <si>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</si>
  <si>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</si>
  <si>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</si>
  <si>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</si>
  <si>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</si>
  <si>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</si>
  <si>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</si>
  <si>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</si>
  <si>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</si>
  <si>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</si>
  <si>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</si>
  <si>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</si>
  <si>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</si>
  <si>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</si>
  <si>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</si>
  <si>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</si>
  <si>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</si>
  <si>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</si>
  <si>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</si>
  <si>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</si>
  <si>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</si>
  <si>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</si>
  <si>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</si>
  <si>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</si>
  <si>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</si>
  <si>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</si>
  <si>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</si>
  <si>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</si>
  <si>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</si>
  <si>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</si>
  <si>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</si>
  <si>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</si>
  <si>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</si>
  <si>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</si>
  <si>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</si>
  <si>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</si>
  <si>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</si>
  <si>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</si>
  <si>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</si>
  <si>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</si>
  <si>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</si>
  <si>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</si>
  <si>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</si>
  <si>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</si>
  <si>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</si>
  <si>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</si>
  <si>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</si>
  <si>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</si>
  <si>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</si>
  <si>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</si>
  <si>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</si>
  <si>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</si>
  <si>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</si>
  <si>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</si>
  <si>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</si>
  <si>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</si>
  <si>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</si>
  <si>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</si>
  <si>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</si>
  <si>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</si>
  <si>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</si>
  <si>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</si>
  <si>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</si>
  <si>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</si>
  <si>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</si>
  <si>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</si>
  <si>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</si>
  <si>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</si>
  <si>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</si>
  <si>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</si>
  <si>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</si>
  <si>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</si>
  <si>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</si>
  <si>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</si>
  <si>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</si>
  <si>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</si>
  <si>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</si>
  <si>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</si>
  <si>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</si>
  <si>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</si>
  <si>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</si>
  <si>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</si>
  <si>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</si>
  <si>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</si>
  <si>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</si>
  <si>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</si>
  <si>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</si>
  <si>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</si>
  <si>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</si>
  <si>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</si>
  <si>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</si>
  <si>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</si>
  <si>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</si>
  <si>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</si>
  <si>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</si>
  <si>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</si>
  <si>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</si>
  <si>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</si>
  <si>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</si>
  <si>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</si>
  <si>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</si>
  <si>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</si>
  <si>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</si>
  <si>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</si>
  <si>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</si>
  <si>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</si>
  <si>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</si>
  <si>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</si>
  <si>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</si>
  <si>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</si>
  <si>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</si>
  <si>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</si>
  <si>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</si>
  <si>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</si>
  <si>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</si>
  <si>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</si>
  <si>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</si>
  <si>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</si>
  <si>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</si>
  <si>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</si>
  <si>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</si>
  <si>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</si>
  <si>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</si>
  <si>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</si>
  <si>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</si>
  <si>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</si>
  <si>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</si>
  <si>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</si>
  <si>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</si>
  <si>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</si>
  <si>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</si>
  <si>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</si>
  <si>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</si>
  <si>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</si>
  <si>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</si>
  <si>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</si>
  <si>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</si>
  <si>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</si>
  <si>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</si>
  <si>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</si>
  <si>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</si>
  <si>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</si>
  <si>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</si>
  <si>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</si>
  <si>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</si>
  <si>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</si>
  <si>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</si>
  <si>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</si>
  <si>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</si>
  <si>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</si>
  <si>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</si>
  <si>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</si>
  <si>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</si>
  <si>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</si>
  <si>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</si>
  <si>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</si>
  <si>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</si>
  <si>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</si>
  <si>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</si>
  <si>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</si>
  <si>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</si>
  <si>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</si>
  <si>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</si>
  <si>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</si>
  <si>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</si>
  <si>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</si>
  <si>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</si>
  <si>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</si>
  <si>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</si>
  <si>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</si>
  <si>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</si>
  <si>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</si>
  <si>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</si>
  <si>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</si>
  <si>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</si>
  <si>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</si>
  <si>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</si>
  <si>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</si>
  <si>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</si>
  <si>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</si>
  <si>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</si>
  <si>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</si>
  <si>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</si>
  <si>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</si>
  <si>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</si>
  <si>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</si>
  <si>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</si>
  <si>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</si>
  <si>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</si>
  <si>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</si>
  <si>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</si>
  <si>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</si>
  <si>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</si>
  <si>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</si>
  <si>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</si>
  <si>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</si>
  <si>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</si>
  <si>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</si>
  <si>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</si>
  <si>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</si>
  <si>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</si>
  <si>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</si>
  <si>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</si>
  <si>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</si>
  <si>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</si>
  <si>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</si>
  <si>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</si>
  <si>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</si>
  <si>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</si>
  <si>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</si>
  <si>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</si>
  <si>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</si>
  <si>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</si>
  <si>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</si>
  <si>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</si>
  <si>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</si>
  <si>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</si>
  <si>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</si>
  <si>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</si>
  <si>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</si>
  <si>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</si>
  <si>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</si>
  <si>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</si>
  <si>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</si>
  <si>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</si>
  <si>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</si>
  <si>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</si>
  <si>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</si>
  <si>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</si>
  <si>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</si>
  <si>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</si>
  <si>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</si>
  <si>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</si>
  <si>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</si>
  <si>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</si>
  <si>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</si>
  <si>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</si>
  <si>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</si>
  <si>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</si>
  <si>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</si>
  <si>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</si>
  <si>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</si>
  <si>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</si>
  <si>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</si>
  <si>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</si>
  <si>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</si>
  <si>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</si>
  <si>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</si>
  <si>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</si>
  <si>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</si>
  <si>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</si>
  <si>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</si>
  <si>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</si>
  <si>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</si>
  <si>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</si>
  <si>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</si>
  <si>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</si>
  <si>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</si>
  <si>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</si>
  <si>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</si>
  <si>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</si>
  <si>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</si>
  <si>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</si>
  <si>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</si>
  <si>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</si>
  <si>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</si>
  <si>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</si>
  <si>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</si>
  <si>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</si>
  <si>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</si>
  <si>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</si>
  <si>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</si>
  <si>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</si>
  <si>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</si>
  <si>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</si>
  <si>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</si>
  <si>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</si>
  <si>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</si>
  <si>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</si>
  <si>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</si>
  <si>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</si>
  <si>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</si>
  <si>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</si>
  <si>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</si>
  <si>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</si>
  <si>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</si>
  <si>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</si>
  <si>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</si>
  <si>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</si>
  <si>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</si>
  <si>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</si>
  <si>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</si>
  <si>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</si>
  <si>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</si>
  <si>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</si>
  <si>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</si>
  <si>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</si>
  <si>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</si>
  <si>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</si>
  <si>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</si>
  <si>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</si>
  <si>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</si>
  <si>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</si>
  <si>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</si>
  <si>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</si>
  <si>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</si>
  <si>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</si>
  <si>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</si>
  <si>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</si>
  <si>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</si>
  <si>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</si>
  <si>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</si>
  <si>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</si>
  <si>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</si>
  <si>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</si>
  <si>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</si>
  <si>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</si>
  <si>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</si>
  <si>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</si>
  <si>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</si>
  <si>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</si>
  <si>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</si>
  <si>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</si>
  <si>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</si>
  <si>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</si>
  <si>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</si>
  <si>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</si>
  <si>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</si>
  <si>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</si>
  <si>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</si>
  <si>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</si>
  <si>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</si>
  <si>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</si>
  <si>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</si>
  <si>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</si>
  <si>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</si>
  <si>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</si>
  <si>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</si>
  <si>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</si>
  <si>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</si>
  <si>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</si>
  <si>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</si>
  <si>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</si>
  <si>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</si>
  <si>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</si>
  <si>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</si>
  <si>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</si>
  <si>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</si>
  <si>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</si>
  <si>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</si>
  <si>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</si>
  <si>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</si>
  <si>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</si>
  <si>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</si>
  <si>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</si>
  <si>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</si>
  <si>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</si>
  <si>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</si>
  <si>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</si>
  <si>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</si>
  <si>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</si>
  <si>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</si>
  <si>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</si>
  <si>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</si>
  <si>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</si>
  <si>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</si>
  <si>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</si>
  <si>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</si>
  <si>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</si>
  <si>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</si>
  <si>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</si>
  <si>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</si>
  <si>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</si>
  <si>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</si>
  <si>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</si>
  <si>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</si>
  <si>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</si>
  <si>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</si>
  <si>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</si>
  <si>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</si>
  <si>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</si>
  <si>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</si>
  <si>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</si>
  <si>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</si>
  <si>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</si>
  <si>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</si>
  <si>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</si>
  <si>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</si>
  <si>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</si>
  <si>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</si>
  <si>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</si>
  <si>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</si>
  <si>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</si>
  <si>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</si>
  <si>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</si>
  <si>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</si>
  <si>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</si>
  <si>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</si>
  <si>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</si>
  <si>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</si>
  <si>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</si>
  <si>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</si>
  <si>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</si>
  <si>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</si>
  <si>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</si>
  <si>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</si>
  <si>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</si>
  <si>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</si>
  <si>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</si>
  <si>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</si>
  <si>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</si>
  <si>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</si>
  <si>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</si>
  <si>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</si>
  <si>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</si>
  <si>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</si>
  <si>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</si>
  <si>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</si>
  <si>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</si>
  <si>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</si>
  <si>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</si>
  <si>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</si>
  <si>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</si>
  <si>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</si>
  <si>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</si>
  <si>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</si>
  <si>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</si>
  <si>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</si>
  <si>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</si>
  <si>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</si>
  <si>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</si>
  <si>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</si>
  <si>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</si>
  <si>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</si>
  <si>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</si>
  <si>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</si>
  <si>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</si>
  <si>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</si>
  <si>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</si>
  <si>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</si>
  <si>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</si>
  <si>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</si>
  <si>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</si>
  <si>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</si>
  <si>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</si>
  <si>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</si>
  <si>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</si>
  <si>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</si>
  <si>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</si>
  <si>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</si>
  <si>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</si>
  <si>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</si>
  <si>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</si>
  <si>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</si>
  <si>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</si>
  <si>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</si>
  <si>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</si>
  <si>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</si>
  <si>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</si>
  <si>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</si>
  <si>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</si>
  <si>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</si>
  <si>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</si>
  <si>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</si>
  <si>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</si>
  <si>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</si>
  <si>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</si>
  <si>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</si>
  <si>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</si>
  <si>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</si>
  <si>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</si>
  <si>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</si>
  <si>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</si>
  <si>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</si>
  <si>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</si>
  <si>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</si>
  <si>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</si>
  <si>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</si>
  <si>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</si>
  <si>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</si>
  <si>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</si>
  <si>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</si>
  <si>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</si>
  <si>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</si>
  <si>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</si>
  <si>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</si>
  <si>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</si>
  <si>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</si>
  <si>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</si>
  <si>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</si>
  <si>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</si>
  <si>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</si>
  <si>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</si>
  <si>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</si>
  <si>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</si>
  <si>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</si>
  <si>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</si>
  <si>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</si>
  <si>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</si>
  <si>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</si>
  <si>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</si>
  <si>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</si>
  <si>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</si>
  <si>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</si>
  <si>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</si>
  <si>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</si>
  <si>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</si>
  <si>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</si>
  <si>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</si>
  <si>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</si>
  <si>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</si>
  <si>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</si>
  <si>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</si>
  <si>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</si>
  <si>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</si>
  <si>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</si>
  <si>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</si>
  <si>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</si>
  <si>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</si>
  <si>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</si>
  <si>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</si>
  <si>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</si>
  <si>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</si>
  <si>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</si>
  <si>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</si>
  <si>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</si>
  <si>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</si>
  <si>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</si>
  <si>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</si>
  <si>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</si>
  <si>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</si>
  <si>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</si>
  <si>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</si>
  <si>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</si>
  <si>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</si>
  <si>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</si>
  <si>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</si>
  <si>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</si>
  <si>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</si>
  <si>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</si>
  <si>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</si>
  <si>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</si>
  <si>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</si>
  <si>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</si>
  <si>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</si>
  <si>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</si>
  <si>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</si>
  <si>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</si>
  <si>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</si>
  <si>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</si>
  <si>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</si>
  <si>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</si>
  <si>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</si>
  <si>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</si>
  <si>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</si>
  <si>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</si>
  <si>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</si>
  <si>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</si>
  <si>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</si>
  <si>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</si>
  <si>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</si>
  <si>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</si>
  <si>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</si>
  <si>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</si>
  <si>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</si>
  <si>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</si>
  <si>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</si>
  <si>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</si>
  <si>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</si>
  <si>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</si>
  <si>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</si>
  <si>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</si>
  <si>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</si>
  <si>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</si>
  <si>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</si>
  <si>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</si>
  <si>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</si>
  <si>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</si>
  <si>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</si>
  <si>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</si>
  <si>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</si>
  <si>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</si>
  <si>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</si>
  <si>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</si>
  <si>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</si>
  <si>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</si>
  <si>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</si>
  <si>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</si>
  <si>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</si>
  <si>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</si>
  <si>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</si>
  <si>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</si>
  <si>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</si>
  <si>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</si>
  <si>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</si>
  <si>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</si>
  <si>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</si>
  <si>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</si>
  <si>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</si>
  <si>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</si>
  <si>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</si>
  <si>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</si>
  <si>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</si>
  <si>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</si>
  <si>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</si>
  <si>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</si>
  <si>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</si>
  <si>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</si>
  <si>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</si>
  <si>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</si>
  <si>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</si>
  <si>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</si>
  <si>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</si>
  <si>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</si>
  <si>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</si>
  <si>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</si>
  <si>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</si>
  <si>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</si>
  <si>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</si>
  <si>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</si>
  <si>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</si>
  <si>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</si>
  <si>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</si>
  <si>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</si>
  <si>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</si>
  <si>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</si>
  <si>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</si>
  <si>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</si>
  <si>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</si>
  <si>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</si>
  <si>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</si>
  <si>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</si>
  <si>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</si>
  <si>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</si>
  <si>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</si>
  <si>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</si>
  <si>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</si>
  <si>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</si>
  <si>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</si>
  <si>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</si>
  <si>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</si>
  <si>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</si>
  <si>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</si>
  <si>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</si>
  <si>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</si>
  <si>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</si>
  <si>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</si>
  <si>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</si>
  <si>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</si>
  <si>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</si>
  <si>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</si>
  <si>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</si>
  <si>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</si>
  <si>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</si>
  <si>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</si>
  <si>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</si>
  <si>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</si>
  <si>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</si>
  <si>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</si>
  <si>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</si>
  <si>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</si>
  <si>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</si>
  <si>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</si>
  <si>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</si>
  <si>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</si>
  <si>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</si>
  <si>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</si>
  <si>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</si>
  <si>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</si>
  <si>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</si>
  <si>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</si>
  <si>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</si>
  <si>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</si>
  <si>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</si>
  <si>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</si>
  <si>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</si>
  <si>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</si>
  <si>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</si>
  <si>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</si>
  <si>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</si>
  <si>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</si>
  <si>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</si>
  <si>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</si>
  <si>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</si>
  <si>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</si>
  <si>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</si>
  <si>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</si>
  <si>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</si>
  <si>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</si>
  <si>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</si>
  <si>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</si>
  <si>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</si>
  <si>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</si>
  <si>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</si>
  <si>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</si>
  <si>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</si>
  <si>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</si>
  <si>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</si>
  <si>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</si>
  <si>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</si>
  <si>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</si>
  <si>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</si>
  <si>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</si>
  <si>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</si>
  <si>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</si>
  <si>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</si>
  <si>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</si>
  <si>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</si>
  <si>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</si>
  <si>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</si>
  <si>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</si>
  <si>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</si>
  <si>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</si>
  <si>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</si>
  <si>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</si>
  <si>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</si>
  <si>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</si>
  <si>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</si>
  <si>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</si>
  <si>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</si>
  <si>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</si>
  <si>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</si>
  <si>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</si>
  <si>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</si>
  <si>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</si>
  <si>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</si>
  <si>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</si>
  <si>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</si>
  <si>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</si>
  <si>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</si>
  <si>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</si>
  <si>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</si>
  <si>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</si>
  <si>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</si>
  <si>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</si>
  <si>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</si>
  <si>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</si>
  <si>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</si>
  <si>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</si>
  <si>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</si>
  <si>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</si>
  <si>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</si>
  <si>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</si>
  <si>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</si>
  <si>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</si>
  <si>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</si>
  <si>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</si>
  <si>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</si>
  <si>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</si>
  <si>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</si>
  <si>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</si>
  <si>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</si>
  <si>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</si>
  <si>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</si>
  <si>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</si>
  <si>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</si>
  <si>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</si>
  <si>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</si>
  <si>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</si>
  <si>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</si>
  <si>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</si>
  <si>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</si>
  <si>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</si>
  <si>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</si>
  <si>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</si>
  <si>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</si>
  <si>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</si>
  <si>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</si>
  <si>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</si>
  <si>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</si>
  <si>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</si>
  <si>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</si>
  <si>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</si>
  <si>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</si>
  <si>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</si>
  <si>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</si>
  <si>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</si>
  <si>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</si>
  <si>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</si>
  <si>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</si>
  <si>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</si>
  <si>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</si>
  <si>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</si>
  <si>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</si>
  <si>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</si>
  <si>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</si>
  <si>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</si>
  <si>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</si>
  <si>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</si>
  <si>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</si>
  <si>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</si>
  <si>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</si>
  <si>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</si>
  <si>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</si>
  <si>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</si>
  <si>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</si>
  <si>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</si>
  <si>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</si>
  <si>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</si>
  <si>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</si>
  <si>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</si>
  <si>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</si>
  <si>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</si>
  <si>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</si>
  <si>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</si>
  <si>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</si>
  <si>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</si>
  <si>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</si>
  <si>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</si>
  <si>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</si>
  <si>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</si>
  <si>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</si>
  <si>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</si>
  <si>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</si>
  <si>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</si>
  <si>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</si>
  <si>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</si>
  <si>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</si>
  <si>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</si>
  <si>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</si>
  <si>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</si>
  <si>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</si>
  <si>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</si>
  <si>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</si>
  <si>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</si>
  <si>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</si>
  <si>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</si>
  <si>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</si>
  <si>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</si>
  <si>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</si>
  <si>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</si>
  <si>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</si>
  <si>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</si>
  <si>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</si>
  <si>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</si>
  <si>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</si>
  <si>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</si>
  <si>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</si>
  <si>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</si>
  <si>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</si>
  <si>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</si>
  <si>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</si>
  <si>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</si>
  <si>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</si>
  <si>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</si>
  <si>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</si>
  <si>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</si>
  <si>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</si>
  <si>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</si>
  <si>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</si>
  <si>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</si>
  <si>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</si>
  <si>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</si>
  <si>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</si>
  <si>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</si>
  <si>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</si>
  <si>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</si>
  <si>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</si>
  <si>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</si>
  <si>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</si>
  <si>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</si>
  <si>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</si>
  <si>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</si>
  <si>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</si>
  <si>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</si>
  <si>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</si>
  <si>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</si>
  <si>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</si>
  <si>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</si>
  <si>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</si>
  <si>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</si>
  <si>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</si>
  <si>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</si>
  <si>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</si>
  <si>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</si>
  <si>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</si>
  <si>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</si>
  <si>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</si>
  <si>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</si>
  <si>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</si>
  <si>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</si>
  <si>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</si>
  <si>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</si>
  <si>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</si>
  <si>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</si>
  <si>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</si>
  <si>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</si>
  <si>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</si>
  <si>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</si>
  <si>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</si>
  <si>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</si>
  <si>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</si>
  <si>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</si>
  <si>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</si>
  <si>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</si>
  <si>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</si>
  <si>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</si>
  <si>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</si>
  <si>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</si>
  <si>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</si>
  <si>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</si>
  <si>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</si>
  <si>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</si>
  <si>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</si>
  <si>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</si>
  <si>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</si>
  <si>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</si>
  <si>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</si>
  <si>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</si>
  <si>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</si>
  <si>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</si>
  <si>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</si>
  <si>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</si>
  <si>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</si>
  <si>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</si>
  <si>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</si>
  <si>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</si>
  <si>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</si>
  <si>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</si>
  <si>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</si>
  <si>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</si>
  <si>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</si>
  <si>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</si>
  <si>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</si>
  <si>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</si>
  <si>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</si>
  <si>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</si>
  <si>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</si>
  <si>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</si>
  <si>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</si>
  <si>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</si>
  <si>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</si>
  <si>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</si>
  <si>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</si>
  <si>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</si>
  <si>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</si>
  <si>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</si>
  <si>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</si>
  <si>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</si>
  <si>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</si>
  <si>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</si>
  <si>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</si>
  <si>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</si>
  <si>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</si>
  <si>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</si>
  <si>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</si>
  <si>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</si>
  <si>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</si>
  <si>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</si>
  <si>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</si>
  <si>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</si>
  <si>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</si>
  <si>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</si>
  <si>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</si>
  <si>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</si>
  <si>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</si>
  <si>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</si>
  <si>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</si>
  <si>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</si>
  <si>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</si>
  <si>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</si>
  <si>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</si>
  <si>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</si>
  <si>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</si>
  <si>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</si>
  <si>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</si>
  <si>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</si>
  <si>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</si>
  <si>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</si>
  <si>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</si>
  <si>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</si>
  <si>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</si>
  <si>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</si>
  <si>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</si>
  <si>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</si>
  <si>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</si>
  <si>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</si>
  <si>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</si>
  <si>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</si>
  <si>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</si>
  <si>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</si>
  <si>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</si>
  <si>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</si>
  <si>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</si>
  <si>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</si>
  <si>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</si>
  <si>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</si>
  <si>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</si>
  <si>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</si>
  <si>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</si>
  <si>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</si>
  <si>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</si>
  <si>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</si>
  <si>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</si>
  <si>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</si>
  <si>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</si>
  <si>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</si>
  <si>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</si>
  <si>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</si>
  <si>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</si>
  <si>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</si>
  <si>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</si>
  <si>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</si>
  <si>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</si>
  <si>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</si>
  <si>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</si>
  <si>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</si>
  <si>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</si>
  <si>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</si>
  <si>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</si>
  <si>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</si>
  <si>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</si>
  <si>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</si>
  <si>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</si>
  <si>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</si>
  <si>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</si>
  <si>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</si>
  <si>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</si>
  <si>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</si>
  <si>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</si>
  <si>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</si>
  <si>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</si>
  <si>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</si>
  <si>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</si>
  <si>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</si>
  <si>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</si>
  <si>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</si>
  <si>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</si>
  <si>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</si>
  <si>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</si>
  <si>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</si>
  <si>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</si>
  <si>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</si>
  <si>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</si>
  <si>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</si>
  <si>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</si>
  <si>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</si>
  <si>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</si>
  <si>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</si>
  <si>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</si>
  <si>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</si>
  <si>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</si>
  <si>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</si>
  <si>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</si>
  <si>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</si>
  <si>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</si>
  <si>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</si>
  <si>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</si>
  <si>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</si>
  <si>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</si>
  <si>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</si>
  <si>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</si>
  <si>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</si>
  <si>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</si>
  <si>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</si>
  <si>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</si>
  <si>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</si>
  <si>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</si>
  <si>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</si>
  <si>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</si>
  <si>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</si>
  <si>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</si>
  <si>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</si>
  <si>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</si>
  <si>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</si>
  <si>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</si>
  <si>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</si>
  <si>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</si>
  <si>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</si>
  <si>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</si>
  <si>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</si>
  <si>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</si>
  <si>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</si>
  <si>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</si>
  <si>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</si>
  <si>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</si>
  <si>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</si>
  <si>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</si>
  <si>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</si>
  <si>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</si>
  <si>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</si>
  <si>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</si>
  <si>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</si>
  <si>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</si>
  <si>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</si>
  <si>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</si>
  <si>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</si>
  <si>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</si>
  <si>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</si>
  <si>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</si>
  <si>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</si>
  <si>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</si>
  <si>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</si>
  <si>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</si>
  <si>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</si>
  <si>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</si>
  <si>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</si>
  <si>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</si>
  <si>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</si>
  <si>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</si>
  <si>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</si>
  <si>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</si>
  <si>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</si>
  <si>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</si>
  <si>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</si>
  <si>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</si>
  <si>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</si>
  <si>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</si>
  <si>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</si>
  <si>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</si>
  <si>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</si>
  <si>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</si>
  <si>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</si>
  <si>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</si>
  <si>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</si>
  <si>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</si>
  <si>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</si>
  <si>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</si>
  <si>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</si>
  <si>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</si>
  <si>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</si>
  <si>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</si>
  <si>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</si>
  <si>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</si>
  <si>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</si>
  <si>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</si>
  <si>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</si>
  <si>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</si>
  <si>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</si>
  <si>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</si>
  <si>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</si>
  <si>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</si>
  <si>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</si>
  <si>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</si>
  <si>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</si>
  <si>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</si>
  <si>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</si>
  <si>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</si>
  <si>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</si>
  <si>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</si>
  <si>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</si>
  <si>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</si>
  <si>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</si>
  <si>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</si>
  <si>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</si>
  <si>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</si>
  <si>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</si>
  <si>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</si>
  <si>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</si>
  <si>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</si>
  <si>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</si>
  <si>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</si>
  <si>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</si>
  <si>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</si>
  <si>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</si>
  <si>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</si>
  <si>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</si>
  <si>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</si>
  <si>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</si>
  <si>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</si>
  <si>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</si>
  <si>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</si>
  <si>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</si>
  <si>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</si>
  <si>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</si>
  <si>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</si>
  <si>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</si>
  <si>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</si>
  <si>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</si>
  <si>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</si>
  <si>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</si>
  <si>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</si>
  <si>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</si>
  <si>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</si>
  <si>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</si>
  <si>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</si>
  <si>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</si>
  <si>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</si>
  <si>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</si>
  <si>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</si>
  <si>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</si>
  <si>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</si>
  <si>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</si>
  <si>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</si>
  <si>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</si>
  <si>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</si>
  <si>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</si>
  <si>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</si>
  <si>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</si>
  <si>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</si>
  <si>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</si>
  <si>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</si>
  <si>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</si>
  <si>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</si>
  <si>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</si>
  <si>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</si>
  <si>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</si>
  <si>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</si>
  <si>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</si>
  <si>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</si>
  <si>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</si>
  <si>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</si>
  <si>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</si>
  <si>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</si>
  <si>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</si>
  <si>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</si>
  <si>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</si>
  <si>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</si>
  <si>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</si>
  <si>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</si>
  <si>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</si>
  <si>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</si>
  <si>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</si>
  <si>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</si>
  <si>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</si>
  <si>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</si>
  <si>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</si>
  <si>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</si>
  <si>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</si>
  <si>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</si>
  <si>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</si>
  <si>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</si>
  <si>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</si>
  <si>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</si>
  <si>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</si>
  <si>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</si>
  <si>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</si>
  <si>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</si>
  <si>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</si>
  <si>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</si>
  <si>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</si>
  <si>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</si>
  <si>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</si>
  <si>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</si>
  <si>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</si>
  <si>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</si>
  <si>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</si>
  <si>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</si>
  <si>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</si>
  <si>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</si>
  <si>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</si>
  <si>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</si>
  <si>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</si>
  <si>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</si>
  <si>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</si>
  <si>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</si>
  <si>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</si>
  <si>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</si>
  <si>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</si>
  <si>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</si>
  <si>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</si>
  <si>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</si>
  <si>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</si>
  <si>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</si>
  <si>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</si>
  <si>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</si>
  <si>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</si>
  <si>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</si>
  <si>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</si>
  <si>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</si>
  <si>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</si>
  <si>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</si>
  <si>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</si>
  <si>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</si>
  <si>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</si>
  <si>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</si>
  <si>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</si>
  <si>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</si>
  <si>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</si>
  <si>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</si>
  <si>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</si>
  <si>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</si>
  <si>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</si>
  <si>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</si>
  <si>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</si>
  <si>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</si>
  <si>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</si>
  <si>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</si>
  <si>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</si>
  <si>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</si>
  <si>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</si>
  <si>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</si>
  <si>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</si>
  <si>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</si>
  <si>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</si>
  <si>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</si>
  <si>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</si>
  <si>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</si>
  <si>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</si>
  <si>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</si>
  <si>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</si>
  <si>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</si>
  <si>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</si>
  <si>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</si>
  <si>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</si>
  <si>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</si>
  <si>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</si>
  <si>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</si>
  <si>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</si>
  <si>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</si>
  <si>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</si>
  <si>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</si>
  <si>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</si>
  <si>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</si>
  <si>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</si>
  <si>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</si>
  <si>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</si>
  <si>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</si>
  <si>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</si>
  <si>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</si>
  <si>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</si>
  <si>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</si>
  <si>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</si>
  <si>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</si>
  <si>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</si>
  <si>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</si>
  <si>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</si>
  <si>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</si>
  <si>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</si>
  <si>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</si>
  <si>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</si>
  <si>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</si>
  <si>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</si>
  <si>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</si>
  <si>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</si>
  <si>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</si>
  <si>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</si>
  <si>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</si>
  <si>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</si>
  <si>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</si>
  <si>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</si>
  <si>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</si>
  <si>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</si>
  <si>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</si>
  <si>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</si>
  <si>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</si>
  <si>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</si>
  <si>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</si>
  <si>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</si>
  <si>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</si>
  <si>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</si>
  <si>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</si>
  <si>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</si>
  <si>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</si>
  <si>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</si>
  <si>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</si>
  <si>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</si>
  <si>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</si>
  <si>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</si>
  <si>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</si>
  <si>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</si>
  <si>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</si>
  <si>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</si>
  <si>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</si>
  <si>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</si>
  <si>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</si>
  <si>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</si>
  <si>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</si>
  <si>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</si>
  <si>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</si>
  <si>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</si>
  <si>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</si>
  <si>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</si>
  <si>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</si>
  <si>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</si>
  <si>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</si>
  <si>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</si>
  <si>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</si>
  <si>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</si>
  <si>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</si>
  <si>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</si>
  <si>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</si>
  <si>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</si>
  <si>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</si>
  <si>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</si>
  <si>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</si>
  <si>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</si>
  <si>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</si>
  <si>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</si>
  <si>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</si>
  <si>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</si>
  <si>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</si>
  <si>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</si>
  <si>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</si>
  <si>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</si>
  <si>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</si>
  <si>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</si>
  <si>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</si>
  <si>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</si>
  <si>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</si>
  <si>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</si>
  <si>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</si>
  <si>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</si>
  <si>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</si>
  <si>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</si>
  <si>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</si>
  <si>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</si>
  <si>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</si>
  <si>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</si>
  <si>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</si>
  <si>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</si>
  <si>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</si>
  <si>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</si>
  <si>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</si>
  <si>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</si>
  <si>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</si>
  <si>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</si>
  <si>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</si>
  <si>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</si>
  <si>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</si>
  <si>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</si>
  <si>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</si>
  <si>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</si>
  <si>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</si>
  <si>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</si>
  <si>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</si>
  <si>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</si>
  <si>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</si>
  <si>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</si>
  <si>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</si>
  <si>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</si>
  <si>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</si>
  <si>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</si>
  <si>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</si>
  <si>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</si>
  <si>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</si>
  <si>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</si>
  <si>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</si>
  <si>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</si>
  <si>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</si>
  <si>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</si>
  <si>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</si>
  <si>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</si>
  <si>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</si>
  <si>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</si>
  <si>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</si>
  <si>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</si>
  <si>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</si>
  <si>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</si>
  <si>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</si>
  <si>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</si>
  <si>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</si>
  <si>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</si>
  <si>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</si>
  <si>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</si>
  <si>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</si>
  <si>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</si>
  <si>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</si>
  <si>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</si>
  <si>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</si>
  <si>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</si>
  <si>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</si>
  <si>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</si>
  <si>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</si>
  <si>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</si>
  <si>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</si>
  <si>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</si>
  <si>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</si>
  <si>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</si>
  <si>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</si>
  <si>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</si>
  <si>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</si>
  <si>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</si>
  <si>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</si>
  <si>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</si>
  <si>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</si>
  <si>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</si>
  <si>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</si>
  <si>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</si>
  <si>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</si>
  <si>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</si>
  <si>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</si>
  <si>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</si>
  <si>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</si>
  <si>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</si>
  <si>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</si>
  <si>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</si>
  <si>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</si>
  <si>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</si>
  <si>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</si>
  <si>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</si>
  <si>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</si>
  <si>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</si>
  <si>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</si>
  <si>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</si>
  <si>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</si>
  <si>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</si>
  <si>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</si>
  <si>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</si>
  <si>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</si>
  <si>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</si>
  <si>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</si>
  <si>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</si>
  <si>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</si>
  <si>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</si>
  <si>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</si>
  <si>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</si>
  <si>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</si>
  <si>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</si>
  <si>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</si>
  <si>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</si>
  <si>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</si>
  <si>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</si>
  <si>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</si>
  <si>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</si>
  <si>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</si>
  <si>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</si>
  <si>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</si>
  <si>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</si>
  <si>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</si>
  <si>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</si>
  <si>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</si>
  <si>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</si>
  <si>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</si>
  <si>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</si>
  <si>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</si>
  <si>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</si>
  <si>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</si>
  <si>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</si>
  <si>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</si>
  <si>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</si>
  <si>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</si>
  <si>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</si>
  <si>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</si>
  <si>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</si>
  <si>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</si>
  <si>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</si>
  <si>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</si>
  <si>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</si>
  <si>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</si>
  <si>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</si>
  <si>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</si>
  <si>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</si>
  <si>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</si>
  <si>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</si>
  <si>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</si>
  <si>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</si>
  <si>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</si>
  <si>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</si>
  <si>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</si>
  <si>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</si>
  <si>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</si>
  <si>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</si>
  <si>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</si>
  <si>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</si>
  <si>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</si>
  <si>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</si>
  <si>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</si>
  <si>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</si>
  <si>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</si>
  <si>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</si>
  <si>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</si>
  <si>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</si>
  <si>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</si>
  <si>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</si>
  <si>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</si>
  <si>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</si>
  <si>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</si>
  <si>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</si>
  <si>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</si>
  <si>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</si>
  <si>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</si>
  <si>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</si>
  <si>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</si>
  <si>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</si>
  <si>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</si>
  <si>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</si>
  <si>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</si>
  <si>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</si>
  <si>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</si>
  <si>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</si>
  <si>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</si>
  <si>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</si>
  <si>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</si>
  <si>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</si>
  <si>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</si>
  <si>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</si>
  <si>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</si>
  <si>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</si>
  <si>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</si>
  <si>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</si>
  <si>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</si>
  <si>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</si>
  <si>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</si>
  <si>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</si>
  <si>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</si>
  <si>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</si>
  <si>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</si>
  <si>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</si>
  <si>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</si>
  <si>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</si>
  <si>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</si>
  <si>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</si>
  <si>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</si>
  <si>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</si>
  <si>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</si>
  <si>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</si>
  <si>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</si>
  <si>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</si>
  <si>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</si>
  <si>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</si>
  <si>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</si>
  <si>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</si>
  <si>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</si>
  <si>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</si>
  <si>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</si>
  <si>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</si>
  <si>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</si>
  <si>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</si>
  <si>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</si>
  <si>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</si>
  <si>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</si>
  <si>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</si>
  <si>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</si>
  <si>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</si>
  <si>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</si>
  <si>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</si>
  <si>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</si>
  <si>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</si>
  <si>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</si>
  <si>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</si>
  <si>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</si>
  <si>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</si>
  <si>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</si>
  <si>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</si>
  <si>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</si>
  <si>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</si>
  <si>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</si>
  <si>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</si>
  <si>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</si>
  <si>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</si>
  <si>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</si>
  <si>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</si>
  <si>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</si>
  <si>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</si>
  <si>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</si>
  <si>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</si>
  <si>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</si>
  <si>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</si>
  <si>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</si>
  <si>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</si>
  <si>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</si>
  <si>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</si>
  <si>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</si>
  <si>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</si>
  <si>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</si>
  <si>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</si>
  <si>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</si>
  <si>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</si>
  <si>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</si>
  <si>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</si>
  <si>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</si>
  <si>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</si>
  <si>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</si>
  <si>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</si>
  <si>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</si>
  <si>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</si>
  <si>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</si>
  <si>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</si>
  <si>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</si>
  <si>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</si>
  <si>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</si>
  <si>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</si>
  <si>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</si>
  <si>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</si>
  <si>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</si>
  <si>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</si>
  <si>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</si>
  <si>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</si>
  <si>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</si>
  <si>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</si>
  <si>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</si>
  <si>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</si>
  <si>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</si>
  <si>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</si>
  <si>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</si>
  <si>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</si>
  <si>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</si>
  <si>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</si>
  <si>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</si>
  <si>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</si>
  <si>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</si>
  <si>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</si>
  <si>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</si>
  <si>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</si>
  <si>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</si>
  <si>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</si>
  <si>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</si>
  <si>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</si>
  <si>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</si>
  <si>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</si>
  <si>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</si>
  <si>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</si>
  <si>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</si>
  <si>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</si>
  <si>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</si>
  <si>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</si>
  <si>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</si>
  <si>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</si>
  <si>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</si>
  <si>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</si>
  <si>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</si>
  <si>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</si>
  <si>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</si>
  <si>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</si>
  <si>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</si>
  <si>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</si>
  <si>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</si>
  <si>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</si>
  <si>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</si>
  <si>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</si>
  <si>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</si>
  <si>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</si>
  <si>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</si>
  <si>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</si>
  <si>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</si>
  <si>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</si>
  <si>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</si>
  <si>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</si>
  <si>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</si>
  <si>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</si>
  <si>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</si>
  <si>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</si>
  <si>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</si>
  <si>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</si>
  <si>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</si>
  <si>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</si>
  <si>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</si>
  <si>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</si>
  <si>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</si>
  <si>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</si>
  <si>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</si>
  <si>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</si>
  <si>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</si>
  <si>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</si>
  <si>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</si>
  <si>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</si>
  <si>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</si>
  <si>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</si>
  <si>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</si>
  <si>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</si>
  <si>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</si>
  <si>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</si>
  <si>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</si>
  <si>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</si>
  <si>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</si>
  <si>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</si>
  <si>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</si>
  <si>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</si>
  <si>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</si>
  <si>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</si>
  <si>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</si>
  <si>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</si>
  <si>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</si>
  <si>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</si>
  <si>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</si>
  <si>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</si>
  <si>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</si>
  <si>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</si>
  <si>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</si>
  <si>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</si>
  <si>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</si>
  <si>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</si>
  <si>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</si>
  <si>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</si>
  <si>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</si>
  <si>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</si>
  <si>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</si>
  <si>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</si>
  <si>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</si>
  <si>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</si>
  <si>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</si>
  <si>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</si>
  <si>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</si>
  <si>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</si>
  <si>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</si>
  <si>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</si>
  <si>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</si>
  <si>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</si>
  <si>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</si>
  <si>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</si>
  <si>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</si>
  <si>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</si>
  <si>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</si>
  <si>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</si>
  <si>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</si>
  <si>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</si>
  <si>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</si>
  <si>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</si>
  <si>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</si>
  <si>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</si>
  <si>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</si>
  <si>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</si>
  <si>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</si>
  <si>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</si>
  <si>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</si>
  <si>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</si>
  <si>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</si>
  <si>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</si>
  <si>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</si>
  <si>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</si>
  <si>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</si>
  <si>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</si>
  <si>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</si>
  <si>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</si>
  <si>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</si>
  <si>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</si>
  <si>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</si>
  <si>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</si>
  <si>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</si>
  <si>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</si>
  <si>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</si>
  <si>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</si>
  <si>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</si>
  <si>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</si>
  <si>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</si>
  <si>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</si>
  <si>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</si>
  <si>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</si>
  <si>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</si>
  <si>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</si>
  <si>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</si>
  <si>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</si>
  <si>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</si>
  <si>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</si>
  <si>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</si>
  <si>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</si>
  <si>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</si>
  <si>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</si>
  <si>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</si>
  <si>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</si>
  <si>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</si>
  <si>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</si>
  <si>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</si>
  <si>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</si>
  <si>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</si>
  <si>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</si>
  <si>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</si>
  <si>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</si>
  <si>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</si>
  <si>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</si>
  <si>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</si>
  <si>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</si>
  <si>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</si>
  <si>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</si>
  <si>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</si>
  <si>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</si>
  <si>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</si>
  <si>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</si>
  <si>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</si>
  <si>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</si>
  <si>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</si>
  <si>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</si>
  <si>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</si>
  <si>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</si>
  <si>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</si>
  <si>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</si>
  <si>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</si>
  <si>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</si>
  <si>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</si>
  <si>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</si>
  <si>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</si>
  <si>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</si>
  <si>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</si>
  <si>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</si>
  <si>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</si>
  <si>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</si>
  <si>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</si>
  <si>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</si>
  <si>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</si>
  <si>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</si>
  <si>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</si>
  <si>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</si>
  <si>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</si>
  <si>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</si>
  <si>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</si>
  <si>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</si>
  <si>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</si>
  <si>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</si>
  <si>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</si>
  <si>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</si>
  <si>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</si>
  <si>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</si>
  <si>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</si>
  <si>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</si>
  <si>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</si>
  <si>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</si>
  <si>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</si>
  <si>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</si>
  <si>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</si>
  <si>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</si>
  <si>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</si>
  <si>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</si>
  <si>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</si>
  <si>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</si>
  <si>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</si>
  <si>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</si>
  <si>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</si>
  <si>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</si>
  <si>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</si>
  <si>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</si>
  <si>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</si>
  <si>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</si>
  <si>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</si>
  <si>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</si>
  <si>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</si>
  <si>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</si>
  <si>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</si>
  <si>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</si>
  <si>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</si>
  <si>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</si>
  <si>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</si>
  <si>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</si>
  <si>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</si>
  <si>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</si>
  <si>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</si>
  <si>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</si>
  <si>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</si>
  <si>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</si>
  <si>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</si>
  <si>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</si>
  <si>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</si>
  <si>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</si>
  <si>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</si>
  <si>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</si>
  <si>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</si>
  <si>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</si>
  <si>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</si>
  <si>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</si>
  <si>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</si>
  <si>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</si>
  <si>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</si>
  <si>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</si>
  <si>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</si>
  <si>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</si>
  <si>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</si>
  <si>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</si>
  <si>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</si>
  <si>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</si>
  <si>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</si>
  <si>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</si>
  <si>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</si>
  <si>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</si>
  <si>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</si>
  <si>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</si>
  <si>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</si>
  <si>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</si>
  <si>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</si>
  <si>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</si>
  <si>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</si>
  <si>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</si>
  <si>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</si>
  <si>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</si>
  <si>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</si>
  <si>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</si>
  <si>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</si>
  <si>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</si>
  <si>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</si>
  <si>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</si>
  <si>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</si>
  <si>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</si>
  <si>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</si>
  <si>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</si>
  <si>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</si>
  <si>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</si>
  <si>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</si>
  <si>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</si>
  <si>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</si>
  <si>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</si>
  <si>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</si>
  <si>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</si>
  <si>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</si>
  <si>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</si>
  <si>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</si>
  <si>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</si>
  <si>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</si>
  <si>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</si>
  <si>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</si>
  <si>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</si>
  <si>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</si>
  <si>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</si>
  <si>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</si>
  <si>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</si>
  <si>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</si>
  <si>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</si>
  <si>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</si>
  <si>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</si>
  <si>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</si>
  <si>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</si>
  <si>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</si>
  <si>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</si>
  <si>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</si>
  <si>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</si>
  <si>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</si>
  <si>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</si>
  <si>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</si>
  <si>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</si>
  <si>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</si>
  <si>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</si>
  <si>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</si>
  <si>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</si>
  <si>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</si>
  <si>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</si>
  <si>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</si>
  <si>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</si>
  <si>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</si>
  <si>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</si>
  <si>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</si>
  <si>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</si>
  <si>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</si>
  <si>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</si>
  <si>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</si>
  <si>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</si>
  <si>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</si>
  <si>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</si>
  <si>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</si>
  <si>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</si>
  <si>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</si>
  <si>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</si>
  <si>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</si>
  <si>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</si>
  <si>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</si>
  <si>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</si>
  <si>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</si>
  <si>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</si>
  <si>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</si>
  <si>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</si>
  <si>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</si>
  <si>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</si>
  <si>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</si>
  <si>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</si>
  <si>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</si>
  <si>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</si>
  <si>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</si>
  <si>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</si>
  <si>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</si>
  <si>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</si>
  <si>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</si>
  <si>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</si>
  <si>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</si>
  <si>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</si>
  <si>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</si>
  <si>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</si>
  <si>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</si>
  <si>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</si>
  <si>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</si>
  <si>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</si>
  <si>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</si>
  <si>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</si>
  <si>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</si>
  <si>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</si>
  <si>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</si>
  <si>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</si>
  <si>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</si>
  <si>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</si>
  <si>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</si>
  <si>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</si>
  <si>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</si>
  <si>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</si>
  <si>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</si>
  <si>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</si>
  <si>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</si>
  <si>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</si>
  <si>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</si>
  <si>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</si>
  <si>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</si>
  <si>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</si>
  <si>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</si>
  <si>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</si>
  <si>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</si>
  <si>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</si>
  <si>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</si>
  <si>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</si>
  <si>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</si>
  <si>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</si>
  <si>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</si>
  <si>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</si>
  <si>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</si>
  <si>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</si>
  <si>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</si>
  <si>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</si>
  <si>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</si>
  <si>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</si>
  <si>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</si>
  <si>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</si>
  <si>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</si>
  <si>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</si>
  <si>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</si>
  <si>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</si>
  <si>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</si>
  <si>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</si>
  <si>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</si>
  <si>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</si>
  <si>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</si>
  <si>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</si>
  <si>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</si>
  <si>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</si>
  <si>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</si>
  <si>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</si>
  <si>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</si>
  <si>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</si>
  <si>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</si>
  <si>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</si>
  <si>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</si>
  <si>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</si>
  <si>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</si>
  <si>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</si>
  <si>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</si>
  <si>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</si>
  <si>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</si>
  <si>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</si>
  <si>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</si>
  <si>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</si>
  <si>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</si>
  <si>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</si>
  <si>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</si>
  <si>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</si>
  <si>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</si>
  <si>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</si>
  <si>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</si>
  <si>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</si>
  <si>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</si>
  <si>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</si>
  <si>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</si>
  <si>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</si>
  <si>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</si>
  <si>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</si>
  <si>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</si>
  <si>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</si>
  <si>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</si>
  <si>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</si>
  <si>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</si>
  <si>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</si>
  <si>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</si>
  <si>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</si>
  <si>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</si>
  <si>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</si>
  <si>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</si>
  <si>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</si>
  <si>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</si>
  <si>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</si>
  <si>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</si>
  <si>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</si>
  <si>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</si>
  <si>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</si>
  <si>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</si>
  <si>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</si>
  <si>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</si>
  <si>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</si>
  <si>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</si>
  <si>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</si>
  <si>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</si>
  <si>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</si>
  <si>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</si>
  <si>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</si>
  <si>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</si>
  <si>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</si>
  <si>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</si>
  <si>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</si>
  <si>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</si>
  <si>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</si>
  <si>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</si>
  <si>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</si>
  <si>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</si>
  <si>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</si>
  <si>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</si>
  <si>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</si>
  <si>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</si>
  <si>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</si>
  <si>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</si>
  <si>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</si>
  <si>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</si>
  <si>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</si>
  <si>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</si>
  <si>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</si>
  <si>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</si>
  <si>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</si>
  <si>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</si>
  <si>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</si>
  <si>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</si>
  <si>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</si>
  <si>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</si>
  <si>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</si>
  <si>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</si>
  <si>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</si>
  <si>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</si>
  <si>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</si>
  <si>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</si>
  <si>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</si>
  <si>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</si>
  <si>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</si>
  <si>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</si>
  <si>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</si>
  <si>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</si>
  <si>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</si>
  <si>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</si>
  <si>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</si>
  <si>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</si>
  <si>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</si>
  <si>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</si>
  <si>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</si>
  <si>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</si>
  <si>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</si>
  <si>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</si>
  <si>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</si>
  <si>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</si>
  <si>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</si>
  <si>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</si>
  <si>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</si>
  <si>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</si>
  <si>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</si>
  <si>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</si>
  <si>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</si>
  <si>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</si>
  <si>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</si>
  <si>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</si>
  <si>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</si>
  <si>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</si>
  <si>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</si>
  <si>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</si>
  <si>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</si>
  <si>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</si>
  <si>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</si>
  <si>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</si>
  <si>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</si>
  <si>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</si>
  <si>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</si>
  <si>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</si>
  <si>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</si>
  <si>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</si>
  <si>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</si>
  <si>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</si>
  <si>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</si>
  <si>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</si>
  <si>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</si>
  <si>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</si>
  <si>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</si>
  <si>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</si>
  <si>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</si>
  <si>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</si>
  <si>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</si>
  <si>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</si>
  <si>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</si>
  <si>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</si>
  <si>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</si>
  <si>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</si>
  <si>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</si>
  <si>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</si>
  <si>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</si>
  <si>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</si>
  <si>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</si>
  <si>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</si>
  <si>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</si>
  <si>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</si>
  <si>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</si>
  <si>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</si>
  <si>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</si>
  <si>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</si>
  <si>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</si>
  <si>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</si>
  <si>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</si>
  <si>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</si>
  <si>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</si>
  <si>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</si>
  <si>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</si>
  <si>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</si>
  <si>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</si>
  <si>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</si>
  <si>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</si>
  <si>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</si>
  <si>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</si>
  <si>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</si>
  <si>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</si>
  <si>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</si>
  <si>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</si>
  <si>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</si>
  <si>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</si>
  <si>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</si>
  <si>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</si>
  <si>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</si>
  <si>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</si>
  <si>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</si>
  <si>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</si>
  <si>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</si>
  <si>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</si>
  <si>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</si>
  <si>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</si>
  <si>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</si>
  <si>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</si>
  <si>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</si>
  <si>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</si>
  <si>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</si>
  <si>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</si>
  <si>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</si>
  <si>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</si>
  <si>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</si>
  <si>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</si>
  <si>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</si>
  <si>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</si>
  <si>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</si>
  <si>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</si>
  <si>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</si>
  <si>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</si>
  <si>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</si>
  <si>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</si>
  <si>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</si>
  <si>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</si>
  <si>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</si>
  <si>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</si>
  <si>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</si>
  <si>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</si>
  <si>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</si>
  <si>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</si>
  <si>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</si>
  <si>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</si>
  <si>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</si>
  <si>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</si>
  <si>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</si>
  <si>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</si>
  <si>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</si>
  <si>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</si>
  <si>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</si>
  <si>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</si>
  <si>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</si>
  <si>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</si>
  <si>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</si>
  <si>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</si>
  <si>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</si>
  <si>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</si>
  <si>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</si>
  <si>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</si>
  <si>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</si>
  <si>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</si>
  <si>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</si>
  <si>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</si>
  <si>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</si>
  <si>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</si>
  <si>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</si>
  <si>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</si>
  <si>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</si>
  <si>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</si>
  <si>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</si>
  <si>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</si>
  <si>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</si>
  <si>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</si>
  <si>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</si>
  <si>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</si>
  <si>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</si>
  <si>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</si>
  <si>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</si>
  <si>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</si>
  <si>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</si>
  <si>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</si>
  <si>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</si>
  <si>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</si>
  <si>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</si>
  <si>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</si>
  <si>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</si>
  <si>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</si>
  <si>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</si>
  <si>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</si>
  <si>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</si>
  <si>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</si>
  <si>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</si>
  <si>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</si>
  <si>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</si>
  <si>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</si>
  <si>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</si>
  <si>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</si>
  <si>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</si>
  <si>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</si>
  <si>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</si>
  <si>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</si>
  <si>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</si>
  <si>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</si>
  <si>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</si>
  <si>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</si>
  <si>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</si>
  <si>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</si>
  <si>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</si>
  <si>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</si>
  <si>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</si>
  <si>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</si>
  <si>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</si>
  <si>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</si>
  <si>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</si>
  <si>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</si>
  <si>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</si>
  <si>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</si>
  <si>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</si>
  <si>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</si>
  <si>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</si>
  <si>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</si>
  <si>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</si>
  <si>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</si>
  <si>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</si>
  <si>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</si>
  <si>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</si>
  <si>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</si>
  <si>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</si>
  <si>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</si>
  <si>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</si>
  <si>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</si>
  <si>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</si>
  <si>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</si>
  <si>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</si>
  <si>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</si>
  <si>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</si>
  <si>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</si>
  <si>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</si>
  <si>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</si>
  <si>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</si>
  <si>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</si>
  <si>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</si>
  <si>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</si>
  <si>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</si>
  <si>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</si>
  <si>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</si>
  <si>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</si>
  <si>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</si>
  <si>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</si>
  <si>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</si>
  <si>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</si>
  <si>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</si>
  <si>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</si>
  <si>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</si>
  <si>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</si>
  <si>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</si>
  <si>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</si>
  <si>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</si>
  <si>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</si>
  <si>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</si>
  <si>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</si>
  <si>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</si>
  <si>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</si>
  <si>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</si>
  <si>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</si>
  <si>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</si>
  <si>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</si>
  <si>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</si>
  <si>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</si>
  <si>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</si>
  <si>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</si>
  <si>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</si>
  <si>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</si>
  <si>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</si>
  <si>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</si>
  <si>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</si>
  <si>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</si>
  <si>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</si>
  <si>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</si>
  <si>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</si>
  <si>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</si>
  <si>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</si>
  <si>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</si>
  <si>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</si>
  <si>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</si>
  <si>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</si>
  <si>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</si>
  <si>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</si>
  <si>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</si>
  <si>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</si>
  <si>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</si>
  <si>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</si>
  <si>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</si>
  <si>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</si>
  <si>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</si>
  <si>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</si>
  <si>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</si>
  <si>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</si>
  <si>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</si>
  <si>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</si>
  <si>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</si>
  <si>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</si>
  <si>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</si>
  <si>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</si>
  <si>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</si>
  <si>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</si>
  <si>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</si>
  <si>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</si>
  <si>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</si>
  <si>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</si>
  <si>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</si>
  <si>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</si>
  <si>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</si>
  <si>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</si>
  <si>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</si>
  <si>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</si>
  <si>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</si>
  <si>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</si>
  <si>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</si>
  <si>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</si>
  <si>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</si>
  <si>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</si>
  <si>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</si>
  <si>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</si>
  <si>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</si>
  <si>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</si>
  <si>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</si>
  <si>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</si>
  <si>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</si>
  <si>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</si>
  <si>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</si>
  <si>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</si>
  <si>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</si>
  <si>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</si>
  <si>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</si>
  <si>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</si>
  <si>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</si>
  <si>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</si>
  <si>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</si>
  <si>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</si>
  <si>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</si>
  <si>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</si>
  <si>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</si>
  <si>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</si>
  <si>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</si>
  <si>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</si>
  <si>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</si>
  <si>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</si>
  <si>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</si>
  <si>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</si>
  <si>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</si>
  <si>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</si>
  <si>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</si>
  <si>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</si>
  <si>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</si>
  <si>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</si>
  <si>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</si>
  <si>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</si>
  <si>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</si>
  <si>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</si>
  <si>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</si>
  <si>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</si>
  <si>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</si>
  <si>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</si>
  <si>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</si>
  <si>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</si>
  <si>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</si>
  <si>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</si>
  <si>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</si>
  <si>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</si>
  <si>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</si>
  <si>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</si>
  <si>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</si>
  <si>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</si>
  <si>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</si>
  <si>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</si>
  <si>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</si>
  <si>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</si>
  <si>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</si>
  <si>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</si>
  <si>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</si>
  <si>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</si>
  <si>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</si>
  <si>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</si>
  <si>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</si>
  <si>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</si>
  <si>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</si>
  <si>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</si>
  <si>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</si>
  <si>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</si>
  <si>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</si>
  <si>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</si>
  <si>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</si>
  <si>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</si>
  <si>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</si>
  <si>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</si>
  <si>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</si>
  <si>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</si>
  <si>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</si>
  <si>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</si>
  <si>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</si>
  <si>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</si>
  <si>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</si>
  <si>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</si>
  <si>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</si>
  <si>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</si>
  <si>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</si>
  <si>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</si>
  <si>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</si>
  <si>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</si>
  <si>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</si>
  <si>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</si>
  <si>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</si>
  <si>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</si>
  <si>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</si>
  <si>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</si>
  <si>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</si>
  <si>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</si>
  <si>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</si>
  <si>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</si>
  <si>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</si>
  <si>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</si>
  <si>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</si>
  <si>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</si>
  <si>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</si>
  <si>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</si>
  <si>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</si>
  <si>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</si>
  <si>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</si>
  <si>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</si>
  <si>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</si>
  <si>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</si>
  <si>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</si>
  <si>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</si>
  <si>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</si>
  <si>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</si>
  <si>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</si>
  <si>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</si>
  <si>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</si>
  <si>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</si>
  <si>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</si>
  <si>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</si>
  <si>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</si>
  <si>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</si>
  <si>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</si>
  <si>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</si>
  <si>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</si>
  <si>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</si>
  <si>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</si>
  <si>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</si>
  <si>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</si>
  <si>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</si>
  <si>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</si>
  <si>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</si>
  <si>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</si>
  <si>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</si>
  <si>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</si>
  <si>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</si>
  <si>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</si>
  <si>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</si>
  <si>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</si>
  <si>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</si>
  <si>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</si>
  <si>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</si>
  <si>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</si>
  <si>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</si>
  <si>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</si>
  <si>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</si>
  <si>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</si>
  <si>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</si>
  <si>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</si>
  <si>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</si>
  <si>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</si>
  <si>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</si>
  <si>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</si>
  <si>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</si>
  <si>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</si>
  <si>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</si>
  <si>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</si>
  <si>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</si>
  <si>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</si>
  <si>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</si>
  <si>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</si>
  <si>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</si>
  <si>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</si>
  <si>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</si>
  <si>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</si>
  <si>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</si>
  <si>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</si>
  <si>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</si>
  <si>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</si>
  <si>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</si>
  <si>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</si>
  <si>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</si>
  <si>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</si>
  <si>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</si>
  <si>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</si>
  <si>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</si>
  <si>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</si>
  <si>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</si>
  <si>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</si>
  <si>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</si>
  <si>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</si>
  <si>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</si>
  <si>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</si>
  <si>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</si>
  <si>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</si>
  <si>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</si>
  <si>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</si>
  <si>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</si>
  <si>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</si>
  <si>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</si>
  <si>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</si>
  <si>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</si>
  <si>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</si>
  <si>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</si>
  <si>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</si>
  <si>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</si>
  <si>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</si>
  <si>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</si>
  <si>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</si>
  <si>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</si>
  <si>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</si>
  <si>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</si>
  <si>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</si>
  <si>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</si>
  <si>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</si>
  <si>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</si>
  <si>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</si>
  <si>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</si>
  <si>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</si>
  <si>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</si>
  <si>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</si>
  <si>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</si>
  <si>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</si>
  <si>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</si>
  <si>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</si>
  <si>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</si>
  <si>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</si>
  <si>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</si>
  <si>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</si>
  <si>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</si>
  <si>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</si>
  <si>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</si>
  <si>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</si>
  <si>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</si>
  <si>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</si>
  <si>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</si>
  <si>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</si>
  <si>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</si>
  <si>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</si>
  <si>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</si>
  <si>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</si>
  <si>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</si>
  <si>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</si>
  <si>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</si>
  <si>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</si>
  <si>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</si>
  <si>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</si>
  <si>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</si>
  <si>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</si>
  <si>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</si>
  <si>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</si>
  <si>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</si>
  <si>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</si>
  <si>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</si>
  <si>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</si>
  <si>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</si>
  <si>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</si>
  <si>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</si>
  <si>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</si>
  <si>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</si>
  <si>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</si>
  <si>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</si>
  <si>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</si>
  <si>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</si>
  <si>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</si>
  <si>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</si>
  <si>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</si>
  <si>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</si>
  <si>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</si>
  <si>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</si>
  <si>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</si>
  <si>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</si>
  <si>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</si>
  <si>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</si>
  <si>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</si>
  <si>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</si>
  <si>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</si>
  <si>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</si>
  <si>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</si>
  <si>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</si>
  <si>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</si>
  <si>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</si>
  <si>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</si>
  <si>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</si>
  <si>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</si>
  <si>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</si>
  <si>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</si>
  <si>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</si>
  <si>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</si>
  <si>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</si>
  <si>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</si>
  <si>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</si>
  <si>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</si>
  <si>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</si>
  <si>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</si>
  <si>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</si>
  <si>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</si>
  <si>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</si>
  <si>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</si>
  <si>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</si>
  <si>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</si>
  <si>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</si>
  <si>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</si>
  <si>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</si>
  <si>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</si>
  <si>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</si>
  <si>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</si>
  <si>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</si>
  <si>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</si>
  <si>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</si>
  <si>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</si>
  <si>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</si>
  <si>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</si>
  <si>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</si>
  <si>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</si>
  <si>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</si>
  <si>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</si>
  <si>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</si>
  <si>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</si>
  <si>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</si>
  <si>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</si>
  <si>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</si>
  <si>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</si>
  <si>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</si>
  <si>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</si>
  <si>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</si>
  <si>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</si>
  <si>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</si>
  <si>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</si>
  <si>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</si>
  <si>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</si>
  <si>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</si>
  <si>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</si>
  <si>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</si>
  <si>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</si>
  <si>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</si>
  <si>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</si>
  <si>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</si>
  <si>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</si>
  <si>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</si>
  <si>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</si>
  <si>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</si>
  <si>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</si>
  <si>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</si>
  <si>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</si>
  <si>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</si>
  <si>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</si>
  <si>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</si>
  <si>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</si>
  <si>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</si>
  <si>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</si>
  <si>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</si>
  <si>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</si>
  <si>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</si>
  <si>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</si>
  <si>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</si>
  <si>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</si>
  <si>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</si>
  <si>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</si>
  <si>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</si>
  <si>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</si>
  <si>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</si>
  <si>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</si>
  <si>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</si>
  <si>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</si>
  <si>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</si>
  <si>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</si>
  <si>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</si>
  <si>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</si>
  <si>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</si>
  <si>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</si>
  <si>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</si>
  <si>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</si>
  <si>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</si>
  <si>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</si>
  <si>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</si>
  <si>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</si>
  <si>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</si>
  <si>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</si>
  <si>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</si>
  <si>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</si>
  <si>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</si>
  <si>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</si>
  <si>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</si>
  <si>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</si>
  <si>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</si>
  <si>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</si>
  <si>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</si>
  <si>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</si>
  <si>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</si>
  <si>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</si>
  <si>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</si>
  <si>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</si>
  <si>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</si>
  <si>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</si>
  <si>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</si>
  <si>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</si>
  <si>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</si>
  <si>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</si>
  <si>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</si>
  <si>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</si>
  <si>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</si>
  <si>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</si>
  <si>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</si>
  <si>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</si>
  <si>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</si>
  <si>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</si>
  <si>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</si>
  <si>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</si>
  <si>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</si>
  <si>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</si>
  <si>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</si>
  <si>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</si>
  <si>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</si>
  <si>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</si>
  <si>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</si>
  <si>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</si>
  <si>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</si>
  <si>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</si>
  <si>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</si>
  <si>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</si>
  <si>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</si>
  <si>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</si>
  <si>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</si>
  <si>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</si>
  <si>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</si>
  <si>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</si>
  <si>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</si>
  <si>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</si>
  <si>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</si>
  <si>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</si>
  <si>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</si>
  <si>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</si>
  <si>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</si>
  <si>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</si>
  <si>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</si>
  <si>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</si>
  <si>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</si>
  <si>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</si>
  <si>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</si>
  <si>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</si>
  <si>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</si>
  <si>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</si>
  <si>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</si>
  <si>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</si>
  <si>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</si>
  <si>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</si>
  <si>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</si>
  <si>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</si>
  <si>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</si>
  <si>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</si>
  <si>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</si>
  <si>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</si>
  <si>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</si>
  <si>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</si>
  <si>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</si>
  <si>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</si>
  <si>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</si>
  <si>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</si>
  <si>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</si>
  <si>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</si>
  <si>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</si>
  <si>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</si>
  <si>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</si>
  <si>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</si>
  <si>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</si>
  <si>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</si>
  <si>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</si>
  <si>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</si>
  <si>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</si>
  <si>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</si>
  <si>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</si>
  <si>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</si>
  <si>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</si>
  <si>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</si>
  <si>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</si>
  <si>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</si>
  <si>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</si>
  <si>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</si>
  <si>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</si>
  <si>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</si>
  <si>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</si>
  <si>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</si>
  <si>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</si>
  <si>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</si>
  <si>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</si>
  <si>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</si>
  <si>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</si>
  <si>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</si>
  <si>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</si>
  <si>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</si>
  <si>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</si>
  <si>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</si>
  <si>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</si>
  <si>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</si>
  <si>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</si>
  <si>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</si>
  <si>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</si>
  <si>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</si>
  <si>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</si>
  <si>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</si>
  <si>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</si>
  <si>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</si>
  <si>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</si>
  <si>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</si>
  <si>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</si>
  <si>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</si>
  <si>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</si>
  <si>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</si>
  <si>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</si>
  <si>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</si>
  <si>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</si>
  <si>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</si>
  <si>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</si>
  <si>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</si>
  <si>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</si>
  <si>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</si>
  <si>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</si>
  <si>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</si>
  <si>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</si>
  <si>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</si>
  <si>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</si>
  <si>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</si>
  <si>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</si>
  <si>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</si>
  <si>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</si>
  <si>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</si>
  <si>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</si>
  <si>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</si>
  <si>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</si>
  <si>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</si>
  <si>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</si>
  <si>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</si>
  <si>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</si>
  <si>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</si>
  <si>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</si>
  <si>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</si>
  <si>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</si>
  <si>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</si>
  <si>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</si>
  <si>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</si>
  <si>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</si>
  <si>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</si>
  <si>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</si>
  <si>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</si>
  <si>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</si>
  <si>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</si>
  <si>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</si>
  <si>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</si>
  <si>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</si>
  <si>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</si>
  <si>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</si>
  <si>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</si>
  <si>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</si>
  <si>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</si>
  <si>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</si>
  <si>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</si>
  <si>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</si>
  <si>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</si>
  <si>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</si>
  <si>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</si>
  <si>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</si>
  <si>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</si>
  <si>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</si>
  <si>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</si>
  <si>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</si>
  <si>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</si>
  <si>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</si>
  <si>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</si>
  <si>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</si>
  <si>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</si>
  <si>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</si>
  <si>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</si>
  <si>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</si>
  <si>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</si>
  <si>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</si>
  <si>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</si>
  <si>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</si>
  <si>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</si>
  <si>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</si>
  <si>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</si>
  <si>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</si>
  <si>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</si>
  <si>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</si>
  <si>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</si>
  <si>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</si>
  <si>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</si>
  <si>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</si>
  <si>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</si>
  <si>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</si>
  <si>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</si>
  <si>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</si>
  <si>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</si>
  <si>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</si>
  <si>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</si>
  <si>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</si>
  <si>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</si>
  <si>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</si>
  <si>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</si>
  <si>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</si>
  <si>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</si>
  <si>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</si>
  <si>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</si>
  <si>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</si>
  <si>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</si>
  <si>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</si>
  <si>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</si>
  <si>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</si>
  <si>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</si>
  <si>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</si>
  <si>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</si>
  <si>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</si>
  <si>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</si>
  <si>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</si>
  <si>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</si>
  <si>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</si>
  <si>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</si>
  <si>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</si>
  <si>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</si>
  <si>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</si>
  <si>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</si>
  <si>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</si>
  <si>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</si>
  <si>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</si>
  <si>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</si>
  <si>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</si>
  <si>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</si>
  <si>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</si>
  <si>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</si>
  <si>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</si>
  <si>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</si>
  <si>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</si>
  <si>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</si>
  <si>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</si>
  <si>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</si>
  <si>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</si>
  <si>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</si>
  <si>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</si>
  <si>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</si>
  <si>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</si>
  <si>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</si>
  <si>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</si>
  <si>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</si>
  <si>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</si>
  <si>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</si>
  <si>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</si>
  <si>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</si>
  <si>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</si>
  <si>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</si>
  <si>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</si>
  <si>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</si>
  <si>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</si>
  <si>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</si>
  <si>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</si>
  <si>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</si>
  <si>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</si>
  <si>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</si>
  <si>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</si>
  <si>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</si>
  <si>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</si>
  <si>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</si>
  <si>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</si>
  <si>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</si>
  <si>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</si>
  <si>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</si>
  <si>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</si>
  <si>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</si>
  <si>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</si>
  <si>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</si>
  <si>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</si>
  <si>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</si>
  <si>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</si>
  <si>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</si>
  <si>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</si>
  <si>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</si>
  <si>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</si>
  <si>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</si>
  <si>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</si>
  <si>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</si>
  <si>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</si>
  <si>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</si>
  <si>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</si>
  <si>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</si>
  <si>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</si>
  <si>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</si>
  <si>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</si>
  <si>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</si>
  <si>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</si>
  <si>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</si>
  <si>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</si>
  <si>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</si>
  <si>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</si>
  <si>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</si>
  <si>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</si>
  <si>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</si>
  <si>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</si>
  <si>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</si>
  <si>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</si>
  <si>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</si>
  <si>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</si>
  <si>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</si>
  <si>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</si>
  <si>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</si>
  <si>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</si>
  <si>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</si>
  <si>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</si>
  <si>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</si>
  <si>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</si>
  <si>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</si>
  <si>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</si>
  <si>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</si>
  <si>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</si>
  <si>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</si>
  <si>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</si>
  <si>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</si>
  <si>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</si>
  <si>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</si>
  <si>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</si>
  <si>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</si>
  <si>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</si>
  <si>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</si>
  <si>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</si>
  <si>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</si>
  <si>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</si>
  <si>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</si>
  <si>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</si>
  <si>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</si>
  <si>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</si>
  <si>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</si>
  <si>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</si>
  <si>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</si>
  <si>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</si>
  <si>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</si>
  <si>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</si>
  <si>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</si>
  <si>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</si>
  <si>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</si>
  <si>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</si>
  <si>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</si>
  <si>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</si>
  <si>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</si>
  <si>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</si>
  <si>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</si>
  <si>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</si>
  <si>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</si>
  <si>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</si>
  <si>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</si>
  <si>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</si>
  <si>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</si>
  <si>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</si>
  <si>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</si>
  <si>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</si>
  <si>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</si>
  <si>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</si>
  <si>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</si>
  <si>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</si>
  <si>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</si>
  <si>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</si>
  <si>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</si>
  <si>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</si>
  <si>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</si>
  <si>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</si>
  <si>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</si>
  <si>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</si>
  <si>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</si>
  <si>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</si>
  <si>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</si>
  <si>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</si>
  <si>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</si>
  <si>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</si>
  <si>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</si>
  <si>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</si>
  <si>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</si>
  <si>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</si>
  <si>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</si>
  <si>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</si>
  <si>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</si>
  <si>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</si>
  <si>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</si>
  <si>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</si>
  <si>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</si>
  <si>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</si>
  <si>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</si>
  <si>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</si>
  <si>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</si>
  <si>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</si>
  <si>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</si>
  <si>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</si>
  <si>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</si>
  <si>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</si>
  <si>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</si>
  <si>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</si>
  <si>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</si>
  <si>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</si>
  <si>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</si>
  <si>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</si>
  <si>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</si>
  <si>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</si>
  <si>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</si>
  <si>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</si>
  <si>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</si>
  <si>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</si>
  <si>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</si>
  <si>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</si>
  <si>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</si>
  <si>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</si>
  <si>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</si>
  <si>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</si>
  <si>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</si>
  <si>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</si>
  <si>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</si>
  <si>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</si>
  <si>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</si>
  <si>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</si>
  <si>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</si>
  <si>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</si>
  <si>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</si>
  <si>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</si>
  <si>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</si>
  <si>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</si>
  <si>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</si>
  <si>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</si>
  <si>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</si>
  <si>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</si>
  <si>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</si>
  <si>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</si>
  <si>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</si>
  <si>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</si>
  <si>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</si>
  <si>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</si>
  <si>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</si>
  <si>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</si>
  <si>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</si>
  <si>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</si>
  <si>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</si>
  <si>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</si>
  <si>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</si>
  <si>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</si>
  <si>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</si>
  <si>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</si>
  <si>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</si>
  <si>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</si>
  <si>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</si>
  <si>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</si>
  <si>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</si>
  <si>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</si>
  <si>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</si>
  <si>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</si>
  <si>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</si>
  <si>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</si>
  <si>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</si>
  <si>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</si>
  <si>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</si>
  <si>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</si>
  <si>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</si>
  <si>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</si>
  <si>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</si>
  <si>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</si>
  <si>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</si>
  <si>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</si>
  <si>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</si>
  <si>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</si>
  <si>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</si>
  <si>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</si>
  <si>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</si>
  <si>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</si>
  <si>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</si>
  <si>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</si>
  <si>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</si>
  <si>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</si>
  <si>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</si>
  <si>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</si>
  <si>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</si>
  <si>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</si>
  <si>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</si>
  <si>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</si>
  <si>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</si>
  <si>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</si>
  <si>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</si>
  <si>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</si>
  <si>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</si>
  <si>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</si>
  <si>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</si>
  <si>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</si>
  <si>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</si>
  <si>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</si>
  <si>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</si>
  <si>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</si>
  <si>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</si>
  <si>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</si>
  <si>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</si>
  <si>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</si>
  <si>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</si>
  <si>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</si>
  <si>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</si>
  <si>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</si>
  <si>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</si>
  <si>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</si>
  <si>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</si>
  <si>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</si>
  <si>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</si>
  <si>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</si>
  <si>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</si>
  <si>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</si>
  <si>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</si>
  <si>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</si>
  <si>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</si>
  <si>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</si>
  <si>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</si>
  <si>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</si>
  <si>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</si>
  <si>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</si>
  <si>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</si>
  <si>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</si>
  <si>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</si>
  <si>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</si>
  <si>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</si>
  <si>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</si>
  <si>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</si>
  <si>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</si>
  <si>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</si>
  <si>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</si>
  <si>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</si>
  <si>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</si>
  <si>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</si>
  <si>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</si>
  <si>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</si>
  <si>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</si>
  <si>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</si>
  <si>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</si>
  <si>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</si>
  <si>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</si>
  <si>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</si>
  <si>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</si>
  <si>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</si>
  <si>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</si>
  <si>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</si>
  <si>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</si>
  <si>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</si>
  <si>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</si>
  <si>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</si>
  <si>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</si>
  <si>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</si>
  <si>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</si>
  <si>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</si>
  <si>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</si>
  <si>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</si>
  <si>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</si>
  <si>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</si>
  <si>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</si>
  <si>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</si>
  <si>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</si>
  <si>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</si>
  <si>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</si>
  <si>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</si>
  <si>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</si>
  <si>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</si>
  <si>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</si>
  <si>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</si>
  <si>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</si>
  <si>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</si>
  <si>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</si>
  <si>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</si>
  <si>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</si>
  <si>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</si>
  <si>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</si>
  <si>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</si>
  <si>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</si>
  <si>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</si>
  <si>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</si>
  <si>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</si>
  <si>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</si>
  <si>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</si>
  <si>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</si>
  <si>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</si>
  <si>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</si>
  <si>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</si>
  <si>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</si>
  <si>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</si>
  <si>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</si>
  <si>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</si>
  <si>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</si>
  <si>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</si>
  <si>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</si>
  <si>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</si>
  <si>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</si>
  <si>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</si>
  <si>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</si>
  <si>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</si>
  <si>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</si>
  <si>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</si>
  <si>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</si>
  <si>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</si>
  <si>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</si>
  <si>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</si>
  <si>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</si>
  <si>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</si>
  <si>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</si>
  <si>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</si>
  <si>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</si>
  <si>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</si>
  <si>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</si>
  <si>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</si>
  <si>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</si>
  <si>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</si>
  <si>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</si>
  <si>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</si>
  <si>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</si>
  <si>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</si>
  <si>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</si>
  <si>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</si>
  <si>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</si>
  <si>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</si>
  <si>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</si>
  <si>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</si>
  <si>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</si>
  <si>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</si>
  <si>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</si>
  <si>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</si>
  <si>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</si>
  <si>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</si>
  <si>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</si>
  <si>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</si>
  <si>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</si>
  <si>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</si>
  <si>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</si>
  <si>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</si>
  <si>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</si>
  <si>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</si>
  <si>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</si>
  <si>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</si>
  <si>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</si>
  <si>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</si>
  <si>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</si>
  <si>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</si>
  <si>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</si>
  <si>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</si>
  <si>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</si>
  <si>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</si>
  <si>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</si>
  <si>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</si>
  <si>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</si>
  <si>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</si>
  <si>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</si>
  <si>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</si>
  <si>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</si>
  <si>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</si>
  <si>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</si>
  <si>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</si>
  <si>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</si>
  <si>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</si>
  <si>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</si>
  <si>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</si>
  <si>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</si>
  <si>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</si>
  <si>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</si>
  <si>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</si>
  <si>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</si>
  <si>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</si>
  <si>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</si>
  <si>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</si>
  <si>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</si>
  <si>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</si>
  <si>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</si>
  <si>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</si>
  <si>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</si>
  <si>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</si>
  <si>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</si>
  <si>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</si>
  <si>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</si>
  <si>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</si>
  <si>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</si>
  <si>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</si>
  <si>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</si>
  <si>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</si>
  <si>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</si>
  <si>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</si>
  <si>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</si>
  <si>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</si>
  <si>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</si>
  <si>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</si>
  <si>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</si>
  <si>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</si>
  <si>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</si>
  <si>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</si>
  <si>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</si>
  <si>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</si>
  <si>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</si>
  <si>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</si>
  <si>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</si>
  <si>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</si>
  <si>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</si>
  <si>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</si>
  <si>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</si>
  <si>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</si>
  <si>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</si>
  <si>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</si>
  <si>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</si>
  <si>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</si>
  <si>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</si>
  <si>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</si>
  <si>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</si>
  <si>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</si>
  <si>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</si>
  <si>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</si>
  <si>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</si>
  <si>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</si>
  <si>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</si>
  <si>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</si>
  <si>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</si>
  <si>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</si>
  <si>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</si>
  <si>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</si>
  <si>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</si>
  <si>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</si>
  <si>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</si>
  <si>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</si>
  <si>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</si>
  <si>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</si>
  <si>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</si>
  <si>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</si>
  <si>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</si>
  <si>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</si>
  <si>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</si>
  <si>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</si>
  <si>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</si>
  <si>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</si>
  <si>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</si>
  <si>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</si>
  <si>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</si>
  <si>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</si>
  <si>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</si>
  <si>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</si>
  <si>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</si>
  <si>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</si>
  <si>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</si>
  <si>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</si>
  <si>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</si>
  <si>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</si>
  <si>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</si>
  <si>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</si>
  <si>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</si>
  <si>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</si>
  <si>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</si>
  <si>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</si>
  <si>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</si>
  <si>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</si>
  <si>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</si>
  <si>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</si>
  <si>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</si>
  <si>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</si>
  <si>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</si>
  <si>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</si>
  <si>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</si>
  <si>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</si>
  <si>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</si>
  <si>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</si>
  <si>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</si>
  <si>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</si>
  <si>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</si>
  <si>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</si>
  <si>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</si>
  <si>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</si>
  <si>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</si>
  <si>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</si>
  <si>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</si>
  <si>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</si>
  <si>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</si>
  <si>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</si>
  <si>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</si>
  <si>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</si>
  <si>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</si>
  <si>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</si>
  <si>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</si>
  <si>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</si>
  <si>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</si>
  <si>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</si>
  <si>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</si>
  <si>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</si>
  <si>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</si>
  <si>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</si>
  <si>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</si>
  <si>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</si>
  <si>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</si>
  <si>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</si>
  <si>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</si>
  <si>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</si>
  <si>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</si>
  <si>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</si>
  <si>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</si>
  <si>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</si>
  <si>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</si>
  <si>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</si>
  <si>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</si>
  <si>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</si>
  <si>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</si>
  <si>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</si>
  <si>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</si>
  <si>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</si>
  <si>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</si>
  <si>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</si>
  <si>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</si>
  <si>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</si>
  <si>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</si>
  <si>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</si>
  <si>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</si>
  <si>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</si>
  <si>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</si>
  <si>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</si>
  <si>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</si>
  <si>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</si>
  <si>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</si>
  <si>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</si>
  <si>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</si>
  <si>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</si>
  <si>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</si>
  <si>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</si>
  <si>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</si>
  <si>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</si>
  <si>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</si>
  <si>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</si>
  <si>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</si>
  <si>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</si>
  <si>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</si>
  <si>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</si>
  <si>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</si>
  <si>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</si>
  <si>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</si>
  <si>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</si>
  <si>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</si>
  <si>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</si>
  <si>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</si>
  <si>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</si>
  <si>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</si>
  <si>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</si>
  <si>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</si>
  <si>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</si>
  <si>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</si>
  <si>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</si>
  <si>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</si>
  <si>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</si>
  <si>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</si>
  <si>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</si>
  <si>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</si>
  <si>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</si>
  <si>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</si>
  <si>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</si>
  <si>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</si>
  <si>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</si>
  <si>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</si>
  <si>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</si>
  <si>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</si>
  <si>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</si>
  <si>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</si>
  <si>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</si>
  <si>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</si>
  <si>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</si>
  <si>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</si>
  <si>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</si>
  <si>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</si>
  <si>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</si>
  <si>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</si>
  <si>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</si>
  <si>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</si>
  <si>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</si>
  <si>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</si>
  <si>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</si>
  <si>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</si>
  <si>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</si>
  <si>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</si>
  <si>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</si>
  <si>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</si>
  <si>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</si>
  <si>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</si>
  <si>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</si>
  <si>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</si>
  <si>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</si>
  <si>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</si>
  <si>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</si>
  <si>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</si>
  <si>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</si>
  <si>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</si>
  <si>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</si>
  <si>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</si>
  <si>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</si>
  <si>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</si>
  <si>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</si>
  <si>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</si>
  <si>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</si>
  <si>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</si>
  <si>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</si>
  <si>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</si>
  <si>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</si>
  <si>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</si>
  <si>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</si>
  <si>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</si>
  <si>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</si>
  <si>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</si>
  <si>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</si>
  <si>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</si>
  <si>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</si>
  <si>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</si>
  <si>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</si>
  <si>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</si>
  <si>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</si>
  <si>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</si>
  <si>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</si>
  <si>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</si>
  <si>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</si>
  <si>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</si>
  <si>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</si>
  <si>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</si>
  <si>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</si>
  <si>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</si>
  <si>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</si>
  <si>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</si>
  <si>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</si>
  <si>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</si>
  <si>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</si>
  <si>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</si>
  <si>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</si>
  <si>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</si>
  <si>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</si>
  <si>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</si>
  <si>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</si>
  <si>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</si>
  <si>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</si>
  <si>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</si>
  <si>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</si>
  <si>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</si>
  <si>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</si>
  <si>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</si>
  <si>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</si>
  <si>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</si>
  <si>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</si>
  <si>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</si>
  <si>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</si>
  <si>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</si>
  <si>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</si>
  <si>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</si>
  <si>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</si>
  <si>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</si>
  <si>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</si>
  <si>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</si>
  <si>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</si>
  <si>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</si>
  <si>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</si>
  <si>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</si>
  <si>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</si>
  <si>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</si>
  <si>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</si>
  <si>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</si>
  <si>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</si>
  <si>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</si>
  <si>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</si>
  <si>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</si>
  <si>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</si>
  <si>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</si>
  <si>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</si>
  <si>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</si>
  <si>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</si>
  <si>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</si>
  <si>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</si>
  <si>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</si>
  <si>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</si>
  <si>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</si>
  <si>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</si>
  <si>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</si>
  <si>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</si>
  <si>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</si>
  <si>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</si>
  <si>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</si>
  <si>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</si>
  <si>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</si>
  <si>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</si>
  <si>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</si>
  <si>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</si>
  <si>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</si>
  <si>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</si>
  <si>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</si>
  <si>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</si>
  <si>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</si>
  <si>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</si>
  <si>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</si>
  <si>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</si>
  <si>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</si>
  <si>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</si>
  <si>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</si>
  <si>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</si>
  <si>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</si>
  <si>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</si>
  <si>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</si>
  <si>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</si>
  <si>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</si>
  <si>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</si>
  <si>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</si>
  <si>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</si>
  <si>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</si>
  <si>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</si>
  <si>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</si>
  <si>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</si>
  <si>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</si>
  <si>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</si>
  <si>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</si>
  <si>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</si>
  <si>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</si>
  <si>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</si>
  <si>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</si>
  <si>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</si>
  <si>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</si>
  <si>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</si>
  <si>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</si>
  <si>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</si>
  <si>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</si>
  <si>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</si>
  <si>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</si>
  <si>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</si>
  <si>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</si>
  <si>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</si>
  <si>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</si>
  <si>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</si>
  <si>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</si>
  <si>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</si>
  <si>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</si>
  <si>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</si>
  <si>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</si>
  <si>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</si>
  <si>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</si>
  <si>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</si>
  <si>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</si>
  <si>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</si>
  <si>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</si>
  <si>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</si>
  <si>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</si>
  <si>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</si>
  <si>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</si>
  <si>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</si>
  <si>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</si>
  <si>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</si>
  <si>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</si>
  <si>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</si>
  <si>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</si>
  <si>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</si>
  <si>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</si>
  <si>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</si>
  <si>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</si>
  <si>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</si>
  <si>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</si>
  <si>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</si>
  <si>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</si>
  <si>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</si>
  <si>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</si>
  <si>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</si>
  <si>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</si>
  <si>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</si>
  <si>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</si>
  <si>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</si>
  <si>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</si>
  <si>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</si>
  <si>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</si>
  <si>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</si>
  <si>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</si>
  <si>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</si>
  <si>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</si>
  <si>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</si>
  <si>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</si>
  <si>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</si>
  <si>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</si>
  <si>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</si>
  <si>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</si>
  <si>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</si>
  <si>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</si>
  <si>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</si>
  <si>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</si>
  <si>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</si>
  <si>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</si>
  <si>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</si>
  <si>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</si>
  <si>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</si>
  <si>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</si>
  <si>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</si>
  <si>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</si>
  <si>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</si>
  <si>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</si>
  <si>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</si>
  <si>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</si>
  <si>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</si>
  <si>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</si>
  <si>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</si>
  <si>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</si>
  <si>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</si>
  <si>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</si>
  <si>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</si>
  <si>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</si>
  <si>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</si>
  <si>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</si>
  <si>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</si>
  <si>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</si>
  <si>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</si>
  <si>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</si>
  <si>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</si>
  <si>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</si>
  <si>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</si>
  <si>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</si>
  <si>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</si>
  <si>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</si>
  <si>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</si>
  <si>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</si>
  <si>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</si>
  <si>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</si>
  <si>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</si>
  <si>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</si>
  <si>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</si>
  <si>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</si>
  <si>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</si>
  <si>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</si>
  <si>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</si>
  <si>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</si>
  <si>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</si>
  <si>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</si>
  <si>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</si>
  <si>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</si>
  <si>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</si>
  <si>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</si>
  <si>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</si>
  <si>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</si>
  <si>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</si>
  <si>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</si>
  <si>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</si>
  <si>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</si>
  <si>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</si>
  <si>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</si>
  <si>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</si>
  <si>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</si>
  <si>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</si>
  <si>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</si>
  <si>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</si>
  <si>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</si>
  <si>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</si>
  <si>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</si>
  <si>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</si>
  <si>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</si>
  <si>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</si>
  <si>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</si>
  <si>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</si>
  <si>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</si>
  <si>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</si>
  <si>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</si>
  <si>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</si>
  <si>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</si>
  <si>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</si>
  <si>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</si>
  <si>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</si>
  <si>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</si>
  <si>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</si>
  <si>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</si>
  <si>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</si>
  <si>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</si>
  <si>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</si>
  <si>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</si>
  <si>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</si>
  <si>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</si>
  <si>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</si>
  <si>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</si>
  <si>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</si>
  <si>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</si>
  <si>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</si>
  <si>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</si>
  <si>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</si>
  <si>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</si>
  <si>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</si>
  <si>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</si>
  <si>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</si>
  <si>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</si>
  <si>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</si>
  <si>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</si>
  <si>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</si>
  <si>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</si>
  <si>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</si>
  <si>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</si>
  <si>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</si>
  <si>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</si>
  <si>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</si>
  <si>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</si>
  <si>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</si>
  <si>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</si>
  <si>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</si>
  <si>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</si>
  <si>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</si>
  <si>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</si>
  <si>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</si>
  <si>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</si>
  <si>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</si>
  <si>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</si>
  <si>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</si>
  <si>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</si>
  <si>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</si>
  <si>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</si>
  <si>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</si>
  <si>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</si>
  <si>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</si>
  <si>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</si>
  <si>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</si>
  <si>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</si>
  <si>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</si>
  <si>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</si>
  <si>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</si>
  <si>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</si>
  <si>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</si>
  <si>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</si>
  <si>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</si>
  <si>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</si>
  <si>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</si>
  <si>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</si>
  <si>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</si>
  <si>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</si>
  <si>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</si>
  <si>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</si>
  <si>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</si>
  <si>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</si>
  <si>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</si>
  <si>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</si>
  <si>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</si>
  <si>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</si>
  <si>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</si>
  <si>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</si>
  <si>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</si>
  <si>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</si>
  <si>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</si>
  <si>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</si>
  <si>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</si>
  <si>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</si>
  <si>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</si>
  <si>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</si>
  <si>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</si>
  <si>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</si>
  <si>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</si>
  <si>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</si>
  <si>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</si>
  <si>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</si>
  <si>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</si>
  <si>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</si>
  <si>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</si>
  <si>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</si>
  <si>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</si>
  <si>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</si>
  <si>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</si>
  <si>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</si>
  <si>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</si>
  <si>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</si>
  <si>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</si>
  <si>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</si>
  <si>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</si>
  <si>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</si>
  <si>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</si>
  <si>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</si>
  <si>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</si>
  <si>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</si>
  <si>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</si>
  <si>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</si>
  <si>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</si>
  <si>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</si>
  <si>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</si>
  <si>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</si>
  <si>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</si>
  <si>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</si>
  <si>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</si>
  <si>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</si>
  <si>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</si>
  <si>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</si>
  <si>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</si>
  <si>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</si>
  <si>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</si>
  <si>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</si>
  <si>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</si>
  <si>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</si>
  <si>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</si>
  <si>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</si>
  <si>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</si>
  <si>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</si>
  <si>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</si>
  <si>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</si>
  <si>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</si>
  <si>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</si>
  <si>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</si>
  <si>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</si>
  <si>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</si>
  <si>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</si>
  <si>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</si>
  <si>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</si>
  <si>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</si>
  <si>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</si>
  <si>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</si>
  <si>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</si>
  <si>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</si>
  <si>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</si>
  <si>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</si>
  <si>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</si>
  <si>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</si>
  <si>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</si>
  <si>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</si>
  <si>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</si>
  <si>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</si>
  <si>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</si>
  <si>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</si>
  <si>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</si>
  <si>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</si>
  <si>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</si>
  <si>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</si>
  <si>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</si>
  <si>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</si>
  <si>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</si>
  <si>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</si>
  <si>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</si>
  <si>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</si>
  <si>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</si>
  <si>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</si>
  <si>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</si>
  <si>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</si>
  <si>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</si>
  <si>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</si>
  <si>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</si>
  <si>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</si>
  <si>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</si>
  <si>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</si>
  <si>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</si>
  <si>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</si>
  <si>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</si>
  <si>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</si>
  <si>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</si>
  <si>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</si>
  <si>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</si>
  <si>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</si>
  <si>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</si>
  <si>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</si>
  <si>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</si>
  <si>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</si>
  <si>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</si>
  <si>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</si>
  <si>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</si>
  <si>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</si>
  <si>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</si>
  <si>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</si>
  <si>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</si>
  <si>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</si>
  <si>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</si>
  <si>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</si>
  <si>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</si>
  <si>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</si>
  <si>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</si>
  <si>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</si>
  <si>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</si>
  <si>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</si>
  <si>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</si>
  <si>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</si>
  <si>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</si>
  <si>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</si>
  <si>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</si>
  <si>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</si>
  <si>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</si>
  <si>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</si>
  <si>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</si>
  <si>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</si>
  <si>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</si>
  <si>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</si>
  <si>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</si>
  <si>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</si>
  <si>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</si>
  <si>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</si>
  <si>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</si>
  <si>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</si>
  <si>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</si>
  <si>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</si>
  <si>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</si>
  <si>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</si>
  <si>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</si>
  <si>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</si>
  <si>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</si>
  <si>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</si>
  <si>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</si>
  <si>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</si>
  <si>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</si>
  <si>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</si>
  <si>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</si>
  <si>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</si>
  <si>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</si>
  <si>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</si>
  <si>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</si>
  <si>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</si>
  <si>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</si>
  <si>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</si>
  <si>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</si>
  <si>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</si>
  <si>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</si>
  <si>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</si>
  <si>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</si>
  <si>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</si>
  <si>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</si>
  <si>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</si>
  <si>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</si>
  <si>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</si>
  <si>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</si>
  <si>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</si>
  <si>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</si>
  <si>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</si>
  <si>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</si>
  <si>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</si>
  <si>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</si>
  <si>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</si>
  <si>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</si>
  <si>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</si>
  <si>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</si>
  <si>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</si>
  <si>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</si>
  <si>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</si>
  <si>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</si>
  <si>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</si>
  <si>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</si>
  <si>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</si>
  <si>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</si>
  <si>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</si>
  <si>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</si>
  <si>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</si>
  <si>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</si>
  <si>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</si>
  <si>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</si>
  <si>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</si>
  <si>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</si>
  <si>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</si>
  <si>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</si>
  <si>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</si>
  <si>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</si>
  <si>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</si>
  <si>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</si>
  <si>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</si>
  <si>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</si>
  <si>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</si>
  <si>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</si>
  <si>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</si>
  <si>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</si>
  <si>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</si>
  <si>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</si>
  <si>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</si>
  <si>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</si>
  <si>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</si>
  <si>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</si>
  <si>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</si>
  <si>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</si>
  <si>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</si>
  <si>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</si>
  <si>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</si>
  <si>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</si>
  <si>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</si>
  <si>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</si>
  <si>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</si>
  <si>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</si>
  <si>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</si>
  <si>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</si>
  <si>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</si>
  <si>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</si>
  <si>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</si>
  <si>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</si>
  <si>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</si>
  <si>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</si>
  <si>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</si>
  <si>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</si>
  <si>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</si>
  <si>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</si>
  <si>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</si>
  <si>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</si>
  <si>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</si>
  <si>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</si>
  <si>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</si>
  <si>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</si>
  <si>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</si>
  <si>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</si>
  <si>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</si>
  <si>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</si>
  <si>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</si>
  <si>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</si>
  <si>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</si>
  <si>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</si>
  <si>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</si>
  <si>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</si>
  <si>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</si>
  <si>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</si>
  <si>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</si>
  <si>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</si>
  <si>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</si>
  <si>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</si>
  <si>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</si>
  <si>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</si>
  <si>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</si>
  <si>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</si>
  <si>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</si>
  <si>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</si>
  <si>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</si>
  <si>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</si>
  <si>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</si>
  <si>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</si>
  <si>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</si>
  <si>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</si>
  <si>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</si>
  <si>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</si>
  <si>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</si>
  <si>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</si>
  <si>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</si>
  <si>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</si>
  <si>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</si>
  <si>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</si>
  <si>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</si>
  <si>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</si>
  <si>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</si>
  <si>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</si>
  <si>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</si>
  <si>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</si>
  <si>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</si>
  <si>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</si>
  <si>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</si>
  <si>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</si>
  <si>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</si>
  <si>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</si>
  <si>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</si>
  <si>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</si>
  <si>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</si>
  <si>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</si>
  <si>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</si>
  <si>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</si>
  <si>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</si>
  <si>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</si>
  <si>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</si>
  <si>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</si>
  <si>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</si>
  <si>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</si>
  <si>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</si>
  <si>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</si>
  <si>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</si>
  <si>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</si>
  <si>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</si>
  <si>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</si>
  <si>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</si>
  <si>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</si>
  <si>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</si>
  <si>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</si>
  <si>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</si>
  <si>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</si>
  <si>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</si>
  <si>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</si>
  <si>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</si>
  <si>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</si>
  <si>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</si>
  <si>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</si>
  <si>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</si>
  <si>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</si>
  <si>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</si>
  <si>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</si>
  <si>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</si>
  <si>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</si>
  <si>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</si>
  <si>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</si>
  <si>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</si>
  <si>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</si>
  <si>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</si>
  <si>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</si>
  <si>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</si>
  <si>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</si>
  <si>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</si>
  <si>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</si>
  <si>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</si>
  <si>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</si>
  <si>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</si>
  <si>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</si>
  <si>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</si>
  <si>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</si>
  <si>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</si>
  <si>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</si>
  <si>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</si>
  <si>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</si>
  <si>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</si>
  <si>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</si>
  <si>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</si>
  <si>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</si>
  <si>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</si>
  <si>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</si>
  <si>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</si>
  <si>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</si>
  <si>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</si>
  <si>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</si>
  <si>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</si>
  <si>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</si>
  <si>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</si>
  <si>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</si>
  <si>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</si>
  <si>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</si>
  <si>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</si>
  <si>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</si>
  <si>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</si>
  <si>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</si>
  <si>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</si>
  <si>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</si>
  <si>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</si>
  <si>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</si>
  <si>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</si>
  <si>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</si>
  <si>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</si>
  <si>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</si>
  <si>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</si>
  <si>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</si>
  <si>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</si>
  <si>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</si>
  <si>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</si>
  <si>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</si>
  <si>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</si>
  <si>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</si>
  <si>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</si>
  <si>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</si>
  <si>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</si>
  <si>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</si>
  <si>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</si>
  <si>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</si>
  <si>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</si>
  <si>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</si>
  <si>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</si>
  <si>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</si>
  <si>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</si>
  <si>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</si>
  <si>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</si>
  <si>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</si>
  <si>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</si>
  <si>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</si>
  <si>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</si>
  <si>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</si>
  <si>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</si>
  <si>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</si>
  <si>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</si>
  <si>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</si>
  <si>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</si>
  <si>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</si>
  <si>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</si>
  <si>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</si>
  <si>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</si>
  <si>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</si>
  <si>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</si>
  <si>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</si>
  <si>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</si>
  <si>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</si>
  <si>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</si>
  <si>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</si>
  <si>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</si>
  <si>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</si>
  <si>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</si>
  <si>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</si>
  <si>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</si>
  <si>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</si>
  <si>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</si>
  <si>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</si>
  <si>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</si>
  <si>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</si>
  <si>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</si>
  <si>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</si>
  <si>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</si>
  <si>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</si>
  <si>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</si>
  <si>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</si>
  <si>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</si>
  <si>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</si>
  <si>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</si>
  <si>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</si>
  <si>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</si>
  <si>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</si>
  <si>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</si>
  <si>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</si>
  <si>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</si>
  <si>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</si>
  <si>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</si>
  <si>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</si>
  <si>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</si>
  <si>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</si>
  <si>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</si>
  <si>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</si>
  <si>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</si>
  <si>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</si>
  <si>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</si>
  <si>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</si>
  <si>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</si>
  <si>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</si>
  <si>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</si>
  <si>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</si>
  <si>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</si>
  <si>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</si>
  <si>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</si>
  <si>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</si>
  <si>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</si>
  <si>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</si>
  <si>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</si>
  <si>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</si>
  <si>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</si>
  <si>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</si>
  <si>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</si>
  <si>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</si>
  <si>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</si>
  <si>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</si>
  <si>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</si>
  <si>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</si>
  <si>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</si>
  <si>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</si>
  <si>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</si>
  <si>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</si>
  <si>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</si>
  <si>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</si>
  <si>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</si>
  <si>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</si>
  <si>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</si>
  <si>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</si>
  <si>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</si>
  <si>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</si>
  <si>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</si>
  <si>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</si>
  <si>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</si>
  <si>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</si>
  <si>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</si>
  <si>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</si>
  <si>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</si>
  <si>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</si>
  <si>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</si>
  <si>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</si>
  <si>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</si>
  <si>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</si>
  <si>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</si>
  <si>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</si>
  <si>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</si>
  <si>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</si>
  <si>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</si>
  <si>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</si>
  <si>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</si>
  <si>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</si>
  <si>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</si>
  <si>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</si>
  <si>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</si>
  <si>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</si>
  <si>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</si>
  <si>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</si>
  <si>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</si>
  <si>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</si>
  <si>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</si>
  <si>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</si>
  <si>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</si>
  <si>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</si>
  <si>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</si>
  <si>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</si>
  <si>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</si>
  <si>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</si>
  <si>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</si>
  <si>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</si>
  <si>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</si>
  <si>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</si>
  <si>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</si>
  <si>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</si>
  <si>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</si>
  <si>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</si>
  <si>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</si>
  <si>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</si>
  <si>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</si>
  <si>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</si>
  <si>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</si>
  <si>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</si>
  <si>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</si>
  <si>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</si>
  <si>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</si>
  <si>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</si>
  <si>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</si>
  <si>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</si>
  <si>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</si>
  <si>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</si>
  <si>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</si>
  <si>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</si>
  <si>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</si>
  <si>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</si>
  <si>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</si>
  <si>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</si>
  <si>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</si>
  <si>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</si>
  <si>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</si>
  <si>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</si>
  <si>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</si>
  <si>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</si>
  <si>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</si>
  <si>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</si>
  <si>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</si>
  <si>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</si>
  <si>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</si>
  <si>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</si>
  <si>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</si>
  <si>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</si>
  <si>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</si>
  <si>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</si>
  <si>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</si>
  <si>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</si>
  <si>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</si>
  <si>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</si>
  <si>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</si>
  <si>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</si>
  <si>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</si>
  <si>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</si>
  <si>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</si>
  <si>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</si>
  <si>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</si>
  <si>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</si>
  <si>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</si>
  <si>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</si>
  <si>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</si>
  <si>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</si>
  <si>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</si>
  <si>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</si>
  <si>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</si>
  <si>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</si>
  <si>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</si>
  <si>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</si>
  <si>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</si>
  <si>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</si>
  <si>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</si>
  <si>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</si>
  <si>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</si>
  <si>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</si>
  <si>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</si>
  <si>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</si>
  <si>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</si>
  <si>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</si>
  <si>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</si>
  <si>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</si>
  <si>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</si>
  <si>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</si>
  <si>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</si>
  <si>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</si>
  <si>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</si>
  <si>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</si>
  <si>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</si>
  <si>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</si>
  <si>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</si>
  <si>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</si>
  <si>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</si>
  <si>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</si>
  <si>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</si>
  <si>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</si>
  <si>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</si>
  <si>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</si>
  <si>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</si>
  <si>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</si>
  <si>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</si>
  <si>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</si>
  <si>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</si>
  <si>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</si>
  <si>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</si>
  <si>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</si>
  <si>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</si>
  <si>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</si>
  <si>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</si>
  <si>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</si>
  <si>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</si>
  <si>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</si>
  <si>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</si>
  <si>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</si>
  <si>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</si>
  <si>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</si>
  <si>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</si>
  <si>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</si>
  <si>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</si>
  <si>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</si>
  <si>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</si>
  <si>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</si>
  <si>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</si>
  <si>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</si>
  <si>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</si>
  <si>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</si>
  <si>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</si>
  <si>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</si>
  <si>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</si>
  <si>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</si>
  <si>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</si>
  <si>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</si>
  <si>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</si>
  <si>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</si>
  <si>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</si>
  <si>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</si>
  <si>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</si>
  <si>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</si>
  <si>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</si>
  <si>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</si>
  <si>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</si>
  <si>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</si>
  <si>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</si>
  <si>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</si>
  <si>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</si>
  <si>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</si>
  <si>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</si>
  <si>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</si>
  <si>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</si>
  <si>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</si>
  <si>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</si>
  <si>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</si>
  <si>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</si>
  <si>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</si>
  <si>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</si>
  <si>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</si>
  <si>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</si>
  <si>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</si>
  <si>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</si>
  <si>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</si>
  <si>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</si>
  <si>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</si>
  <si>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</si>
  <si>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</si>
  <si>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</si>
  <si>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</si>
  <si>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</si>
  <si>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</si>
  <si>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</si>
  <si>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</si>
  <si>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</si>
  <si>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</si>
  <si>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</si>
  <si>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</si>
  <si>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</si>
  <si>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</si>
  <si>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</si>
  <si>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</si>
  <si>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</si>
  <si>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</si>
  <si>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</si>
  <si>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</si>
  <si>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</si>
  <si>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</si>
  <si>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</si>
  <si>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</si>
  <si>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</si>
  <si>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</si>
  <si>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</si>
  <si>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</si>
  <si>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</si>
  <si>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</si>
  <si>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</si>
  <si>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</si>
  <si>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</si>
  <si>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</si>
  <si>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</si>
  <si>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</si>
  <si>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</si>
  <si>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</si>
  <si>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</si>
  <si>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</si>
  <si>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</si>
  <si>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</si>
  <si>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</si>
  <si>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</si>
  <si>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</si>
  <si>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</si>
  <si>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</si>
  <si>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</si>
  <si>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</si>
  <si>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</si>
  <si>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</si>
  <si>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</si>
  <si>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</si>
  <si>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</si>
  <si>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</si>
  <si>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</si>
  <si>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</si>
  <si>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</si>
  <si>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</si>
  <si>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</si>
  <si>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</si>
  <si>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</si>
  <si>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</si>
  <si>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</si>
  <si>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</si>
  <si>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</si>
  <si>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</si>
  <si>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</si>
  <si>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</si>
  <si>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</si>
  <si>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</si>
  <si>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</si>
  <si>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</si>
  <si>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</si>
  <si>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</si>
  <si>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</si>
  <si>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</si>
  <si>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</si>
  <si>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</si>
  <si>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</si>
  <si>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</si>
  <si>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</si>
  <si>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</si>
  <si>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</si>
  <si>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</si>
  <si>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</si>
  <si>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</si>
  <si>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</si>
  <si>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</si>
  <si>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</si>
  <si>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</si>
  <si>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</si>
  <si>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</si>
  <si>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</si>
  <si>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</si>
  <si>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</si>
  <si>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</si>
  <si>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</si>
  <si>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</si>
  <si>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</si>
  <si>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</si>
  <si>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</si>
  <si>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</si>
  <si>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</si>
  <si>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</si>
  <si>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</si>
  <si>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</si>
  <si>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</si>
  <si>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</si>
  <si>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</si>
  <si>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</si>
  <si>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</si>
  <si>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</si>
  <si>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</si>
  <si>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</si>
  <si>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</si>
  <si>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</si>
  <si>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</si>
  <si>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</si>
  <si>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</si>
  <si>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</si>
  <si>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</si>
  <si>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</si>
  <si>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</si>
  <si>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</si>
  <si>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</si>
  <si>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</si>
  <si>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</si>
  <si>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</si>
  <si>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</si>
  <si>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</si>
  <si>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</si>
  <si>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</si>
  <si>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</si>
  <si>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</si>
  <si>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</si>
  <si>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</si>
  <si>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</si>
  <si>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</si>
  <si>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</si>
  <si>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</si>
  <si>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</si>
  <si>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</si>
  <si>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</si>
  <si>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</si>
  <si>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</si>
  <si>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</si>
  <si>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</si>
  <si>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</si>
  <si>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</si>
  <si>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</si>
  <si>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</si>
  <si>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</si>
  <si>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</si>
  <si>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</si>
  <si>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</si>
  <si>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</si>
  <si>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</si>
  <si>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</si>
  <si>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</si>
  <si>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</si>
  <si>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</si>
  <si>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</si>
  <si>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</si>
  <si>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</si>
  <si>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</si>
  <si>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</si>
  <si>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</si>
  <si>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</si>
  <si>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</si>
  <si>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</si>
  <si>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</si>
  <si>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</si>
  <si>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</si>
  <si>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</si>
  <si>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</si>
  <si>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</si>
  <si>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</si>
  <si>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</si>
  <si>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</si>
  <si>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</si>
  <si>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</si>
  <si>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</si>
  <si>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</si>
  <si>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</si>
  <si>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</si>
  <si>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</si>
  <si>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</si>
  <si>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</si>
  <si>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</si>
  <si>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</si>
  <si>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</si>
  <si>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</si>
  <si>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</si>
  <si>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</si>
  <si>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</si>
  <si>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</si>
  <si>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</si>
  <si>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</si>
  <si>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</si>
  <si>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</si>
  <si>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</si>
  <si>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</si>
  <si>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</si>
  <si>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</si>
  <si>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</si>
  <si>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</si>
  <si>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</si>
  <si>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</si>
  <si>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</si>
  <si>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</si>
  <si>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</si>
  <si>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</si>
  <si>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</si>
  <si>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</si>
  <si>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</si>
  <si>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</si>
  <si>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</si>
  <si>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</si>
  <si>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</si>
  <si>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</si>
  <si>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</si>
  <si>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</si>
  <si>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</si>
  <si>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</si>
  <si>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</si>
  <si>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</si>
  <si>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</si>
  <si>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</si>
  <si>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</si>
  <si>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</si>
  <si>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</si>
  <si>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</si>
  <si>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</si>
  <si>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</si>
  <si>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</si>
  <si>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</si>
  <si>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</si>
  <si>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</si>
  <si>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</si>
  <si>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</si>
  <si>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</si>
  <si>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</si>
  <si>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</si>
  <si>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</si>
  <si>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</si>
  <si>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</si>
  <si>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</si>
  <si>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</si>
  <si>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</si>
  <si>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</si>
  <si>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</si>
  <si>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</si>
  <si>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</si>
  <si>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</si>
  <si>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</si>
  <si>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</si>
  <si>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</si>
  <si>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</si>
  <si>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</si>
  <si>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</si>
  <si>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</si>
  <si>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</si>
  <si>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</si>
  <si>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</si>
  <si>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</si>
  <si>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</si>
  <si>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</si>
  <si>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</si>
  <si>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</si>
  <si>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</si>
  <si>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</si>
  <si>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</si>
  <si>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</si>
  <si>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</si>
  <si>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</si>
  <si>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</si>
  <si>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</si>
  <si>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</si>
  <si>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</si>
  <si>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</si>
  <si>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</si>
  <si>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</si>
  <si>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</si>
  <si>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</si>
  <si>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</si>
  <si>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</si>
  <si>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</si>
  <si>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</si>
  <si>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</si>
  <si>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</si>
  <si>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</si>
  <si>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</si>
  <si>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</si>
  <si>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</si>
  <si>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</si>
  <si>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</si>
  <si>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</si>
  <si>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</si>
  <si>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</si>
  <si>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</si>
  <si>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</si>
  <si>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</si>
  <si>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</si>
  <si>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</si>
  <si>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</si>
  <si>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</si>
  <si>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</si>
  <si>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</si>
  <si>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</si>
  <si>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</si>
  <si>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</si>
  <si>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</si>
  <si>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</si>
  <si>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</si>
  <si>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</si>
  <si>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</si>
  <si>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</si>
  <si>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</si>
  <si>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</si>
  <si>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</si>
  <si>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</si>
  <si>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</si>
  <si>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</si>
  <si>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</si>
  <si>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</si>
  <si>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</si>
  <si>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</si>
  <si>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</si>
  <si>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</si>
  <si>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</si>
  <si>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</si>
  <si>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</si>
  <si>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</si>
  <si>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</si>
  <si>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</si>
  <si>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</si>
  <si>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</si>
  <si>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</si>
  <si>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</si>
  <si>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</si>
  <si>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</si>
  <si>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</si>
  <si>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</si>
  <si>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</si>
  <si>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</si>
  <si>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</si>
  <si>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</si>
  <si>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</si>
  <si>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</si>
  <si>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</si>
  <si>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</si>
  <si>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</si>
  <si>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</si>
  <si>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</si>
  <si>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</si>
  <si>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</si>
  <si>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</si>
  <si>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</si>
  <si>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</si>
  <si>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</si>
  <si>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</si>
  <si>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</si>
  <si>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</si>
  <si>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</si>
  <si>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</si>
  <si>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</si>
  <si>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</si>
  <si>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</si>
  <si>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</si>
  <si>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</si>
  <si>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</si>
  <si>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</si>
  <si>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</si>
  <si>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</si>
  <si>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</si>
  <si>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</si>
  <si>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</si>
  <si>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</si>
  <si>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</si>
  <si>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</si>
  <si>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</si>
  <si>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</si>
  <si>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</si>
  <si>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</si>
  <si>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</si>
  <si>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</si>
  <si>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</si>
  <si>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</si>
  <si>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</si>
  <si>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</si>
  <si>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</si>
  <si>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</si>
  <si>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</si>
  <si>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</si>
  <si>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</si>
  <si>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</si>
  <si>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</si>
  <si>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</si>
  <si>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</si>
  <si>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</si>
  <si>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</si>
  <si>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</si>
  <si>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</si>
  <si>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</si>
  <si>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</si>
  <si>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</si>
  <si>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</si>
  <si>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</si>
  <si>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</si>
  <si>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</si>
  <si>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</si>
  <si>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</si>
  <si>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</si>
  <si>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</si>
  <si>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</si>
  <si>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</si>
  <si>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</si>
  <si>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</si>
  <si>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</si>
  <si>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</si>
  <si>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</si>
  <si>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</si>
  <si>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</si>
  <si>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</si>
  <si>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</si>
  <si>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</si>
  <si>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</si>
  <si>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</si>
  <si>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</si>
  <si>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</si>
  <si>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</si>
  <si>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</si>
  <si>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</si>
  <si>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</si>
  <si>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</si>
  <si>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</si>
  <si>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</si>
  <si>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</si>
  <si>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</si>
  <si>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</si>
  <si>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</si>
  <si>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</si>
  <si>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</si>
  <si>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</si>
  <si>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</si>
  <si>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</si>
  <si>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</si>
  <si>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</si>
  <si>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</si>
  <si>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</si>
  <si>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</si>
  <si>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</si>
  <si>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</si>
  <si>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</si>
  <si>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</si>
  <si>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</si>
  <si>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</si>
  <si>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</si>
  <si>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</si>
  <si>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</si>
  <si>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</si>
  <si>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</si>
  <si>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</si>
  <si>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</si>
  <si>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</si>
  <si>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</si>
  <si>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</si>
  <si>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</si>
  <si>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</si>
  <si>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</si>
  <si>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</si>
  <si>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</si>
  <si>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</si>
  <si>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</si>
  <si>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</si>
  <si>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</si>
  <si>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</si>
  <si>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</si>
  <si>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</si>
  <si>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</si>
  <si>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</si>
  <si>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</si>
  <si>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</si>
  <si>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</si>
  <si>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</si>
  <si>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</si>
  <si>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</si>
  <si>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</si>
  <si>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</si>
  <si>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</si>
  <si>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</si>
  <si>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</si>
  <si>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</si>
  <si>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</si>
  <si>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</si>
  <si>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</si>
  <si>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</si>
  <si>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</si>
  <si>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</si>
  <si>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</si>
  <si>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</si>
  <si>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</si>
  <si>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</si>
  <si>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</si>
  <si>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</si>
  <si>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</si>
  <si>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</si>
  <si>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</si>
  <si>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</si>
  <si>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</si>
  <si>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</si>
  <si>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</si>
  <si>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</si>
  <si>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</si>
  <si>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</si>
  <si>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</si>
  <si>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</si>
  <si>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</si>
  <si>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</si>
  <si>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</si>
  <si>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</si>
  <si>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</si>
  <si>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</si>
  <si>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</si>
  <si>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</si>
  <si>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</si>
  <si>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</si>
  <si>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</si>
  <si>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</si>
  <si>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</si>
  <si>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</si>
  <si>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</si>
  <si>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</si>
  <si>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</si>
  <si>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</si>
  <si>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</si>
  <si>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</si>
  <si>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</si>
  <si>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</si>
  <si>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</si>
  <si>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</si>
  <si>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</si>
  <si>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</si>
  <si>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</si>
  <si>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</si>
  <si>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</si>
  <si>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</si>
  <si>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</si>
  <si>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</si>
  <si>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</si>
  <si>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</si>
  <si>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</si>
  <si>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</si>
  <si>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</si>
  <si>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</si>
  <si>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</si>
  <si>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</si>
  <si>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</si>
  <si>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</si>
  <si>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</si>
  <si>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</si>
  <si>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</si>
  <si>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</si>
  <si>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</si>
  <si>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</si>
  <si>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</si>
  <si>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</si>
  <si>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</si>
  <si>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</si>
  <si>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</si>
  <si>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</si>
  <si>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</si>
  <si>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</si>
  <si>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</si>
  <si>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</si>
  <si>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</si>
  <si>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</si>
  <si>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</si>
  <si>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</si>
  <si>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</si>
  <si>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</si>
  <si>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</si>
  <si>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</si>
  <si>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</si>
  <si>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</si>
  <si>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</si>
  <si>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</si>
  <si>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</si>
  <si>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</si>
  <si>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</si>
  <si>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</si>
  <si>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</si>
  <si>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</si>
  <si>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</si>
  <si>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</si>
  <si>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</si>
  <si>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</si>
  <si>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</si>
  <si>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</si>
  <si>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</si>
  <si>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</si>
  <si>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</si>
  <si>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</si>
  <si>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</si>
  <si>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</si>
  <si>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</si>
  <si>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</si>
  <si>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</si>
  <si>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</si>
  <si>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</si>
  <si>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</si>
  <si>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</si>
  <si>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</si>
  <si>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</si>
  <si>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</si>
  <si>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</si>
  <si>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</si>
  <si>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</si>
  <si>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</si>
  <si>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</si>
  <si>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</si>
  <si>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</si>
  <si>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</si>
  <si>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</si>
  <si>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</si>
  <si>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</si>
  <si>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</si>
  <si>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</si>
  <si>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</si>
  <si>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</si>
  <si>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</si>
  <si>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</si>
  <si>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</si>
  <si>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</si>
  <si>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</si>
  <si>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</si>
  <si>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</si>
  <si>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</si>
  <si>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</si>
  <si>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</si>
  <si>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</si>
  <si>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</si>
  <si>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</si>
  <si>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</si>
  <si>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</si>
  <si>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</si>
  <si>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</si>
  <si>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</si>
  <si>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</si>
  <si>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</si>
  <si>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</si>
  <si>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</si>
  <si>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</si>
  <si>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</si>
  <si>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</si>
  <si>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</si>
  <si>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</si>
  <si>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</si>
  <si>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</si>
  <si>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</si>
  <si>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</si>
  <si>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</si>
  <si>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</si>
  <si>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</si>
  <si>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</si>
  <si>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</si>
  <si>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</si>
  <si>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</si>
  <si>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</si>
  <si>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</si>
  <si>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</si>
  <si>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</si>
  <si>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</si>
  <si>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</si>
  <si>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</si>
  <si>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</si>
  <si>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</si>
  <si>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</si>
  <si>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</si>
  <si>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</si>
  <si>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</si>
  <si>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</si>
  <si>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</si>
  <si>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</si>
  <si>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</si>
  <si>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</si>
  <si>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</si>
  <si>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</si>
  <si>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</si>
  <si>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</si>
  <si>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</si>
  <si>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</si>
  <si>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</si>
  <si>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</si>
  <si>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</si>
  <si>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</si>
  <si>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</si>
  <si>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</si>
  <si>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</si>
  <si>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</si>
  <si>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</si>
  <si>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</si>
  <si>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</si>
  <si>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</si>
  <si>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</si>
  <si>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</si>
  <si>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</si>
  <si>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</si>
  <si>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</si>
  <si>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</si>
  <si>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</si>
  <si>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</si>
  <si>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</si>
  <si>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</si>
  <si>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</si>
  <si>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</si>
  <si>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</si>
  <si>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</si>
  <si>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</si>
  <si>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</si>
  <si>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</si>
  <si>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</si>
  <si>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</si>
  <si>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</si>
  <si>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</si>
  <si>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</si>
  <si>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</si>
  <si>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</si>
  <si>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</si>
  <si>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</si>
  <si>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</si>
  <si>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</si>
  <si>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</si>
  <si>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</si>
  <si>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</si>
  <si>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</si>
  <si>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</si>
  <si>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</si>
  <si>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</si>
  <si>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</si>
  <si>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</si>
  <si>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</si>
  <si>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</si>
  <si>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</si>
  <si>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</si>
  <si>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</si>
  <si>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</si>
  <si>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</si>
  <si>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</si>
  <si>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</si>
  <si>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</si>
  <si>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</si>
  <si>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</si>
  <si>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</si>
  <si>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</si>
  <si>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</si>
  <si>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</si>
  <si>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</si>
  <si>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</si>
  <si>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</si>
  <si>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</si>
  <si>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</si>
  <si>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</si>
  <si>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</si>
  <si>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</si>
  <si>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</si>
  <si>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</si>
  <si>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</si>
  <si>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</si>
  <si>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</si>
  <si>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</si>
  <si>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</si>
  <si>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</si>
  <si>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</si>
  <si>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</si>
  <si>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</si>
  <si>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</si>
  <si>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</si>
  <si>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</si>
  <si>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</si>
  <si>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</si>
  <si>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</si>
  <si>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</si>
  <si>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</si>
  <si>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</si>
  <si>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</si>
  <si>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</si>
  <si>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</si>
  <si>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</si>
  <si>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</si>
  <si>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</si>
  <si>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</si>
  <si>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</si>
  <si>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</si>
  <si>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</si>
  <si>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</si>
  <si>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</si>
  <si>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</si>
  <si>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</si>
  <si>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</si>
  <si>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</si>
  <si>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</si>
  <si>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</si>
  <si>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</si>
  <si>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</si>
  <si>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</si>
  <si>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</si>
  <si>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</si>
  <si>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</si>
  <si>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</si>
  <si>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</si>
  <si>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</si>
  <si>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</si>
  <si>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</si>
  <si>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</si>
  <si>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</si>
  <si>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</si>
  <si>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</si>
  <si>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</si>
  <si>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</si>
  <si>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</si>
  <si>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</si>
  <si>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</si>
  <si>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</si>
  <si>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</si>
  <si>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</si>
  <si>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</si>
  <si>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</si>
  <si>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</si>
  <si>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</si>
  <si>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</si>
  <si>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</si>
  <si>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</si>
  <si>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</si>
  <si>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</si>
  <si>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</si>
  <si>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</si>
  <si>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</si>
  <si>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</si>
  <si>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</si>
  <si>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</si>
  <si>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</si>
  <si>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</si>
  <si>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</si>
  <si>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</si>
  <si>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</si>
  <si>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</si>
  <si>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</si>
  <si>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</si>
  <si>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</si>
  <si>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</si>
  <si>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</si>
  <si>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</si>
  <si>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</si>
  <si>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</si>
  <si>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</si>
  <si>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</si>
  <si>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</si>
  <si>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</si>
  <si>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</si>
  <si>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</si>
  <si>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</si>
  <si>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</si>
  <si>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</si>
  <si>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</si>
  <si>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</si>
  <si>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</si>
  <si>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</si>
  <si>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</si>
  <si>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</si>
  <si>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</si>
  <si>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</si>
  <si>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</si>
  <si>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</si>
  <si>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</si>
  <si>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</si>
  <si>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</si>
  <si>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</si>
  <si>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</si>
  <si>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</si>
  <si>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</si>
  <si>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</si>
  <si>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</si>
  <si>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</si>
  <si>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</si>
  <si>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</si>
  <si>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</si>
  <si>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</si>
  <si>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</si>
  <si>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</si>
  <si>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</si>
  <si>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</si>
  <si>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</si>
  <si>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</si>
  <si>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</si>
  <si>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</si>
  <si>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</si>
  <si>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</si>
  <si>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</si>
  <si>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</si>
  <si>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</si>
  <si>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</si>
  <si>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</si>
  <si>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</si>
  <si>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</si>
  <si>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</si>
  <si>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</si>
  <si>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</si>
  <si>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</si>
  <si>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</si>
  <si>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</si>
  <si>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</si>
  <si>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</si>
  <si>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</si>
  <si>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</si>
  <si>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</si>
  <si>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</si>
  <si>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</si>
  <si>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</si>
  <si>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</si>
  <si>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</si>
  <si>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</si>
  <si>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</si>
  <si>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</si>
  <si>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</si>
  <si>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</si>
  <si>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</si>
  <si>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</si>
  <si>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</si>
  <si>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</si>
  <si>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</si>
  <si>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</si>
  <si>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</si>
  <si>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</si>
  <si>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</si>
  <si>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</si>
  <si>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</si>
  <si>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</si>
  <si>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</si>
  <si>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</si>
  <si>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</si>
  <si>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</si>
  <si>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</si>
  <si>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</si>
  <si>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</si>
  <si>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</si>
  <si>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</si>
  <si>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</si>
  <si>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</si>
  <si>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</si>
  <si>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</si>
  <si>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</si>
  <si>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</si>
  <si>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</si>
  <si>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</si>
  <si>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</si>
  <si>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</si>
  <si>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</si>
  <si>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</si>
  <si>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</si>
  <si>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</si>
  <si>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</si>
  <si>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</si>
  <si>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</si>
  <si>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</si>
  <si>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</si>
  <si>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</si>
  <si>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</si>
  <si>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</si>
  <si>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</si>
  <si>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</si>
  <si>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</si>
  <si>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</si>
  <si>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</si>
  <si>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</si>
  <si>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</si>
  <si>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</si>
  <si>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</si>
  <si>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</si>
  <si>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</si>
  <si>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</si>
  <si>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</si>
  <si>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</si>
  <si>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</si>
  <si>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</si>
  <si>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</si>
  <si>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</si>
  <si>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</si>
  <si>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</si>
  <si>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</si>
  <si>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</si>
  <si>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</si>
  <si>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</si>
  <si>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</si>
  <si>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</si>
  <si>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</si>
  <si>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</si>
  <si>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</si>
  <si>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</si>
  <si>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</si>
  <si>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</si>
  <si>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</si>
  <si>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</si>
  <si>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</si>
  <si>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</si>
  <si>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</si>
  <si>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</si>
  <si>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</si>
  <si>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</si>
  <si>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</si>
  <si>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</si>
  <si>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</si>
  <si>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</si>
  <si>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</si>
  <si>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</si>
  <si>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</si>
  <si>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</si>
  <si>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</si>
  <si>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</si>
  <si>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</si>
  <si>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</si>
  <si>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</si>
  <si>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</si>
  <si>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</si>
  <si>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</si>
  <si>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</si>
  <si>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</si>
  <si>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</si>
  <si>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</si>
  <si>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</si>
  <si>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</si>
  <si>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</si>
  <si>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</si>
  <si>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</si>
  <si>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</si>
  <si>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</si>
  <si>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</si>
  <si>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</si>
  <si>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</si>
  <si>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</si>
  <si>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</si>
  <si>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</si>
  <si>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</si>
  <si>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</si>
  <si>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</si>
  <si>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</si>
  <si>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</si>
  <si>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</si>
  <si>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</si>
  <si>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</si>
  <si>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</si>
  <si>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</si>
  <si>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</si>
  <si>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</si>
  <si>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</si>
  <si>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</si>
  <si>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</si>
  <si>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</si>
  <si>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</si>
  <si>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</si>
  <si>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</si>
  <si>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</si>
  <si>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</si>
  <si>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</si>
  <si>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</si>
  <si>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</si>
  <si>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</si>
  <si>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</si>
  <si>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</si>
  <si>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</si>
  <si>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</si>
  <si>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</si>
  <si>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</si>
  <si>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</si>
  <si>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</si>
  <si>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</si>
  <si>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</si>
  <si>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</si>
  <si>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</si>
  <si>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</si>
  <si>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</si>
  <si>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</si>
  <si>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</si>
  <si>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</si>
  <si>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</si>
  <si>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</si>
  <si>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</si>
  <si>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</si>
  <si>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</si>
  <si>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</si>
  <si>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</si>
  <si>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</si>
  <si>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</si>
  <si>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</si>
  <si>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</si>
  <si>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</si>
  <si>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</si>
  <si>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</si>
  <si>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</si>
  <si>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</si>
  <si>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</si>
  <si>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</si>
  <si>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</si>
  <si>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</si>
  <si>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</si>
  <si>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</si>
  <si>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</si>
  <si>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</si>
  <si>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</si>
  <si>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</si>
  <si>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</si>
  <si>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</si>
  <si>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</si>
  <si>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</si>
  <si>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</si>
  <si>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</si>
  <si>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</si>
  <si>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</si>
  <si>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</si>
  <si>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</si>
  <si>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</si>
  <si>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</si>
  <si>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</si>
  <si>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</si>
  <si>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</si>
  <si>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</si>
  <si>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</si>
  <si>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</si>
  <si>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</si>
  <si>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</si>
  <si>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</si>
  <si>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</si>
  <si>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</si>
  <si>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</si>
  <si>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</si>
  <si>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</si>
  <si>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</si>
  <si>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</si>
  <si>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</si>
  <si>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</si>
  <si>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</si>
  <si>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</si>
  <si>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</si>
  <si>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</si>
  <si>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</si>
  <si>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</si>
  <si>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</si>
  <si>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</si>
  <si>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</si>
  <si>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</si>
  <si>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</si>
  <si>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</si>
  <si>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</si>
  <si>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</si>
  <si>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</si>
  <si>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</si>
  <si>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</si>
  <si>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</si>
  <si>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</si>
  <si>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</si>
  <si>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</si>
  <si>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</si>
  <si>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</si>
  <si>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</si>
  <si>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</si>
  <si>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</si>
  <si>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</si>
  <si>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</si>
  <si>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</si>
  <si>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</si>
  <si>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</si>
  <si>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</si>
  <si>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</si>
  <si>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</si>
  <si>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</si>
  <si>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</si>
  <si>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</si>
  <si>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</si>
  <si>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</si>
  <si>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</si>
  <si>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</si>
  <si>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</si>
  <si>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</si>
  <si>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</si>
  <si>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</si>
  <si>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</si>
  <si>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</si>
  <si>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</si>
  <si>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</si>
  <si>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</si>
  <si>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</si>
  <si>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</si>
  <si>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</si>
  <si>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</si>
  <si>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</si>
  <si>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</si>
  <si>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</si>
  <si>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</si>
  <si>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</si>
  <si>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</si>
  <si>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</si>
  <si>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</si>
  <si>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</si>
  <si>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</si>
  <si>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</si>
  <si>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</si>
  <si>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</si>
  <si>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</si>
  <si>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</si>
  <si>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</si>
  <si>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</si>
  <si>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</si>
  <si>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</si>
  <si>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</si>
  <si>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</si>
  <si>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</si>
  <si>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</si>
  <si>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</si>
  <si>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</si>
  <si>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</si>
  <si>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</si>
  <si>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</si>
  <si>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</si>
  <si>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</si>
  <si>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</si>
  <si>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</si>
  <si>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</si>
  <si>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</si>
  <si>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</si>
  <si>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</si>
  <si>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</si>
  <si>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</si>
  <si>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</si>
  <si>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</si>
  <si>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</si>
  <si>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</si>
  <si>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</si>
  <si>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</si>
  <si>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</si>
  <si>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</si>
  <si>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</si>
  <si>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</si>
  <si>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</si>
  <si>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</si>
  <si>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</si>
  <si>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</si>
  <si>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</si>
  <si>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</si>
  <si>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</si>
  <si>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</si>
  <si>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</si>
  <si>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</si>
  <si>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</si>
  <si>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</si>
  <si>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</si>
  <si>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</si>
  <si>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</si>
  <si>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</si>
  <si>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</si>
  <si>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</si>
  <si>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</si>
  <si>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</si>
  <si>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</si>
  <si>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</si>
  <si>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</si>
  <si>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</si>
  <si>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</si>
  <si>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</si>
  <si>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</si>
  <si>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</si>
  <si>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</si>
  <si>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</si>
  <si>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</si>
  <si>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</si>
  <si>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</si>
  <si>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</si>
  <si>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</si>
  <si>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</si>
  <si>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</si>
  <si>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</si>
  <si>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</si>
  <si>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</si>
  <si>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</si>
  <si>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</si>
  <si>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</si>
  <si>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</si>
  <si>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</si>
  <si>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</si>
  <si>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</si>
  <si>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</si>
  <si>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</si>
  <si>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</si>
  <si>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</si>
  <si>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</si>
  <si>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</si>
  <si>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</si>
  <si>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</si>
  <si>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</si>
  <si>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</si>
  <si>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</si>
  <si>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</si>
  <si>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</si>
  <si>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</si>
  <si>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</si>
  <si>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</si>
  <si>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</si>
  <si>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</si>
  <si>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</si>
  <si>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</si>
  <si>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</si>
  <si>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</si>
  <si>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</si>
  <si>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</si>
  <si>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</si>
  <si>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</si>
  <si>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</si>
  <si>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</si>
  <si>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</si>
  <si>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</si>
  <si>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</si>
  <si>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</si>
  <si>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</si>
  <si>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</si>
  <si>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</si>
  <si>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</si>
  <si>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</si>
  <si>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</si>
  <si>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</si>
  <si>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</si>
  <si>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</si>
  <si>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</si>
  <si>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</si>
  <si>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</si>
  <si>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</si>
  <si>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</si>
  <si>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</si>
  <si>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</si>
  <si>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</si>
  <si>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</si>
  <si>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</si>
  <si>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</si>
  <si>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</si>
  <si>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</si>
  <si>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</si>
  <si>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</si>
  <si>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</si>
  <si>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</si>
  <si>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</si>
  <si>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</si>
  <si>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</si>
  <si>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</si>
  <si>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</si>
  <si>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</si>
  <si>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</si>
  <si>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</si>
  <si>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</si>
  <si>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</si>
  <si>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</si>
  <si>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</si>
  <si>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</si>
  <si>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</si>
  <si>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</si>
  <si>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</si>
  <si>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</si>
  <si>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</si>
  <si>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</si>
  <si>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</si>
  <si>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</si>
  <si>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</si>
  <si>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</si>
  <si>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</si>
  <si>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</si>
  <si>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</si>
  <si>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</si>
  <si>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</si>
  <si>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</si>
  <si>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</si>
  <si>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</si>
  <si>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</si>
  <si>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</si>
  <si>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</si>
  <si>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</si>
  <si>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</si>
  <si>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</si>
  <si>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</si>
  <si>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</si>
  <si>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</si>
  <si>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</si>
  <si>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</si>
  <si>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</si>
  <si>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</si>
  <si>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</si>
  <si>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</si>
  <si>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</si>
  <si>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</si>
  <si>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</si>
  <si>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</si>
  <si>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</si>
  <si>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</si>
  <si>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</si>
  <si>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</si>
  <si>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</si>
  <si>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</si>
  <si>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</si>
  <si>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</si>
  <si>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</si>
  <si>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</si>
  <si>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</si>
  <si>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</si>
  <si>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</si>
  <si>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</si>
  <si>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</si>
  <si>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</si>
  <si>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</si>
  <si>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</si>
  <si>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</si>
  <si>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</si>
  <si>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</si>
  <si>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</si>
  <si>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</si>
  <si>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</si>
  <si>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</si>
  <si>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</si>
  <si>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</si>
  <si>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</si>
  <si>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</si>
  <si>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</si>
  <si>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</si>
  <si>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</si>
  <si>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</si>
  <si>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</si>
  <si>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</si>
  <si>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</si>
  <si>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</si>
  <si>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</si>
  <si>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</si>
  <si>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</si>
  <si>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</si>
  <si>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</si>
  <si>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</si>
  <si>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</si>
  <si>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</si>
  <si>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</si>
  <si>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</si>
  <si>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</si>
  <si>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</si>
  <si>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</si>
  <si>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</si>
  <si>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</si>
  <si>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</si>
  <si>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</si>
  <si>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</si>
  <si>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</si>
  <si>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</si>
  <si>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</si>
  <si>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</si>
  <si>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</si>
  <si>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</si>
  <si>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</si>
  <si>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</si>
  <si>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</si>
  <si>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</si>
  <si>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</si>
  <si>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</si>
  <si>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</si>
  <si>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</si>
  <si>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</si>
  <si>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</si>
  <si>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</si>
  <si>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</si>
  <si>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</si>
  <si>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</si>
  <si>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</si>
  <si>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</si>
  <si>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</si>
  <si>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</si>
  <si>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</si>
  <si>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</si>
  <si>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</si>
  <si>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</si>
  <si>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</si>
  <si>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</si>
  <si>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</si>
  <si>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</si>
  <si>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</si>
  <si>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</si>
  <si>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</si>
  <si>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</si>
  <si>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</si>
  <si>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</si>
  <si>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</si>
  <si>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</si>
  <si>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</si>
  <si>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</si>
  <si>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</si>
  <si>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</si>
  <si>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</si>
  <si>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</si>
  <si>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</si>
  <si>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</si>
  <si>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</si>
  <si>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</si>
  <si>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</si>
  <si>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</si>
  <si>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</si>
  <si>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</si>
  <si>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</si>
  <si>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</si>
  <si>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</si>
  <si>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</si>
  <si>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</si>
  <si>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</si>
  <si>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</si>
  <si>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</si>
  <si>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</si>
  <si>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</si>
  <si>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</si>
  <si>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</si>
  <si>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</si>
  <si>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</si>
  <si>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</si>
  <si>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</si>
  <si>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</si>
  <si>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</si>
  <si>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</si>
  <si>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</si>
  <si>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</si>
  <si>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</si>
  <si>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</si>
  <si>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</si>
  <si>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</si>
  <si>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</si>
  <si>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</si>
  <si>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</si>
  <si>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</si>
  <si>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</si>
  <si>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</si>
  <si>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</si>
  <si>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</si>
  <si>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</si>
  <si>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</si>
  <si>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</si>
  <si>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</si>
  <si>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</si>
  <si>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</si>
  <si>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</si>
  <si>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</si>
  <si>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</si>
  <si>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</si>
  <si>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</si>
  <si>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</si>
  <si>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</si>
  <si>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</si>
  <si>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</si>
  <si>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</si>
  <si>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</si>
  <si>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</si>
  <si>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</si>
  <si>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</si>
  <si>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</si>
  <si>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</si>
  <si>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</si>
  <si>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</si>
  <si>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</si>
  <si>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</si>
  <si>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</si>
  <si>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</si>
  <si>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</si>
  <si>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</si>
  <si>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</si>
  <si>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</si>
  <si>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</si>
  <si>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</si>
  <si>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</si>
  <si>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</si>
  <si>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</si>
  <si>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</si>
  <si>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</si>
  <si>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</si>
  <si>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</si>
  <si>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</si>
  <si>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</si>
  <si>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</si>
  <si>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</si>
  <si>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</si>
  <si>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</si>
  <si>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</si>
  <si>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</si>
  <si>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</si>
  <si>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</si>
  <si>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</si>
  <si>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</si>
  <si>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</si>
  <si>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</si>
  <si>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</si>
  <si>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</si>
  <si>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</si>
  <si>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</si>
  <si>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</si>
  <si>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</si>
  <si>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</si>
  <si>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</si>
  <si>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</si>
  <si>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</si>
  <si>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</si>
  <si>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</si>
  <si>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</si>
  <si>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</si>
  <si>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</si>
  <si>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</si>
  <si>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</si>
  <si>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</si>
  <si>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</si>
  <si>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</si>
  <si>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</si>
  <si>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</si>
  <si>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</si>
  <si>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</si>
  <si>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</si>
  <si>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</si>
  <si>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</si>
  <si>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</si>
  <si>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</si>
  <si>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</si>
  <si>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</si>
  <si>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</si>
  <si>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</si>
  <si>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</si>
  <si>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</si>
  <si>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</si>
  <si>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</si>
  <si>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</si>
  <si>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</si>
  <si>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</si>
  <si>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</si>
  <si>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</si>
  <si>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</si>
  <si>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</si>
  <si>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</si>
  <si>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</si>
  <si>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</si>
  <si>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</si>
  <si>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</si>
  <si>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</si>
  <si>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</si>
  <si>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</si>
  <si>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</si>
  <si>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</si>
  <si>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</si>
  <si>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</si>
  <si>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</si>
  <si>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</si>
  <si>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</si>
  <si>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</si>
  <si>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</si>
  <si>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</si>
  <si>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</si>
  <si>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</si>
  <si>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</si>
  <si>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</si>
  <si>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</si>
  <si>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</si>
  <si>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</si>
  <si>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</si>
  <si>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</si>
  <si>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</si>
  <si>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</si>
  <si>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</si>
  <si>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</si>
  <si>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</si>
  <si>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</si>
  <si>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</si>
  <si>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</si>
  <si>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</si>
  <si>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</si>
  <si>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</si>
  <si>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</si>
  <si>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</si>
  <si>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</si>
  <si>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</si>
  <si>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</si>
  <si>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</si>
  <si>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</si>
  <si>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</si>
  <si>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</si>
  <si>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</si>
  <si>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</si>
  <si>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</si>
  <si>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</si>
  <si>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</si>
  <si>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</si>
  <si>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</si>
  <si>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</si>
  <si>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</si>
  <si>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</si>
  <si>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</si>
  <si>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</si>
  <si>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</si>
  <si>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</si>
  <si>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</si>
  <si>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</si>
  <si>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</si>
  <si>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</si>
  <si>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</si>
  <si>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</si>
  <si>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</si>
  <si>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</si>
  <si>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</si>
  <si>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</si>
  <si>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</si>
  <si>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</si>
  <si>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</si>
  <si>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</si>
  <si>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</si>
  <si>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</si>
  <si>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</si>
  <si>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</si>
  <si>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</si>
  <si>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</si>
  <si>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</si>
  <si>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</si>
  <si>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</si>
  <si>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</si>
  <si>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</si>
  <si>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</si>
  <si>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</si>
  <si>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</si>
  <si>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</si>
  <si>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</si>
  <si>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</si>
  <si>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</si>
  <si>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</si>
  <si>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</si>
  <si>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</si>
  <si>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</si>
  <si>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</si>
  <si>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</si>
  <si>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</si>
  <si>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</si>
  <si>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</si>
  <si>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</si>
  <si>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</si>
  <si>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</si>
  <si>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</si>
  <si>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</si>
  <si>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</si>
  <si>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</si>
  <si>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</si>
  <si>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</si>
  <si>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</si>
  <si>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</si>
  <si>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</si>
  <si>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</si>
  <si>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</si>
  <si>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</si>
  <si>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</si>
  <si>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</si>
  <si>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</si>
  <si>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</si>
  <si>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</si>
  <si>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</si>
  <si>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</si>
  <si>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</si>
  <si>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</si>
  <si>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</si>
  <si>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</si>
  <si>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</si>
  <si>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</si>
  <si>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</si>
  <si>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</si>
  <si>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</si>
  <si>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</si>
  <si>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</si>
  <si>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</si>
  <si>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</si>
  <si>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</si>
  <si>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</si>
  <si>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</si>
  <si>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</si>
  <si>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</si>
  <si>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</si>
  <si>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</si>
  <si>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</si>
  <si>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</si>
  <si>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</si>
  <si>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</si>
  <si>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</si>
  <si>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</si>
  <si>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</si>
  <si>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</si>
  <si>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</si>
  <si>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</si>
  <si>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</si>
  <si>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</si>
  <si>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</si>
  <si>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</si>
  <si>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</si>
  <si>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</si>
  <si>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</si>
  <si>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</si>
  <si>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</si>
  <si>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</si>
  <si>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</si>
  <si>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</si>
  <si>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</si>
  <si>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</si>
  <si>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</si>
  <si>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</si>
  <si>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</si>
  <si>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</si>
  <si>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</si>
  <si>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</si>
  <si>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</si>
  <si>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</si>
  <si>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</si>
  <si>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</si>
  <si>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</si>
  <si>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</si>
  <si>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</si>
  <si>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</si>
  <si>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</si>
  <si>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</si>
  <si>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</si>
  <si>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</si>
  <si>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</si>
  <si>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</si>
  <si>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</si>
  <si>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</si>
  <si>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</si>
  <si>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</si>
  <si>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</si>
  <si>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</si>
  <si>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</si>
  <si>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</si>
  <si>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</si>
  <si>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</si>
  <si>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</si>
  <si>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</si>
  <si>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</si>
  <si>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</si>
  <si>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</si>
  <si>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</si>
  <si>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</si>
  <si>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</si>
  <si>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</si>
  <si>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</si>
  <si>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</si>
  <si>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</si>
  <si>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</si>
  <si>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</si>
  <si>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</si>
  <si>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</si>
  <si>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</si>
  <si>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</si>
  <si>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</si>
  <si>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</si>
  <si>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</si>
  <si>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</si>
  <si>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</si>
  <si>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</si>
  <si>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</si>
  <si>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</si>
  <si>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</si>
  <si>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</si>
  <si>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</si>
  <si>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</si>
  <si>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</si>
  <si>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</si>
  <si>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</si>
  <si>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</si>
  <si>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</si>
  <si>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</si>
  <si>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</si>
  <si>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</si>
  <si>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</si>
  <si>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</si>
  <si>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</si>
  <si>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</si>
  <si>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</si>
  <si>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</si>
  <si>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</si>
  <si>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</si>
  <si>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</si>
  <si>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</si>
  <si>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</si>
  <si>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</si>
  <si>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</si>
  <si>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</si>
  <si>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</si>
  <si>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</si>
  <si>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</si>
  <si>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</si>
  <si>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</si>
  <si>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</si>
  <si>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</si>
  <si>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</si>
  <si>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</si>
  <si>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</si>
  <si>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</si>
  <si>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</si>
  <si>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</si>
  <si>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</si>
  <si>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</si>
  <si>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</si>
  <si>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</si>
  <si>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</si>
  <si>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</si>
  <si>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</si>
  <si>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</si>
  <si>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</si>
  <si>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</si>
  <si>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</si>
  <si>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</si>
  <si>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</si>
  <si>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</si>
  <si>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</si>
  <si>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</si>
  <si>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</si>
  <si>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</si>
  <si>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</si>
  <si>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</si>
  <si>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</si>
  <si>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</si>
  <si>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</si>
  <si>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</si>
  <si>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</si>
  <si>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</si>
  <si>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</si>
  <si>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</si>
  <si>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</si>
  <si>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</si>
  <si>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</si>
  <si>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</si>
  <si>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</si>
  <si>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</si>
  <si>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</si>
  <si>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</si>
  <si>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</si>
  <si>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</si>
  <si>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</si>
  <si>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</si>
  <si>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</si>
  <si>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</si>
  <si>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</si>
  <si>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</si>
  <si>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</si>
  <si>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</si>
  <si>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</si>
  <si>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</si>
  <si>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</si>
  <si>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</si>
  <si>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</si>
  <si>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</si>
  <si>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</si>
  <si>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</si>
  <si>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</si>
  <si>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</si>
  <si>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</si>
  <si>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</si>
  <si>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</si>
  <si>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</si>
  <si>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</si>
  <si>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</si>
  <si>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</si>
  <si>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</si>
  <si>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</si>
  <si>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</si>
  <si>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</si>
  <si>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</si>
  <si>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</si>
  <si>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</si>
  <si>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</si>
  <si>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</si>
  <si>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</si>
  <si>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</si>
  <si>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</si>
  <si>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</si>
  <si>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</si>
  <si>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</si>
  <si>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</si>
  <si>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</si>
  <si>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</si>
  <si>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</si>
  <si>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</si>
  <si>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</si>
  <si>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</si>
  <si>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</si>
  <si>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</si>
  <si>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</si>
  <si>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</si>
  <si>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</si>
  <si>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</si>
  <si>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</si>
  <si>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</si>
  <si>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</si>
  <si>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</si>
  <si>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</si>
  <si>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</si>
  <si>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</si>
  <si>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</si>
  <si>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</si>
  <si>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</si>
  <si>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</si>
  <si>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</si>
  <si>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</si>
  <si>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</si>
  <si>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</si>
  <si>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</si>
  <si>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</si>
  <si>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</si>
  <si>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</si>
  <si>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</si>
  <si>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</si>
  <si>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</si>
  <si>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</si>
  <si>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</si>
  <si>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</si>
  <si>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</si>
  <si>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</si>
  <si>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</si>
  <si>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</si>
  <si>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</si>
  <si>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</si>
  <si>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</si>
  <si>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</si>
  <si>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</si>
  <si>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</si>
  <si>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</si>
  <si>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</si>
  <si>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</si>
  <si>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</si>
  <si>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</si>
  <si>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</si>
  <si>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</si>
  <si>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</si>
  <si>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</si>
  <si>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</si>
  <si>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</si>
  <si>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</si>
  <si>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</si>
  <si>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</si>
  <si>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</si>
  <si>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</si>
  <si>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</si>
  <si>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</si>
  <si>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</si>
  <si>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</si>
  <si>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</si>
  <si>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</si>
  <si>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</si>
  <si>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</si>
  <si>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</si>
  <si>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</si>
  <si>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</si>
  <si>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</si>
  <si>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</si>
  <si>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</si>
  <si>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</si>
  <si>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</si>
  <si>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</si>
  <si>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</si>
  <si>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</si>
  <si>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</si>
  <si>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</si>
  <si>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</si>
  <si>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</si>
  <si>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</si>
  <si>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</si>
  <si>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</si>
  <si>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</si>
  <si>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</si>
  <si>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</si>
  <si>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</si>
  <si>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</si>
  <si>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</si>
  <si>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</si>
  <si>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</si>
  <si>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</si>
  <si>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</si>
  <si>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</si>
  <si>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</si>
  <si>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</si>
  <si>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</si>
  <si>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</si>
  <si>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</si>
  <si>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</si>
  <si>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</si>
  <si>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</si>
  <si>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</si>
  <si>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</si>
  <si>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</si>
  <si>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</si>
  <si>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</si>
  <si>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</si>
  <si>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</si>
  <si>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</si>
  <si>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</si>
  <si>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</si>
  <si>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</si>
  <si>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</si>
  <si>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</si>
  <si>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</si>
  <si>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</si>
  <si>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</si>
  <si>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</si>
  <si>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</si>
  <si>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</si>
  <si>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</si>
  <si>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</si>
  <si>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</si>
  <si>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</si>
  <si>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</si>
  <si>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</si>
  <si>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</si>
  <si>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</si>
  <si>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</si>
  <si>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</si>
  <si>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</si>
  <si>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</si>
  <si>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</si>
  <si>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</si>
  <si>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</si>
  <si>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</si>
  <si>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</si>
  <si>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</si>
  <si>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</si>
  <si>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</si>
  <si>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</si>
  <si>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</si>
  <si>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</si>
  <si>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</si>
  <si>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</si>
  <si>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</si>
  <si>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</si>
  <si>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</si>
  <si>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</si>
  <si>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</si>
  <si>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</si>
  <si>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</si>
  <si>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</si>
  <si>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</si>
  <si>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</si>
  <si>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</si>
  <si>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</si>
  <si>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</si>
  <si>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</si>
  <si>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</si>
  <si>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</si>
  <si>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</si>
  <si>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</si>
  <si>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</si>
  <si>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</si>
  <si>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</si>
  <si>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</si>
  <si>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</si>
  <si>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</si>
  <si>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</si>
  <si>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</si>
  <si>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</si>
  <si>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</si>
  <si>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</si>
  <si>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</si>
  <si>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</si>
  <si>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</si>
  <si>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</si>
  <si>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</si>
  <si>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</si>
  <si>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</si>
  <si>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</si>
  <si>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</si>
  <si>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</si>
  <si>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</si>
  <si>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</si>
  <si>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</si>
  <si>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</si>
  <si>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</si>
  <si>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</si>
  <si>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</si>
  <si>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</si>
  <si>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</si>
  <si>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</si>
  <si>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</si>
  <si>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</si>
  <si>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</si>
  <si>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</si>
  <si>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</si>
  <si>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</si>
  <si>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</si>
  <si>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</si>
  <si>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</si>
  <si>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</si>
  <si>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</si>
  <si>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</si>
  <si>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</si>
  <si>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</si>
  <si>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</si>
  <si>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</si>
  <si>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</si>
  <si>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</si>
  <si>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</si>
  <si>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</si>
  <si>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</si>
  <si>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</si>
  <si>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</si>
  <si>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</si>
  <si>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</si>
  <si>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</si>
  <si>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</si>
  <si>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</si>
  <si>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</si>
  <si>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</si>
  <si>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</si>
  <si>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</si>
  <si>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</si>
  <si>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</si>
  <si>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</si>
  <si>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</si>
  <si>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</si>
  <si>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</si>
  <si>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</si>
  <si>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</si>
  <si>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</si>
  <si>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</si>
  <si>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</si>
  <si>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</si>
  <si>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</si>
  <si>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</si>
  <si>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</si>
  <si>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</si>
  <si>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</si>
  <si>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</si>
  <si>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</si>
  <si>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</si>
  <si>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</si>
  <si>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</si>
  <si>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</si>
  <si>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</si>
  <si>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</si>
  <si>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</si>
  <si>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</si>
  <si>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</si>
  <si>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</si>
  <si>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</si>
  <si>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</si>
  <si>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</si>
  <si>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</si>
  <si>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</si>
  <si>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</si>
  <si>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</si>
  <si>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</si>
  <si>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</si>
  <si>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</si>
  <si>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</si>
  <si>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</si>
  <si>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</si>
  <si>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</si>
  <si>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</si>
  <si>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</si>
  <si>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</si>
  <si>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</si>
  <si>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</si>
  <si>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</si>
  <si>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</si>
  <si>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</si>
  <si>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</si>
  <si>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</si>
  <si>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</si>
  <si>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</si>
  <si>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</si>
  <si>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</si>
  <si>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</si>
  <si>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</si>
  <si>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</si>
  <si>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</si>
  <si>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</si>
  <si>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</si>
  <si>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</si>
  <si>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</si>
  <si>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</si>
  <si>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</si>
  <si>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</si>
  <si>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</si>
  <si>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</si>
  <si>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</si>
  <si>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</si>
  <si>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</si>
  <si>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</si>
  <si>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</si>
  <si>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</si>
  <si>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</si>
  <si>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</si>
  <si>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</si>
  <si>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</si>
  <si>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</si>
  <si>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</si>
  <si>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</si>
  <si>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</si>
  <si>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</si>
  <si>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</si>
  <si>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</si>
  <si>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</si>
  <si>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</si>
  <si>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</si>
  <si>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</si>
  <si>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</si>
  <si>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</si>
  <si>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</si>
  <si>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</si>
  <si>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</si>
  <si>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</si>
  <si>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</si>
  <si>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</si>
  <si>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</si>
  <si>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</si>
  <si>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</si>
  <si>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</si>
  <si>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</si>
  <si>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</si>
  <si>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</si>
  <si>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</si>
  <si>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</si>
  <si>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</si>
  <si>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</si>
  <si>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</si>
  <si>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</si>
  <si>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</si>
  <si>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</si>
  <si>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</si>
  <si>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</si>
  <si>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</si>
  <si>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</si>
  <si>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</si>
  <si>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</si>
  <si>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</si>
  <si>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</si>
  <si>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</si>
  <si>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</si>
  <si>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</si>
  <si>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</si>
  <si>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</si>
  <si>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</si>
  <si>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</si>
  <si>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</si>
  <si>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</si>
  <si>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</si>
  <si>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</si>
  <si>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</si>
  <si>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</si>
  <si>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</si>
  <si>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</si>
  <si>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</si>
  <si>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</si>
  <si>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</si>
  <si>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</si>
  <si>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</si>
  <si>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</si>
  <si>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</si>
  <si>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</si>
  <si>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</si>
  <si>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</si>
  <si>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</si>
  <si>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</si>
  <si>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</si>
  <si>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</si>
  <si>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</si>
  <si>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</si>
  <si>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</si>
  <si>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</si>
  <si>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</si>
  <si>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</si>
  <si>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</si>
  <si>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</si>
  <si>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</si>
  <si>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</si>
  <si>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</si>
  <si>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</si>
  <si>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</si>
  <si>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</si>
  <si>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</si>
  <si>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</si>
  <si>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</si>
  <si>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</si>
  <si>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</si>
  <si>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</si>
  <si>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</si>
  <si>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</si>
  <si>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</si>
  <si>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</si>
  <si>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</si>
  <si>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</si>
  <si>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</si>
  <si>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</si>
  <si>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</si>
  <si>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</si>
  <si>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</si>
  <si>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</si>
  <si>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</si>
  <si>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</si>
  <si>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</si>
  <si>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</si>
  <si>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</si>
  <si>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</si>
  <si>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</si>
  <si>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</si>
  <si>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</si>
  <si>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</si>
  <si>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</si>
  <si>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</si>
  <si>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</si>
  <si>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</si>
  <si>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</si>
  <si>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</si>
  <si>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</si>
  <si>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</si>
  <si>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</si>
  <si>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</si>
  <si>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</si>
  <si>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</si>
  <si>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</si>
  <si>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</si>
  <si>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</si>
  <si>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</si>
  <si>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</si>
  <si>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</si>
  <si>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</si>
  <si>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</si>
  <si>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</si>
  <si>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</si>
  <si>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</si>
  <si>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</si>
  <si>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</si>
  <si>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</si>
  <si>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</si>
  <si>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</si>
  <si>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</si>
  <si>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</si>
  <si>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</si>
  <si>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</si>
  <si>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</si>
  <si>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</si>
  <si>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</si>
  <si>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</si>
  <si>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</si>
  <si>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</si>
  <si>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</si>
  <si>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</si>
  <si>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</si>
  <si>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</si>
  <si>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</si>
  <si>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</si>
  <si>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</si>
  <si>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</si>
  <si>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</si>
  <si>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</si>
  <si>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</si>
  <si>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</si>
  <si>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</si>
  <si>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</si>
  <si>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</si>
  <si>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</si>
  <si>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</si>
  <si>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</si>
  <si>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</si>
  <si>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</si>
  <si>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</si>
  <si>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</si>
  <si>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</si>
  <si>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</si>
  <si>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</si>
  <si>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</si>
  <si>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</si>
  <si>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</si>
  <si>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</si>
  <si>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</si>
  <si>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</si>
  <si>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</si>
  <si>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</si>
  <si>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</si>
  <si>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</si>
  <si>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</si>
  <si>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</si>
  <si>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</si>
  <si>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</si>
  <si>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</si>
  <si>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</si>
  <si>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</si>
  <si>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</si>
  <si>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</si>
  <si>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</si>
  <si>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</si>
  <si>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</si>
  <si>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</si>
  <si>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</si>
  <si>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</si>
  <si>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</si>
  <si>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</si>
  <si>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</si>
  <si>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</si>
  <si>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</si>
  <si>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</si>
  <si>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</si>
  <si>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</si>
  <si>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</si>
  <si>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</si>
  <si>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</si>
  <si>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</si>
  <si>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</si>
  <si>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</si>
  <si>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</si>
  <si>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</si>
  <si>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</si>
  <si>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</si>
  <si>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</si>
  <si>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</si>
  <si>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</si>
  <si>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</si>
  <si>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</si>
  <si>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</si>
  <si>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</si>
  <si>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</si>
  <si>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</si>
  <si>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</si>
  <si>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</si>
  <si>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</si>
  <si>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</si>
  <si>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</si>
  <si>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</si>
  <si>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</si>
  <si>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</si>
  <si>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</si>
  <si>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</si>
  <si>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</si>
  <si>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</si>
  <si>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</si>
  <si>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</si>
  <si>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</si>
  <si>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</si>
  <si>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</si>
  <si>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</si>
  <si>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</si>
  <si>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</si>
  <si>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</si>
  <si>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</si>
  <si>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</si>
  <si>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</si>
  <si>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</si>
  <si>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</si>
  <si>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</si>
  <si>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</si>
  <si>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</si>
  <si>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</si>
  <si>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</si>
  <si>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</si>
  <si>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</si>
  <si>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</si>
  <si>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</si>
  <si>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</si>
  <si>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</si>
  <si>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</si>
  <si>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</si>
  <si>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</si>
  <si>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</si>
  <si>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</si>
  <si>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</si>
  <si>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</si>
  <si>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</si>
  <si>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</si>
  <si>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</si>
  <si>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</si>
  <si>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</si>
  <si>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</si>
  <si>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</si>
  <si>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</si>
  <si>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</si>
  <si>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</si>
  <si>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</si>
  <si>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</si>
  <si>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</si>
  <si>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</si>
  <si>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</si>
  <si>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</si>
  <si>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</si>
  <si>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</si>
  <si>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</si>
  <si>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</si>
  <si>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</si>
  <si>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</si>
  <si>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</si>
  <si>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</si>
  <si>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</si>
  <si>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</si>
  <si>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</si>
  <si>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</si>
  <si>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</si>
  <si>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</si>
  <si>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</si>
  <si>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</si>
  <si>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</si>
  <si>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</si>
  <si>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</si>
  <si>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</si>
  <si>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</si>
  <si>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</si>
  <si>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</si>
  <si>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</si>
  <si>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</si>
  <si>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</si>
  <si>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</si>
  <si>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</si>
  <si>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</si>
  <si>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</si>
  <si>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</si>
  <si>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</si>
  <si>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</si>
  <si>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</si>
  <si>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</si>
  <si>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</si>
  <si>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</si>
  <si>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</si>
  <si>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</si>
  <si>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</si>
  <si>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</si>
  <si>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</si>
  <si>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</si>
  <si>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</si>
  <si>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</si>
  <si>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</si>
  <si>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</si>
  <si>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</si>
  <si>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</si>
  <si>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</si>
  <si>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</si>
  <si>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</si>
  <si>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</si>
  <si>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</si>
  <si>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</si>
  <si>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</si>
  <si>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</si>
  <si>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</si>
  <si>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</si>
  <si>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</si>
  <si>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</si>
  <si>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</si>
  <si>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</si>
  <si>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</si>
  <si>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</si>
  <si>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</si>
  <si>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</si>
  <si>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</si>
  <si>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</si>
  <si>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</si>
  <si>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</si>
  <si>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</si>
  <si>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</si>
  <si>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</si>
  <si>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</si>
  <si>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</si>
  <si>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</si>
  <si>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</si>
  <si>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</si>
  <si>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</si>
  <si>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</si>
  <si>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</si>
  <si>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</si>
  <si>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</si>
  <si>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</si>
  <si>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</si>
  <si>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</si>
  <si>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</si>
  <si>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</si>
  <si>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</si>
  <si>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</si>
  <si>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</si>
  <si>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</si>
  <si>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</si>
  <si>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</si>
  <si>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</si>
  <si>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</si>
  <si>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</si>
  <si>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</si>
  <si>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</si>
  <si>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</si>
  <si>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</si>
  <si>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</si>
  <si>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</si>
  <si>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</si>
  <si>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</si>
  <si>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</si>
  <si>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</si>
  <si>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</si>
  <si>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</si>
  <si>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</si>
  <si>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</si>
  <si>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</si>
  <si>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</si>
  <si>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</si>
  <si>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</si>
  <si>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</si>
  <si>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</si>
  <si>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</si>
  <si>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</si>
  <si>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</si>
  <si>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</si>
  <si>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</si>
  <si>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</si>
  <si>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</si>
  <si>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</si>
  <si>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</si>
  <si>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</si>
  <si>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</si>
  <si>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</si>
  <si>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</si>
  <si>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</si>
  <si>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</si>
  <si>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</si>
  <si>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</si>
  <si>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</si>
  <si>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</si>
  <si>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</si>
  <si>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</si>
  <si>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</si>
  <si>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</si>
  <si>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</si>
  <si>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</si>
  <si>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</si>
  <si>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</si>
  <si>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</si>
  <si>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</si>
  <si>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</si>
  <si>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</si>
  <si>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</si>
  <si>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</si>
  <si>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</si>
  <si>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</si>
  <si>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</si>
  <si>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</si>
  <si>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</si>
  <si>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</si>
  <si>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</si>
  <si>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</si>
  <si>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</si>
  <si>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</si>
  <si>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</si>
  <si>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</si>
  <si>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</si>
  <si>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</si>
  <si>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</si>
  <si>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</si>
  <si>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</si>
  <si>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</si>
  <si>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</si>
  <si>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</si>
  <si>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</si>
  <si>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</si>
  <si>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</si>
  <si>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</si>
  <si>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</si>
  <si>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</si>
  <si>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</si>
  <si>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</si>
  <si>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</si>
  <si>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</si>
  <si>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</si>
  <si>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</si>
  <si>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</si>
  <si>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</si>
  <si>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</si>
  <si>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</si>
  <si>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</si>
  <si>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</si>
  <si>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</si>
  <si>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</si>
  <si>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</si>
  <si>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</si>
  <si>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</si>
  <si>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</si>
  <si>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</si>
  <si>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</si>
  <si>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</si>
  <si>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</si>
  <si>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</si>
  <si>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</si>
  <si>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</si>
  <si>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</si>
  <si>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</si>
  <si>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</si>
  <si>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</si>
  <si>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</si>
  <si>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</si>
  <si>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</si>
  <si>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</si>
  <si>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</si>
  <si>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</si>
  <si>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</si>
  <si>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</si>
  <si>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</si>
  <si>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</si>
  <si>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</si>
  <si>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</si>
  <si>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</si>
  <si>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</si>
  <si>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</si>
  <si>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</si>
  <si>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</si>
  <si>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</si>
  <si>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</si>
  <si>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</si>
  <si>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</si>
  <si>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</si>
  <si>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</si>
  <si>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</si>
  <si>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</si>
  <si>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</si>
  <si>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</si>
  <si>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</si>
  <si>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</si>
  <si>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</si>
  <si>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</si>
  <si>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</si>
  <si>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</si>
  <si>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</si>
  <si>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</si>
  <si>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</si>
  <si>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</si>
  <si>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</si>
  <si>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</si>
  <si>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</si>
  <si>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</si>
  <si>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</si>
  <si>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</si>
  <si>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</si>
  <si>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</si>
  <si>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</si>
  <si>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</si>
  <si>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</si>
  <si>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</si>
  <si>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</si>
  <si>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</si>
  <si>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</si>
  <si>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</si>
  <si>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</si>
  <si>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</si>
  <si>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</si>
  <si>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</si>
  <si>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</si>
  <si>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</si>
  <si>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</si>
  <si>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</si>
  <si>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</si>
  <si>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</si>
  <si>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</si>
  <si>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</si>
  <si>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</si>
  <si>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</si>
  <si>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</si>
  <si>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</si>
  <si>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</si>
  <si>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</si>
  <si>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</si>
  <si>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</si>
  <si>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</si>
  <si>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</si>
  <si>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</si>
  <si>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</si>
  <si>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</si>
  <si>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</si>
  <si>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</si>
  <si>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</si>
  <si>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</si>
  <si>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</si>
  <si>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</si>
  <si>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</si>
  <si>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</si>
  <si>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</si>
  <si>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</si>
  <si>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</si>
  <si>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</si>
  <si>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</si>
  <si>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</si>
  <si>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</si>
  <si>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</si>
  <si>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</si>
  <si>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</si>
  <si>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</si>
  <si>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</si>
  <si>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</si>
  <si>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</si>
  <si>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</si>
  <si>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</si>
  <si>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</si>
  <si>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</si>
  <si>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</si>
  <si>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</si>
  <si>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</si>
  <si>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</si>
  <si>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</si>
  <si>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</si>
  <si>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</si>
  <si>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</si>
  <si>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</si>
  <si>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</si>
  <si>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</si>
  <si>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</si>
  <si>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</si>
  <si>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</si>
  <si>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</si>
  <si>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</si>
  <si>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</si>
  <si>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</si>
  <si>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</si>
  <si>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</si>
  <si>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</si>
  <si>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</si>
  <si>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</si>
  <si>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</si>
  <si>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</si>
  <si>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</si>
  <si>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</si>
  <si>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</si>
  <si>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</si>
  <si>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</si>
  <si>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</si>
  <si>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</si>
  <si>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</si>
  <si>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</si>
  <si>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</si>
  <si>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</si>
  <si>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</si>
  <si>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</si>
  <si>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</si>
  <si>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</si>
  <si>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</si>
  <si>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</si>
  <si>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</si>
  <si>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</si>
  <si>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</si>
  <si>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</si>
  <si>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</si>
  <si>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</si>
  <si>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</si>
  <si>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</si>
  <si>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</si>
  <si>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</si>
  <si>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</si>
  <si>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</si>
  <si>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</si>
  <si>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</si>
  <si>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</si>
  <si>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</si>
  <si>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</si>
  <si>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</si>
  <si>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</si>
  <si>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</si>
  <si>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</si>
  <si>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</si>
  <si>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</si>
  <si>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</si>
  <si>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</si>
  <si>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</si>
  <si>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</si>
  <si>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</si>
  <si>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</si>
  <si>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</si>
  <si>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</si>
  <si>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</si>
  <si>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</si>
  <si>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</si>
  <si>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</si>
  <si>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</si>
  <si>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</si>
  <si>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</si>
  <si>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</si>
  <si>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</si>
  <si>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</si>
  <si>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</si>
  <si>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</si>
  <si>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</si>
  <si>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</si>
  <si>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</si>
  <si>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</si>
  <si>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</si>
  <si>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</si>
  <si>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</si>
  <si>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</si>
  <si>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</si>
  <si>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</si>
  <si>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</si>
  <si>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</si>
  <si>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</si>
  <si>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</si>
  <si>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</si>
  <si>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</si>
  <si>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</si>
  <si>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</si>
  <si>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</si>
  <si>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</si>
  <si>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</si>
  <si>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</si>
  <si>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</si>
  <si>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</si>
  <si>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</si>
  <si>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</si>
  <si>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</si>
  <si>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</si>
  <si>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</si>
  <si>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</si>
  <si>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</si>
  <si>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</si>
  <si>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</si>
  <si>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</si>
  <si>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</si>
  <si>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</si>
  <si>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</si>
  <si>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</si>
  <si>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</si>
  <si>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</si>
  <si>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</si>
  <si>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</si>
  <si>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</si>
  <si>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</si>
  <si>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</si>
  <si>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</si>
  <si>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</si>
  <si>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</si>
  <si>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</si>
  <si>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</si>
  <si>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</si>
  <si>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</si>
  <si>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</si>
  <si>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</si>
  <si>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</si>
  <si>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</si>
  <si>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</si>
  <si>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</si>
  <si>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</si>
  <si>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</si>
  <si>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</si>
  <si>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</si>
  <si>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</si>
  <si>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</si>
  <si>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</si>
  <si>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</si>
  <si>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</si>
  <si>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</si>
  <si>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</si>
  <si>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</si>
  <si>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</si>
  <si>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</si>
  <si>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</si>
  <si>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</si>
  <si>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</si>
  <si>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</si>
  <si>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</si>
  <si>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</si>
  <si>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</si>
  <si>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</si>
  <si>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</si>
  <si>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</si>
  <si>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</si>
  <si>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</si>
  <si>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</si>
  <si>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</si>
  <si>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</si>
  <si>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</si>
  <si>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</si>
  <si>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</si>
  <si>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</si>
  <si>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</si>
  <si>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</si>
  <si>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</si>
  <si>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</si>
  <si>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</si>
  <si>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</si>
  <si>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</si>
  <si>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</si>
  <si>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</si>
  <si>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</si>
  <si>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</si>
  <si>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</si>
  <si>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</si>
  <si>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</si>
  <si>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</si>
  <si>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</si>
  <si>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</si>
  <si>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</si>
  <si>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</si>
  <si>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</si>
  <si>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</si>
  <si>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</si>
  <si>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</si>
  <si>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</si>
  <si>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</si>
  <si>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</si>
  <si>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</si>
  <si>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</si>
  <si>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</si>
  <si>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</si>
  <si>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</si>
  <si>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</si>
  <si>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</si>
  <si>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</si>
  <si>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</si>
  <si>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</si>
  <si>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</si>
  <si>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</si>
  <si>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</si>
  <si>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</si>
  <si>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</si>
  <si>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</si>
  <si>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</si>
  <si>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</si>
  <si>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</si>
  <si>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</si>
  <si>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</si>
  <si>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</si>
  <si>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</si>
  <si>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</si>
  <si>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</si>
  <si>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</si>
  <si>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</si>
  <si>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</si>
  <si>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</si>
  <si>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</si>
  <si>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</si>
  <si>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</si>
  <si>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</si>
  <si>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</si>
  <si>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</si>
  <si>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</si>
  <si>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</si>
  <si>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</si>
  <si>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</si>
  <si>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</si>
  <si>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</si>
  <si>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</si>
  <si>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</si>
  <si>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</si>
  <si>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</si>
  <si>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</si>
  <si>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</si>
  <si>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</si>
  <si>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</si>
  <si>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</si>
  <si>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</si>
  <si>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</si>
  <si>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</si>
  <si>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</si>
  <si>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</si>
  <si>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</si>
  <si>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</si>
  <si>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</si>
  <si>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</si>
  <si>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</si>
  <si>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</si>
  <si>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</si>
  <si>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</si>
  <si>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</si>
  <si>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</si>
  <si>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</si>
  <si>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</si>
  <si>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</si>
  <si>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</si>
  <si>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</si>
  <si>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</si>
  <si>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</si>
  <si>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</si>
  <si>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</si>
  <si>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</si>
  <si>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</si>
  <si>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</si>
  <si>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</si>
  <si>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</si>
  <si>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</si>
  <si>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</si>
  <si>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</si>
  <si>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</si>
  <si>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</si>
  <si>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</si>
  <si>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</si>
  <si>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</si>
  <si>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</si>
  <si>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</si>
  <si>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</si>
  <si>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</si>
  <si>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</si>
  <si>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</si>
  <si>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</si>
  <si>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</si>
  <si>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</si>
  <si>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</si>
  <si>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</si>
  <si>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</si>
  <si>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</si>
  <si>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</si>
  <si>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</si>
  <si>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</si>
  <si>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</si>
  <si>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</si>
  <si>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</si>
  <si>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</si>
  <si>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</si>
  <si>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</si>
  <si>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</si>
  <si>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</si>
  <si>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</si>
  <si>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</si>
  <si>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</si>
  <si>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</si>
  <si>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</si>
  <si>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</si>
  <si>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</si>
  <si>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</si>
  <si>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</si>
  <si>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</si>
  <si>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</si>
  <si>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</si>
  <si>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</si>
  <si>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</si>
  <si>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</si>
  <si>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</si>
  <si>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</si>
  <si>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</si>
  <si>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</si>
  <si>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</si>
  <si>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</si>
  <si>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</si>
  <si>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</si>
  <si>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</si>
  <si>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</si>
  <si>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</si>
  <si>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</si>
  <si>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</si>
  <si>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</si>
  <si>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</si>
  <si>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</si>
  <si>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</si>
  <si>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</si>
  <si>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</si>
  <si>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</si>
  <si>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</si>
  <si>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</si>
  <si>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</si>
  <si>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</si>
  <si>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</si>
  <si>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</si>
  <si>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</si>
  <si>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</si>
  <si>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</si>
  <si>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</si>
  <si>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</si>
  <si>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</si>
  <si>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</si>
  <si>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</si>
  <si>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</si>
  <si>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</si>
  <si>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</si>
  <si>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</si>
  <si>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</si>
  <si>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</si>
  <si>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</si>
  <si>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</si>
  <si>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</si>
  <si>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</si>
  <si>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</si>
  <si>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</si>
  <si>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</si>
  <si>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</si>
  <si>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</si>
  <si>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</si>
  <si>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</si>
  <si>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</si>
  <si>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</si>
  <si>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</si>
  <si>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</si>
  <si>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</si>
  <si>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</si>
  <si>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</si>
  <si>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</si>
  <si>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</si>
  <si>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</si>
  <si>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</si>
  <si>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</si>
  <si>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</si>
  <si>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</si>
  <si>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</si>
  <si>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</si>
  <si>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</si>
  <si>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</si>
  <si>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</si>
  <si>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</si>
  <si>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</si>
  <si>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</si>
  <si>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</si>
  <si>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</si>
  <si>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</si>
  <si>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</si>
  <si>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</si>
  <si>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</si>
  <si>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</si>
  <si>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</si>
  <si>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</si>
  <si>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</si>
  <si>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</si>
  <si>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</si>
  <si>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</si>
  <si>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</si>
  <si>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</si>
  <si>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</si>
  <si>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</si>
  <si>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</si>
  <si>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</si>
  <si>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</si>
  <si>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</si>
  <si>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</si>
  <si>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</si>
  <si>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</si>
  <si>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</si>
  <si>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</si>
  <si>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</si>
  <si>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</si>
  <si>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</si>
  <si>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</si>
  <si>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</si>
  <si>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</si>
  <si>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</si>
  <si>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</si>
  <si>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</si>
  <si>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</si>
  <si>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</si>
  <si>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</si>
  <si>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</si>
  <si>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</si>
  <si>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</si>
  <si>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</si>
  <si>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</si>
  <si>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</si>
  <si>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</si>
  <si>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</si>
  <si>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</si>
  <si>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</si>
  <si>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</si>
  <si>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</si>
  <si>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</si>
  <si>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</si>
  <si>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</si>
  <si>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</si>
  <si>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</si>
  <si>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</si>
  <si>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</si>
  <si>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</si>
  <si>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</si>
  <si>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</si>
  <si>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</si>
  <si>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</si>
  <si>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</si>
  <si>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</si>
  <si>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</si>
  <si>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</si>
  <si>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</si>
  <si>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</si>
  <si>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</si>
  <si>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</si>
  <si>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</si>
  <si>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</si>
  <si>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</si>
  <si>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</si>
  <si>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</si>
  <si>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</si>
  <si>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</si>
  <si>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</si>
  <si>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</si>
  <si>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</si>
  <si>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</si>
  <si>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</si>
  <si>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</si>
  <si>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</si>
  <si>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</si>
  <si>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</si>
  <si>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</si>
  <si>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</si>
  <si>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</si>
  <si>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</si>
  <si>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</si>
  <si>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</si>
  <si>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</si>
  <si>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</si>
  <si>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</si>
  <si>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</si>
  <si>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</si>
  <si>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</si>
  <si>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</si>
  <si>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</si>
  <si>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</si>
  <si>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</si>
  <si>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</si>
  <si>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</si>
  <si>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</si>
  <si>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</si>
  <si>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</si>
  <si>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</si>
  <si>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</si>
  <si>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</si>
  <si>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</si>
  <si>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</si>
  <si>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</si>
  <si>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</si>
  <si>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</si>
  <si>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</si>
  <si>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</si>
  <si>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</si>
  <si>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</si>
  <si>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</si>
  <si>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</si>
  <si>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</si>
  <si>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</si>
  <si>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</si>
  <si>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</si>
  <si>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</si>
  <si>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</si>
  <si>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</si>
  <si>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</si>
  <si>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</si>
  <si>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</si>
  <si>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</si>
  <si>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</si>
  <si>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</si>
  <si>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</si>
  <si>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</si>
  <si>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</si>
  <si>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</si>
  <si>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</si>
  <si>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</si>
  <si>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</si>
  <si>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</si>
  <si>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</si>
  <si>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</si>
  <si>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</si>
  <si>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</si>
  <si>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</si>
  <si>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</si>
  <si>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</si>
  <si>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</si>
  <si>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</si>
  <si>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</si>
  <si>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</si>
  <si>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</si>
  <si>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</si>
  <si>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</si>
  <si>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</si>
  <si>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</si>
  <si>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</si>
  <si>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</si>
  <si>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</si>
  <si>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</si>
  <si>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</si>
  <si>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</si>
  <si>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</si>
  <si>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</si>
  <si>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</si>
  <si>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</si>
  <si>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</si>
  <si>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</si>
  <si>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</si>
  <si>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</si>
  <si>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</si>
  <si>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</si>
  <si>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</si>
  <si>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</si>
  <si>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</si>
  <si>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</si>
  <si>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</si>
  <si>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</si>
  <si>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</si>
  <si>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</si>
  <si>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</si>
  <si>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</si>
  <si>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</si>
  <si>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</si>
  <si>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</si>
  <si>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</si>
  <si>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</si>
  <si>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</si>
  <si>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</si>
  <si>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</si>
  <si>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</si>
  <si>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</si>
  <si>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</si>
  <si>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</si>
  <si>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</si>
  <si>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</si>
  <si>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</si>
  <si>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</si>
  <si>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</si>
  <si>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</si>
  <si>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</si>
  <si>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</si>
  <si>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</si>
  <si>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</si>
  <si>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</si>
  <si>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</si>
  <si>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</si>
  <si>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</si>
  <si>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</si>
  <si>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</si>
  <si>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</si>
  <si>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</si>
  <si>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</si>
  <si>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</si>
  <si>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</si>
  <si>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</si>
  <si>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</si>
  <si>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</si>
  <si>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</si>
  <si>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</si>
  <si>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</si>
  <si>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</si>
  <si>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</si>
  <si>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</si>
  <si>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</si>
  <si>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</si>
  <si>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</si>
  <si>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</si>
  <si>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</si>
  <si>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</si>
  <si>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</si>
  <si>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</si>
  <si>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</si>
  <si>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</si>
  <si>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</si>
  <si>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</si>
  <si>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</si>
  <si>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</si>
  <si>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</si>
  <si>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</si>
  <si>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</si>
  <si>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</si>
  <si>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</si>
  <si>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</si>
  <si>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</si>
  <si>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</si>
  <si>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</si>
  <si>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</si>
  <si>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</si>
  <si>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</si>
  <si>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</si>
  <si>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</si>
  <si>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</si>
  <si>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</si>
  <si>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</si>
  <si>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</si>
  <si>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</si>
  <si>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</si>
  <si>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</si>
  <si>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</si>
  <si>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</si>
  <si>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</si>
  <si>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</si>
  <si>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</si>
  <si>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</si>
  <si>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</si>
  <si>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</si>
  <si>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</si>
  <si>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</si>
  <si>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</si>
  <si>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</si>
  <si>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</si>
  <si>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</si>
  <si>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</si>
  <si>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</si>
  <si>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</si>
  <si>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</si>
  <si>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</si>
  <si>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</si>
  <si>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</si>
  <si>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</si>
  <si>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</si>
  <si>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</si>
  <si>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</si>
  <si>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</si>
  <si>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</si>
  <si>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</si>
  <si>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</si>
  <si>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</si>
  <si>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</si>
  <si>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</si>
  <si>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</si>
  <si>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</si>
  <si>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</si>
  <si>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</si>
  <si>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</si>
  <si>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</si>
  <si>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</si>
  <si>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</si>
  <si>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</si>
  <si>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</si>
  <si>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</si>
  <si>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</si>
  <si>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</si>
  <si>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</si>
  <si>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</si>
  <si>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</si>
  <si>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</si>
  <si>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</si>
  <si>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</si>
  <si>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</si>
  <si>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</si>
  <si>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</si>
  <si>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</si>
  <si>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</si>
  <si>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</si>
  <si>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</si>
  <si>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</si>
  <si>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</si>
  <si>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</si>
  <si>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</si>
  <si>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</si>
  <si>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</si>
  <si>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</si>
  <si>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</si>
  <si>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</si>
  <si>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</si>
  <si>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</si>
  <si>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</si>
  <si>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</si>
  <si>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</si>
  <si>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</si>
  <si>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</si>
  <si>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</si>
  <si>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</si>
  <si>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</si>
  <si>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</si>
  <si>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</si>
  <si>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</si>
  <si>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</si>
  <si>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</si>
  <si>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</si>
  <si>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</si>
  <si>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</si>
  <si>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</si>
  <si>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</si>
  <si>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</si>
  <si>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</si>
  <si>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</si>
  <si>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</si>
  <si>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</si>
  <si>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</si>
  <si>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</si>
  <si>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</si>
  <si>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</si>
  <si>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</si>
  <si>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</si>
  <si>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</si>
  <si>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</si>
  <si>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</si>
  <si>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</si>
  <si>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</si>
  <si>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</si>
  <si>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</si>
  <si>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</si>
  <si>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</si>
  <si>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</si>
  <si>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</si>
  <si>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</si>
  <si>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</si>
  <si>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</si>
  <si>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</si>
  <si>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</si>
  <si>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</si>
  <si>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</si>
  <si>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</si>
  <si>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</si>
  <si>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</si>
  <si>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</si>
  <si>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</si>
  <si>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</si>
  <si>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</si>
  <si>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</si>
  <si>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</si>
  <si>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</si>
  <si>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</si>
  <si>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</si>
  <si>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</si>
  <si>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</si>
  <si>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</si>
  <si>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</si>
  <si>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</si>
  <si>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</si>
  <si>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</si>
  <si>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</si>
  <si>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</si>
  <si>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</si>
  <si>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</si>
  <si>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</si>
  <si>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</si>
  <si>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</si>
  <si>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</si>
  <si>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</si>
  <si>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</si>
  <si>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</si>
  <si>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</si>
  <si>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</si>
  <si>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</si>
  <si>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</si>
  <si>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</si>
  <si>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</si>
  <si>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</si>
  <si>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</si>
  <si>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</si>
  <si>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</si>
  <si>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</si>
  <si>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</si>
  <si>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</si>
  <si>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</si>
  <si>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</si>
  <si>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</si>
  <si>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</si>
  <si>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</si>
  <si>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</si>
  <si>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</si>
  <si>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</si>
  <si>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</si>
  <si>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</si>
  <si>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</si>
  <si>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</si>
  <si>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</si>
  <si>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</si>
  <si>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</si>
  <si>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</si>
  <si>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</si>
  <si>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</si>
  <si>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</si>
  <si>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</si>
  <si>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</si>
  <si>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</si>
  <si>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</si>
  <si>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</si>
  <si>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</si>
  <si>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</si>
  <si>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</si>
  <si>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</si>
  <si>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</si>
  <si>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</si>
  <si>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</si>
  <si>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</si>
  <si>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</si>
  <si>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</si>
  <si>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</si>
  <si>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</si>
  <si>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</si>
  <si>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</si>
  <si>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</si>
  <si>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</si>
  <si>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</si>
  <si>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</si>
  <si>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</si>
  <si>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</si>
  <si>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</si>
  <si>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</si>
  <si>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</si>
  <si>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</si>
  <si>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</si>
  <si>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</si>
  <si>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</si>
  <si>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</si>
  <si>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</si>
  <si>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</si>
  <si>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</si>
  <si>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</si>
  <si>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</si>
  <si>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</si>
  <si>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</si>
  <si>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</si>
  <si>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</si>
  <si>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</si>
  <si>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</si>
  <si>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</si>
  <si>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</si>
  <si>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</si>
  <si>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</si>
  <si>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</si>
  <si>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</si>
  <si>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</si>
  <si>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</si>
  <si>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</si>
  <si>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</si>
  <si>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</si>
  <si>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</si>
  <si>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</si>
  <si>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</si>
  <si>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</si>
  <si>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</si>
  <si>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</si>
  <si>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</si>
  <si>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</si>
  <si>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</si>
  <si>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</si>
  <si>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</si>
  <si>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</si>
  <si>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</si>
  <si>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</si>
  <si>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</si>
  <si>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</si>
  <si>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</si>
  <si>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</si>
  <si>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</si>
  <si>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</si>
  <si>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</si>
  <si>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</si>
  <si>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</si>
  <si>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</si>
  <si>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</si>
  <si>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</si>
  <si>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</si>
  <si>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</si>
  <si>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</si>
  <si>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</si>
  <si>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</si>
  <si>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</si>
  <si>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</si>
  <si>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</si>
  <si>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</si>
  <si>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</si>
  <si>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</si>
  <si>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</si>
  <si>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</si>
  <si>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</si>
  <si>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</si>
  <si>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</si>
  <si>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</si>
  <si>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</si>
  <si>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</si>
  <si>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</si>
  <si>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</si>
  <si>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</si>
  <si>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</si>
  <si>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</si>
  <si>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</si>
  <si>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</si>
  <si>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</si>
  <si>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</si>
  <si>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</si>
  <si>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</si>
  <si>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</si>
  <si>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</si>
  <si>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</si>
  <si>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</si>
  <si>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</si>
  <si>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</si>
  <si>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</si>
  <si>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</si>
  <si>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</si>
  <si>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</si>
  <si>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</si>
  <si>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</si>
  <si>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</si>
  <si>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</si>
  <si>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</si>
  <si>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</si>
  <si>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</si>
  <si>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</si>
  <si>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</si>
  <si>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</si>
  <si>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</si>
  <si>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</si>
  <si>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</si>
  <si>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</si>
  <si>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</si>
  <si>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</si>
  <si>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</si>
  <si>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</si>
  <si>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</si>
  <si>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</si>
  <si>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</si>
  <si>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</si>
  <si>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</si>
  <si>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</si>
  <si>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</si>
  <si>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</si>
  <si>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</si>
  <si>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</si>
  <si>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</si>
  <si>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</si>
  <si>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</si>
  <si>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</si>
  <si>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</si>
  <si>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</si>
  <si>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</si>
  <si>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</si>
  <si>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</si>
  <si>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</si>
  <si>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</si>
  <si>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</si>
  <si>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</si>
  <si>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</si>
  <si>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</si>
  <si>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</si>
  <si>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</si>
  <si>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</si>
  <si>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</si>
  <si>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</si>
  <si>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</si>
  <si>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</si>
  <si>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</si>
  <si>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</si>
  <si>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</si>
  <si>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</si>
  <si>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</si>
  <si>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</si>
  <si>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</si>
  <si>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</si>
  <si>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</si>
  <si>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</si>
  <si>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</si>
  <si>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</si>
  <si>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</si>
  <si>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</si>
  <si>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</si>
  <si>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</si>
  <si>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</si>
  <si>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</si>
  <si>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</si>
  <si>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</si>
  <si>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</si>
  <si>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</si>
  <si>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</si>
  <si>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</si>
  <si>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</si>
  <si>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</si>
  <si>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</si>
  <si>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</si>
  <si>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</si>
  <si>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</si>
  <si>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</si>
  <si>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</si>
  <si>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</si>
  <si>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</si>
  <si>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</si>
  <si>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</si>
  <si>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</si>
  <si>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</si>
  <si>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</si>
  <si>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</si>
  <si>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</si>
  <si>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</si>
  <si>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</si>
  <si>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</si>
  <si>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</si>
  <si>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</si>
  <si>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</si>
  <si>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</si>
  <si>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</si>
  <si>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</si>
  <si>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</si>
  <si>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</si>
  <si>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</si>
  <si>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</si>
  <si>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</si>
  <si>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</si>
  <si>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</si>
  <si>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</si>
  <si>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</si>
  <si>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</si>
  <si>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</si>
  <si>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</si>
  <si>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</si>
  <si>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</si>
  <si>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</si>
  <si>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</si>
  <si>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</si>
  <si>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</si>
  <si>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</si>
  <si>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</si>
  <si>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</si>
  <si>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</si>
  <si>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</si>
  <si>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</si>
  <si>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</si>
  <si>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</si>
  <si>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</si>
  <si>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</si>
  <si>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</si>
  <si>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</si>
  <si>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</si>
  <si>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</si>
  <si>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</si>
  <si>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</si>
  <si>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</si>
  <si>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</si>
  <si>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</si>
  <si>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</si>
  <si>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</si>
  <si>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</si>
  <si>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</si>
  <si>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</si>
  <si>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</si>
  <si>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</si>
  <si>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</si>
  <si>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</si>
  <si>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</si>
  <si>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</si>
  <si>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</si>
  <si>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</si>
  <si>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</si>
  <si>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</si>
  <si>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</si>
  <si>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</si>
  <si>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</si>
  <si>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</si>
  <si>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</si>
  <si>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</si>
  <si>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</si>
  <si>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</si>
  <si>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</si>
  <si>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</si>
  <si>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</si>
  <si>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</si>
  <si>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</si>
  <si>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</si>
  <si>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</si>
  <si>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</si>
  <si>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</si>
  <si>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</si>
  <si>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</si>
  <si>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</si>
  <si>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</si>
  <si>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</si>
  <si>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</si>
  <si>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</si>
  <si>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</si>
  <si>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</si>
  <si>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</si>
  <si>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</si>
  <si>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</si>
  <si>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</si>
  <si>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</si>
  <si>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</si>
  <si>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</si>
  <si>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</si>
  <si>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</si>
  <si>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</si>
  <si>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</si>
  <si>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</si>
  <si>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</si>
  <si>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</si>
  <si>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</si>
  <si>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</si>
  <si>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</si>
  <si>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</si>
  <si>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</si>
  <si>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</si>
  <si>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</si>
  <si>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</si>
  <si>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</si>
  <si>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</si>
  <si>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</si>
  <si>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</si>
  <si>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</si>
  <si>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</si>
  <si>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</si>
  <si>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</si>
  <si>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</si>
  <si>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</si>
  <si>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</si>
  <si>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</si>
  <si>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</si>
  <si>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</si>
  <si>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</si>
  <si>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</si>
  <si>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</si>
  <si>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</si>
  <si>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</si>
  <si>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</si>
  <si>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</si>
  <si>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</si>
  <si>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</si>
  <si>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</si>
  <si>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</si>
  <si>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</si>
  <si>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</si>
  <si>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</si>
  <si>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</si>
  <si>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</si>
  <si>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</si>
  <si>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</si>
  <si>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</si>
  <si>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</si>
  <si>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</si>
  <si>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</si>
  <si>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</si>
  <si>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</si>
  <si>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</si>
  <si>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</si>
  <si>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</si>
  <si>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</si>
  <si>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</si>
  <si>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</si>
  <si>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</si>
  <si>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</si>
  <si>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</si>
  <si>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</si>
  <si>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</si>
  <si>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</si>
  <si>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</si>
  <si>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</si>
  <si>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</si>
  <si>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</si>
  <si>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</si>
  <si>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</si>
  <si>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</si>
  <si>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</si>
  <si>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</si>
  <si>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</si>
  <si>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</si>
  <si>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</si>
  <si>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</si>
  <si>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</si>
  <si>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</si>
  <si>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</si>
  <si>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</si>
  <si>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</si>
  <si>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</si>
  <si>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</si>
  <si>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</si>
  <si>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</si>
  <si>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</si>
  <si>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</si>
  <si>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</si>
  <si>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</si>
  <si>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</si>
  <si>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</si>
  <si>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</si>
  <si>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</si>
  <si>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</si>
  <si>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</si>
  <si>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</si>
  <si>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</si>
  <si>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</si>
  <si>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</si>
  <si>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</si>
  <si>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</si>
  <si>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</si>
  <si>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</si>
  <si>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</si>
  <si>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</si>
  <si>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</si>
  <si>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</si>
  <si>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</si>
  <si>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</si>
  <si>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</si>
  <si>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</si>
  <si>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</si>
  <si>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</si>
  <si>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</si>
  <si>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</si>
  <si>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</si>
  <si>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</si>
  <si>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</si>
  <si>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</si>
  <si>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</si>
  <si>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</si>
  <si>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</si>
  <si>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</si>
  <si>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</si>
  <si>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</si>
  <si>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</si>
  <si>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</si>
  <si>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</si>
  <si>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</si>
  <si>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</si>
  <si>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</si>
  <si>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</si>
  <si>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</si>
  <si>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</si>
  <si>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</si>
  <si>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</si>
  <si>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</si>
  <si>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</si>
  <si>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</si>
  <si>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</si>
  <si>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</si>
  <si>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</si>
  <si>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</si>
  <si>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</si>
  <si>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</si>
  <si>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</si>
  <si>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</si>
  <si>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</si>
  <si>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</si>
  <si>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</si>
  <si>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</si>
  <si>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</si>
  <si>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</si>
  <si>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</si>
  <si>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</si>
  <si>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</si>
  <si>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</si>
  <si>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</si>
  <si>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</si>
  <si>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</si>
  <si>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</si>
  <si>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</si>
  <si>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</si>
  <si>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</si>
  <si>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</si>
  <si>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</si>
  <si>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</si>
  <si>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</si>
  <si>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</si>
  <si>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</si>
  <si>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</si>
  <si>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</si>
  <si>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</si>
  <si>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</si>
  <si>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</si>
  <si>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</si>
  <si>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</si>
  <si>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</si>
  <si>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</si>
  <si>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</si>
  <si>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</si>
  <si>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</si>
  <si>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</si>
  <si>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</si>
  <si>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</si>
  <si>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</si>
  <si>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</si>
  <si>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</si>
  <si>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</si>
  <si>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</si>
  <si>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</si>
  <si>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</si>
  <si>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</si>
  <si>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</si>
  <si>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</si>
  <si>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</si>
  <si>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</si>
  <si>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</si>
  <si>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</si>
  <si>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</si>
  <si>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</si>
  <si>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</si>
  <si>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</si>
  <si>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</si>
  <si>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</si>
  <si>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</si>
  <si>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</si>
  <si>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</si>
  <si>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</si>
  <si>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</si>
  <si>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</si>
  <si>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</si>
  <si>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</si>
  <si>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</si>
  <si>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</si>
  <si>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</si>
  <si>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</si>
  <si>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</si>
  <si>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</si>
  <si>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</si>
  <si>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</si>
  <si>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</si>
  <si>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</si>
  <si>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</si>
  <si>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</si>
  <si>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</si>
  <si>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</si>
  <si>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</si>
  <si>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</si>
  <si>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</si>
  <si>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</si>
  <si>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</si>
  <si>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</si>
  <si>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</si>
  <si>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</si>
  <si>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</si>
  <si>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</si>
  <si>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</si>
  <si>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</si>
  <si>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</si>
  <si>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</si>
  <si>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</si>
  <si>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</si>
  <si>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</si>
  <si>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</si>
  <si>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</si>
  <si>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</si>
  <si>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</si>
  <si>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</si>
  <si>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</si>
  <si>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</si>
  <si>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</si>
  <si>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</si>
  <si>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</si>
  <si>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</si>
  <si>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</si>
  <si>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</si>
  <si>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</si>
  <si>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</si>
  <si>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</si>
  <si>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</si>
  <si>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</si>
  <si>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</si>
  <si>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</si>
  <si>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</si>
  <si>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</si>
  <si>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</si>
  <si>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</si>
  <si>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</si>
  <si>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</si>
  <si>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</si>
  <si>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</si>
  <si>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</si>
  <si>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</si>
  <si>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</si>
  <si>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</si>
  <si>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</si>
  <si>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</si>
  <si>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</si>
  <si>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</si>
  <si>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</si>
  <si>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</si>
  <si>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</si>
  <si>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</si>
  <si>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</si>
  <si>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</si>
  <si>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</si>
  <si>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</si>
  <si>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</si>
  <si>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</si>
  <si>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</si>
  <si>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</si>
  <si>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</si>
  <si>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</si>
  <si>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</si>
  <si>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</si>
  <si>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</si>
  <si>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</si>
  <si>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</si>
  <si>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</si>
  <si>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</si>
  <si>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</si>
  <si>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</si>
  <si>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</si>
  <si>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</si>
  <si>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</si>
  <si>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</si>
  <si>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</si>
  <si>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</si>
  <si>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</si>
  <si>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</si>
  <si>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</si>
  <si>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</si>
  <si>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</si>
  <si>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</si>
  <si>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</si>
  <si>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</si>
  <si>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</si>
  <si>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</si>
  <si>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</si>
  <si>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</si>
  <si>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</si>
  <si>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</si>
  <si>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</si>
  <si>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</si>
  <si>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</si>
  <si>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</si>
  <si>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</si>
  <si>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</si>
  <si>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</si>
  <si>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</si>
  <si>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</si>
  <si>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</si>
  <si>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</si>
  <si>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</si>
  <si>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</si>
  <si>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</si>
  <si>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</si>
  <si>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</si>
  <si>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</si>
  <si>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</si>
  <si>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</si>
  <si>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</si>
  <si>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</si>
  <si>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</si>
  <si>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</si>
  <si>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</si>
  <si>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</si>
  <si>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</si>
  <si>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</si>
  <si>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</si>
  <si>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</si>
  <si>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</si>
  <si>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</si>
  <si>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</si>
  <si>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</si>
  <si>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</si>
  <si>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</si>
  <si>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</si>
  <si>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</si>
  <si>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</si>
  <si>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</si>
  <si>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</si>
  <si>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</si>
  <si>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</si>
  <si>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</si>
  <si>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</si>
  <si>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</si>
  <si>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</si>
  <si>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</si>
  <si>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</si>
  <si>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</si>
  <si>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</si>
  <si>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</si>
  <si>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</si>
  <si>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</si>
  <si>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</si>
  <si>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</si>
  <si>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</si>
  <si>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</si>
  <si>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</si>
  <si>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</si>
  <si>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</si>
  <si>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</si>
  <si>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</si>
  <si>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</si>
  <si>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</si>
  <si>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</si>
  <si>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</si>
  <si>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</si>
  <si>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</si>
  <si>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</si>
  <si>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</si>
  <si>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</si>
  <si>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</si>
  <si>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</si>
  <si>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</si>
  <si>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</si>
  <si>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</si>
  <si>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</si>
  <si>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</si>
  <si>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</si>
  <si>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</si>
  <si>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</si>
  <si>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</si>
  <si>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</si>
  <si>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</si>
  <si>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</si>
  <si>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</si>
  <si>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</si>
  <si>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</si>
  <si>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</si>
  <si>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</si>
  <si>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</si>
  <si>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</si>
  <si>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</si>
  <si>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</si>
  <si>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</si>
  <si>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</si>
  <si>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</si>
  <si>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</si>
  <si>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</si>
  <si>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</si>
  <si>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</si>
  <si>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</si>
  <si>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</si>
  <si>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</si>
  <si>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</si>
  <si>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</si>
  <si>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</si>
  <si>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</si>
  <si>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</si>
  <si>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</si>
  <si>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</si>
  <si>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</si>
  <si>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</si>
  <si>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</si>
  <si>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</si>
  <si>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</si>
  <si>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</si>
  <si>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</si>
  <si>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</si>
  <si>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</si>
  <si>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</si>
  <si>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</si>
  <si>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</si>
  <si>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</si>
  <si>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</si>
  <si>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</si>
  <si>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</si>
  <si>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</si>
  <si>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</si>
  <si>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</si>
  <si>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</si>
  <si>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</si>
  <si>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</si>
  <si>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</si>
  <si>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</si>
  <si>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</si>
  <si>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</si>
  <si>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</si>
  <si>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</si>
  <si>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</si>
  <si>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</si>
  <si>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</si>
  <si>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</si>
  <si>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</si>
  <si>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</si>
  <si>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</si>
  <si>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</si>
  <si>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</si>
  <si>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</si>
  <si>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</si>
  <si>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</si>
  <si>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</si>
  <si>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</si>
  <si>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</si>
  <si>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</si>
  <si>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</si>
  <si>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</si>
  <si>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</si>
  <si>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</si>
  <si>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</si>
  <si>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</si>
  <si>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</si>
  <si>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</si>
  <si>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</si>
  <si>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</si>
  <si>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</si>
  <si>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</si>
  <si>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</si>
  <si>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</si>
  <si>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</si>
  <si>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</si>
  <si>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</si>
  <si>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</si>
  <si>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</si>
  <si>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</si>
  <si>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</si>
  <si>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</si>
  <si>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</si>
  <si>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</si>
  <si>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</si>
  <si>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</si>
  <si>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</si>
  <si>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</si>
  <si>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</si>
  <si>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</si>
  <si>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</si>
  <si>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</si>
  <si>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</si>
  <si>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</si>
  <si>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</si>
  <si>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</si>
  <si>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</si>
  <si>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</si>
  <si>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</si>
  <si>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</si>
  <si>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</si>
  <si>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</si>
  <si>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</si>
  <si>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</si>
  <si>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</si>
  <si>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</si>
  <si>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</si>
  <si>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</si>
  <si>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</si>
  <si>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</si>
  <si>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</si>
  <si>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</si>
  <si>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</si>
  <si>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</si>
  <si>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</si>
  <si>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</si>
  <si>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</si>
  <si>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</si>
  <si>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</si>
  <si>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</si>
  <si>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</si>
  <si>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</si>
  <si>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</si>
  <si>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</si>
  <si>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</si>
  <si>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</si>
  <si>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</si>
  <si>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</si>
  <si>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</si>
  <si>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</si>
  <si>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</si>
  <si>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</si>
  <si>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</si>
  <si>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</si>
  <si>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</si>
  <si>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</si>
  <si>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</si>
  <si>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</si>
  <si>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</si>
  <si>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</si>
  <si>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</si>
  <si>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</si>
  <si>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</si>
  <si>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</si>
  <si>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</si>
  <si>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</si>
  <si>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</si>
  <si>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</si>
  <si>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</si>
  <si>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</si>
  <si>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</si>
  <si>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</si>
  <si>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</si>
  <si>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</si>
  <si>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</si>
  <si>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</si>
  <si>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</si>
  <si>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</si>
  <si>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</si>
  <si>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</si>
  <si>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</si>
  <si>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</si>
  <si>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</si>
  <si>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</si>
  <si>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</si>
  <si>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</si>
  <si>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</si>
  <si>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</si>
  <si>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</si>
  <si>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</si>
  <si>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</si>
  <si>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</si>
  <si>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</si>
  <si>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</si>
  <si>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</si>
  <si>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</si>
  <si>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</si>
  <si>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</si>
  <si>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</si>
  <si>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</si>
  <si>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</si>
  <si>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</si>
  <si>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</si>
  <si>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</si>
  <si>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</si>
  <si>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</si>
  <si>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</si>
  <si>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</si>
  <si>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</si>
  <si>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</si>
  <si>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</si>
  <si>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</si>
  <si>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</si>
  <si>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</si>
  <si>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</si>
  <si>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</si>
  <si>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</si>
  <si>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</si>
  <si>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</si>
  <si>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</si>
  <si>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</si>
  <si>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</si>
  <si>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</si>
  <si>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</si>
  <si>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</si>
  <si>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</si>
  <si>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</si>
  <si>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</si>
  <si>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</si>
  <si>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</si>
  <si>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</si>
  <si>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</si>
  <si>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</si>
  <si>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</si>
  <si>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</si>
  <si>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</si>
  <si>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</si>
  <si>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</si>
  <si>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</si>
  <si>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</si>
  <si>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</si>
  <si>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</si>
  <si>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</si>
  <si>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</si>
  <si>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</si>
  <si>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</si>
  <si>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</si>
  <si>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</si>
  <si>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</si>
  <si>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</si>
  <si>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</si>
  <si>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</si>
  <si>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</si>
  <si>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</si>
  <si>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</si>
  <si>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</si>
  <si>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</si>
  <si>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</si>
  <si>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</si>
  <si>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</si>
  <si>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</si>
  <si>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</si>
  <si>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</si>
  <si>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</si>
  <si>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</si>
  <si>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</si>
  <si>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</si>
  <si>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</si>
  <si>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</si>
  <si>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</si>
  <si>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</si>
  <si>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</si>
  <si>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</si>
  <si>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</si>
  <si>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</si>
  <si>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</si>
  <si>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</si>
  <si>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</si>
  <si>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</si>
  <si>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</si>
  <si>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</si>
  <si>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</si>
  <si>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</si>
  <si>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</si>
  <si>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</si>
  <si>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</si>
  <si>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</si>
  <si>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</si>
  <si>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</si>
  <si>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</si>
  <si>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</si>
  <si>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</si>
  <si>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</si>
  <si>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</si>
  <si>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</si>
  <si>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</si>
  <si>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</si>
  <si>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</si>
  <si>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</si>
  <si>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</si>
  <si>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</si>
  <si>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</si>
  <si>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</si>
  <si>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</si>
  <si>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</si>
  <si>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</si>
  <si>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</si>
  <si>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</si>
  <si>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</si>
  <si>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</si>
  <si>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</si>
  <si>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</si>
  <si>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</si>
  <si>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</si>
  <si>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</si>
  <si>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</si>
  <si>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</si>
  <si>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</si>
  <si>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</si>
  <si>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</si>
  <si>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</si>
  <si>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</si>
  <si>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</si>
  <si>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</si>
  <si>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</si>
  <si>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</si>
  <si>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</si>
  <si>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</si>
  <si>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</si>
  <si>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</si>
  <si>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</si>
  <si>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</si>
  <si>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</si>
  <si>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</si>
  <si>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</si>
  <si>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</si>
  <si>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</si>
  <si>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</si>
  <si>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</si>
  <si>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</si>
  <si>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</si>
  <si>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</si>
  <si>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</si>
  <si>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</si>
  <si>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</si>
  <si>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</si>
  <si>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</si>
  <si>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</si>
  <si>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</si>
  <si>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</si>
  <si>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</si>
  <si>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</si>
  <si>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</si>
  <si>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</si>
  <si>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</si>
  <si>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</si>
  <si>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</si>
  <si>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</si>
  <si>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</si>
  <si>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</si>
  <si>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</si>
  <si>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</si>
  <si>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</si>
  <si>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</si>
  <si>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</si>
  <si>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</si>
  <si>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</si>
  <si>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</si>
  <si>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</si>
  <si>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</si>
  <si>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</si>
  <si>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</si>
  <si>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</si>
  <si>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</si>
  <si>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</si>
  <si>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</si>
  <si>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</si>
  <si>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</si>
  <si>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</si>
  <si>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</si>
  <si>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</si>
  <si>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</si>
  <si>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</si>
  <si>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</si>
  <si>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</si>
  <si>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</si>
  <si>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</si>
  <si>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</si>
  <si>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</si>
  <si>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</si>
  <si>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</si>
  <si>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</si>
  <si>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</si>
  <si>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</si>
  <si>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</si>
  <si>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</si>
  <si>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</si>
  <si>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</si>
  <si>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</si>
  <si>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</si>
  <si>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</si>
  <si>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</si>
  <si>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</si>
  <si>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</si>
  <si>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</si>
  <si>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</si>
  <si>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</si>
  <si>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</si>
  <si>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</si>
  <si>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</si>
  <si>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</si>
  <si>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</si>
  <si>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</si>
  <si>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</si>
  <si>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</si>
  <si>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</si>
  <si>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</si>
  <si>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</si>
  <si>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</si>
  <si>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</si>
  <si>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</si>
  <si>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</si>
  <si>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</si>
  <si>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</si>
  <si>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</si>
  <si>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</si>
  <si>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</si>
  <si>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</si>
  <si>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</si>
  <si>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</si>
  <si>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</si>
  <si>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</si>
  <si>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</si>
  <si>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</si>
  <si>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</si>
  <si>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</si>
  <si>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</si>
  <si>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</si>
  <si>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</si>
  <si>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</si>
  <si>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</si>
  <si>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</si>
  <si>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</si>
  <si>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</si>
  <si>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</si>
  <si>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</si>
  <si>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</si>
  <si>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</si>
  <si>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</si>
  <si>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</si>
  <si>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</si>
  <si>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</si>
  <si>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</si>
  <si>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</si>
  <si>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</si>
  <si>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</si>
  <si>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</si>
  <si>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</si>
  <si>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</si>
  <si>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</si>
  <si>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</si>
  <si>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</si>
  <si>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</si>
  <si>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</si>
  <si>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</si>
  <si>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</si>
  <si>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</si>
  <si>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</si>
  <si>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</si>
  <si>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</si>
  <si>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</si>
  <si>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</si>
  <si>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</si>
  <si>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</si>
  <si>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</si>
  <si>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</si>
  <si>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</si>
  <si>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</si>
  <si>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</si>
  <si>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</si>
  <si>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</si>
  <si>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</si>
  <si>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</si>
  <si>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</si>
  <si>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</si>
  <si>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</si>
  <si>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</si>
  <si>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</si>
  <si>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</si>
  <si>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</si>
  <si>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</si>
  <si>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</si>
  <si>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</si>
  <si>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</si>
  <si>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</si>
  <si>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</si>
  <si>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</si>
  <si>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</si>
  <si>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</si>
  <si>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</si>
  <si>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</si>
  <si>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</si>
  <si>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</si>
  <si>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</si>
  <si>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</si>
  <si>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</si>
  <si>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</si>
  <si>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</si>
  <si>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</si>
  <si>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</si>
  <si>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</si>
  <si>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</si>
  <si>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</si>
  <si>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</si>
  <si>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</si>
  <si>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</si>
  <si>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</si>
  <si>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</si>
  <si>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</si>
  <si>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</si>
  <si>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</si>
  <si>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</si>
  <si>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</si>
  <si>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</si>
  <si>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</si>
  <si>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</si>
  <si>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</si>
  <si>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</si>
  <si>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</si>
  <si>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</si>
  <si>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</si>
  <si>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</si>
  <si>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</si>
  <si>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</si>
  <si>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</si>
  <si>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</si>
  <si>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</si>
  <si>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</si>
  <si>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</si>
  <si>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</si>
  <si>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</si>
  <si>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</si>
  <si>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</si>
  <si>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</si>
  <si>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</si>
  <si>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</si>
  <si>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</si>
  <si>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</si>
  <si>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</si>
  <si>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</si>
  <si>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</si>
  <si>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</si>
  <si>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</si>
  <si>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</si>
  <si>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</si>
  <si>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</si>
  <si>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</si>
  <si>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</si>
  <si>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</si>
  <si>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</si>
  <si>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</si>
  <si>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</si>
  <si>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</si>
  <si>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</si>
  <si>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</si>
  <si>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</si>
  <si>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</si>
  <si>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</si>
  <si>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</si>
  <si>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</si>
  <si>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</si>
  <si>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</si>
  <si>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</si>
  <si>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</si>
  <si>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</si>
  <si>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</si>
  <si>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</si>
  <si>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</si>
  <si>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</si>
  <si>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</si>
  <si>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</si>
  <si>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</si>
  <si>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</si>
  <si>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</si>
  <si>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</si>
  <si>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</si>
  <si>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</si>
  <si>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</si>
  <si>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</si>
  <si>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</si>
  <si>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</si>
  <si>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</si>
  <si>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</si>
  <si>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</si>
  <si>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</si>
  <si>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</si>
  <si>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</si>
  <si>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</si>
  <si>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</si>
  <si>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</si>
  <si>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</si>
  <si>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</si>
  <si>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</si>
  <si>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</si>
  <si>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</si>
  <si>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</si>
  <si>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</si>
  <si>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</si>
  <si>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</si>
  <si>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</si>
  <si>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</si>
  <si>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</si>
  <si>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</si>
  <si>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</si>
  <si>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</si>
  <si>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</si>
  <si>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</si>
  <si>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</si>
  <si>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</si>
  <si>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</si>
  <si>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</si>
  <si>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</si>
  <si>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</si>
  <si>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</si>
  <si>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</si>
  <si>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</si>
  <si>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</si>
  <si>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</si>
  <si>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</si>
  <si>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</si>
  <si>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</si>
  <si>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</si>
  <si>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</si>
  <si>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</si>
  <si>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</si>
  <si>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</si>
  <si>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</si>
  <si>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</si>
  <si>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</si>
  <si>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</si>
  <si>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</si>
  <si>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</si>
  <si>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</si>
  <si>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</si>
  <si>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</si>
  <si>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</si>
  <si>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</si>
  <si>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</si>
  <si>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</si>
  <si>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</si>
  <si>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</si>
  <si>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</si>
  <si>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</si>
  <si>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</si>
  <si>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</si>
  <si>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</si>
  <si>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</si>
  <si>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</si>
  <si>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</si>
  <si>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</si>
  <si>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</si>
  <si>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</si>
  <si>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</si>
  <si>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</si>
  <si>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</si>
  <si>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</si>
  <si>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</si>
  <si>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</si>
  <si>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</si>
  <si>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</si>
  <si>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</si>
  <si>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</si>
  <si>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</si>
  <si>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</si>
  <si>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</si>
  <si>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</si>
  <si>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</si>
  <si>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</si>
  <si>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</si>
  <si>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</si>
  <si>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</si>
  <si>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</si>
  <si>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</si>
  <si>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</si>
  <si>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</si>
  <si>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</si>
  <si>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</si>
  <si>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</si>
  <si>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</si>
  <si>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</si>
  <si>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</si>
  <si>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</si>
  <si>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</si>
  <si>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</si>
  <si>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</si>
  <si>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</si>
  <si>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</si>
  <si>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</si>
  <si>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</si>
  <si>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</si>
  <si>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</si>
  <si>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</si>
  <si>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</si>
  <si>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</si>
  <si>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</si>
  <si>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</si>
  <si>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</si>
  <si>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</si>
  <si>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</si>
  <si>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</si>
  <si>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</si>
  <si>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</si>
  <si>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</si>
  <si>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</si>
  <si>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</si>
  <si>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</si>
  <si>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</si>
  <si>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</si>
  <si>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</si>
  <si>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</si>
  <si>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</si>
  <si>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</si>
  <si>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</si>
  <si>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</si>
  <si>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</si>
  <si>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</si>
  <si>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</si>
  <si>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</si>
  <si>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</si>
  <si>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</si>
  <si>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</si>
  <si>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</si>
  <si>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</si>
  <si>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</si>
  <si>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</si>
  <si>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</si>
  <si>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</si>
  <si>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</si>
  <si>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</si>
  <si>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</si>
  <si>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</si>
  <si>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</si>
  <si>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</si>
  <si>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</si>
  <si>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</si>
  <si>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</si>
  <si>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</si>
  <si>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</si>
  <si>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</si>
  <si>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</si>
  <si>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</si>
  <si>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</si>
  <si>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</si>
  <si>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</si>
  <si>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</si>
  <si>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</si>
  <si>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</si>
  <si>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</si>
  <si>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</si>
  <si>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</si>
  <si>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</si>
  <si>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</si>
  <si>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</si>
  <si>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</si>
  <si>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</si>
  <si>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</si>
  <si>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</si>
  <si>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</si>
  <si>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</si>
  <si>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</si>
  <si>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</si>
  <si>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</si>
  <si>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</si>
  <si>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</si>
  <si>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</si>
  <si>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</si>
  <si>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</si>
  <si>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</si>
  <si>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</si>
  <si>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</si>
  <si>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</si>
  <si>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</si>
  <si>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</si>
  <si>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</si>
  <si>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</si>
  <si>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</si>
  <si>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</si>
  <si>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</si>
  <si>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</si>
  <si>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</si>
  <si>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</si>
  <si>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</si>
  <si>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</si>
  <si>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</si>
  <si>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</si>
  <si>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</si>
  <si>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</si>
  <si>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</si>
  <si>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</si>
  <si>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</si>
  <si>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</si>
  <si>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</si>
  <si>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</si>
  <si>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</si>
  <si>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</si>
  <si>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</si>
  <si>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</si>
  <si>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</si>
  <si>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</si>
  <si>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</si>
  <si>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</si>
  <si>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</si>
  <si>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</si>
  <si>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</si>
  <si>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</si>
  <si>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</si>
  <si>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</si>
  <si>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</si>
  <si>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</si>
  <si>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</si>
  <si>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</si>
  <si>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</si>
  <si>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</si>
  <si>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</si>
  <si>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</si>
  <si>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</si>
  <si>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</si>
  <si>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</si>
  <si>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</si>
  <si>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</si>
  <si>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</si>
  <si>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</si>
  <si>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</si>
  <si>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</si>
  <si>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</si>
  <si>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</si>
  <si>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</si>
  <si>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</si>
  <si>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</si>
  <si>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</si>
  <si>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</si>
  <si>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</si>
  <si>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</si>
  <si>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</si>
  <si>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</si>
  <si>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</si>
  <si>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</si>
  <si>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</si>
  <si>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</si>
  <si>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</si>
  <si>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</si>
  <si>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</si>
  <si>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</si>
  <si>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</si>
  <si>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</si>
  <si>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</si>
  <si>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</si>
  <si>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</si>
  <si>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</si>
  <si>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</si>
  <si>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</si>
  <si>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</si>
  <si>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</si>
  <si>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</si>
  <si>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</si>
  <si>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</si>
  <si>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</si>
  <si>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</si>
  <si>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</si>
  <si>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</si>
  <si>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</si>
  <si>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</si>
  <si>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</si>
  <si>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</si>
  <si>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</si>
  <si>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</si>
  <si>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</si>
  <si>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</si>
  <si>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</si>
  <si>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</si>
  <si>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</si>
  <si>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</si>
  <si>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</si>
  <si>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</si>
  <si>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</si>
  <si>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</si>
  <si>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</si>
  <si>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</si>
  <si>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</si>
  <si>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</si>
  <si>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</si>
  <si>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</si>
  <si>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</si>
  <si>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</si>
  <si>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</si>
  <si>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</si>
  <si>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</si>
  <si>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</si>
  <si>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</si>
  <si>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</si>
  <si>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</si>
  <si>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</si>
  <si>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</si>
  <si>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</si>
  <si>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</si>
  <si>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</si>
  <si>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</si>
  <si>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</si>
  <si>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</si>
  <si>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</si>
  <si>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</si>
  <si>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</si>
  <si>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</si>
  <si>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</si>
  <si>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</si>
  <si>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</si>
  <si>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</si>
  <si>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</si>
  <si>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</si>
  <si>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</si>
  <si>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</si>
  <si>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</si>
  <si>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</si>
  <si>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</si>
  <si>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</si>
  <si>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</si>
  <si>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</si>
  <si>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</si>
  <si>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</si>
  <si>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</si>
  <si>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</si>
  <si>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</si>
  <si>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</si>
  <si>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</si>
  <si>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</si>
  <si>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</si>
  <si>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</si>
  <si>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</si>
  <si>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</si>
  <si>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</si>
  <si>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</si>
  <si>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</si>
  <si>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</si>
  <si>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</si>
  <si>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</si>
  <si>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</si>
  <si>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</si>
  <si>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</si>
  <si>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</si>
  <si>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</si>
  <si>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</si>
  <si>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</si>
  <si>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</si>
  <si>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</si>
  <si>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</si>
  <si>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</si>
  <si>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</si>
  <si>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</si>
  <si>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</si>
  <si>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</si>
  <si>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</si>
  <si>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</si>
  <si>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</si>
  <si>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</si>
  <si>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</si>
  <si>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</si>
  <si>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</si>
  <si>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</si>
  <si>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</si>
  <si>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</si>
  <si>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</si>
  <si>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</si>
  <si>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</si>
  <si>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</si>
  <si>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</si>
  <si>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</si>
  <si>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</si>
  <si>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</si>
  <si>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</si>
  <si>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</si>
  <si>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</si>
  <si>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</si>
  <si>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</si>
  <si>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</si>
  <si>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</si>
  <si>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</si>
  <si>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</si>
  <si>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</si>
  <si>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</si>
  <si>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</si>
  <si>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</si>
  <si>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</si>
  <si>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</si>
  <si>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</si>
  <si>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</si>
  <si>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</si>
  <si>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</si>
  <si>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</si>
  <si>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</si>
  <si>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</si>
  <si>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</si>
  <si>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</si>
  <si>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</si>
  <si>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</si>
  <si>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</si>
  <si>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</si>
  <si>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</si>
  <si>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</si>
  <si>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</si>
  <si>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</si>
  <si>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</si>
  <si>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</si>
  <si>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</si>
  <si>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</si>
  <si>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</si>
  <si>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</si>
  <si>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</si>
  <si>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</si>
  <si>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</si>
  <si>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</si>
  <si>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</si>
  <si>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</si>
  <si>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</si>
  <si>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</si>
  <si>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</si>
  <si>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</si>
  <si>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</si>
  <si>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</si>
  <si>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</si>
  <si>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</si>
  <si>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</si>
  <si>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</si>
  <si>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</si>
  <si>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</si>
  <si>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</si>
  <si>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</si>
  <si>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</si>
  <si>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</si>
  <si>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</si>
  <si>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</si>
  <si>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</si>
  <si>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</si>
  <si>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</si>
  <si>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</si>
  <si>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</si>
  <si>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</si>
  <si>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</si>
  <si>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</si>
  <si>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</si>
  <si>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</si>
  <si>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</si>
  <si>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</si>
  <si>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</si>
  <si>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</si>
  <si>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</si>
  <si>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</si>
  <si>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</si>
  <si>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</si>
  <si>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</si>
  <si>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</si>
  <si>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</si>
  <si>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</si>
  <si>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</si>
  <si>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</si>
  <si>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</si>
  <si>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</si>
  <si>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</si>
  <si>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</si>
  <si>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</si>
  <si>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</si>
  <si>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</si>
  <si>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</si>
  <si>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</si>
  <si>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</si>
  <si>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</si>
  <si>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</si>
  <si>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</si>
  <si>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</si>
  <si>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</si>
  <si>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</si>
  <si>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</si>
  <si>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</si>
  <si>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</si>
  <si>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</si>
  <si>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</si>
  <si>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</si>
  <si>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</si>
  <si>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</si>
  <si>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</si>
  <si>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</si>
  <si>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</si>
  <si>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</si>
  <si>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</si>
  <si>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</si>
  <si>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</si>
  <si>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</si>
  <si>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</si>
  <si>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</si>
  <si>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</si>
  <si>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</si>
  <si>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</si>
  <si>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</si>
  <si>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</si>
  <si>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</si>
  <si>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</si>
  <si>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</si>
  <si>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</si>
  <si>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</si>
  <si>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</si>
  <si>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</si>
  <si>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</si>
  <si>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</si>
  <si>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</si>
  <si>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</si>
  <si>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</si>
  <si>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</si>
  <si>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</si>
  <si>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</si>
  <si>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</si>
  <si>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</si>
  <si>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</si>
  <si>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</si>
  <si>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</si>
  <si>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</si>
  <si>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</si>
  <si>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</si>
  <si>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</si>
  <si>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</si>
  <si>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</si>
  <si>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</si>
  <si>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</si>
  <si>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</si>
  <si>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</si>
  <si>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</si>
  <si>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</si>
  <si>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</si>
  <si>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</si>
  <si>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</si>
  <si>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</si>
  <si>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</si>
  <si>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</si>
  <si>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</si>
  <si>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</si>
  <si>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</si>
  <si>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</si>
  <si>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</si>
  <si>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</si>
  <si>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</si>
  <si>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</si>
  <si>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</si>
  <si>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</si>
  <si>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</si>
  <si>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</si>
  <si>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</si>
  <si>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</si>
  <si>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</si>
  <si>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</si>
  <si>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</si>
  <si>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</si>
  <si>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</si>
  <si>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</si>
  <si>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</si>
  <si>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</si>
  <si>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</si>
  <si>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</si>
  <si>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</si>
  <si>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</si>
  <si>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</si>
  <si>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</si>
  <si>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</si>
  <si>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</si>
  <si>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</si>
  <si>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</si>
  <si>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</si>
  <si>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</si>
  <si>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</si>
  <si>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</si>
  <si>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</si>
  <si>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</si>
  <si>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</si>
  <si>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</si>
  <si>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</si>
  <si>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</si>
  <si>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</si>
  <si>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</si>
  <si>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</si>
  <si>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</si>
  <si>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</si>
  <si>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</si>
  <si>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</si>
  <si>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</si>
  <si>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</si>
  <si>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</si>
  <si>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</si>
  <si>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</si>
  <si>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</si>
  <si>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</si>
  <si>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</si>
  <si>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</si>
  <si>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</si>
  <si>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</si>
  <si>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</si>
  <si>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</si>
  <si>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</si>
  <si>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</si>
  <si>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</si>
  <si>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</si>
  <si>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</si>
  <si>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</si>
  <si>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</si>
  <si>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</si>
  <si>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</si>
  <si>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</si>
  <si>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</si>
  <si>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</si>
  <si>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</si>
  <si>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</si>
  <si>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</si>
  <si>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</si>
  <si>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</si>
  <si>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</si>
  <si>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</si>
  <si>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</si>
  <si>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</si>
  <si>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</si>
  <si>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</si>
  <si>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</si>
  <si>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</si>
  <si>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</si>
  <si>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</si>
  <si>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</si>
  <si>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</si>
  <si>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</si>
  <si>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</si>
  <si>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</si>
  <si>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</si>
  <si>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</si>
  <si>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</si>
  <si>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</si>
  <si>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</si>
  <si>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</si>
  <si>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</si>
  <si>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</si>
  <si>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</si>
  <si>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</si>
  <si>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</si>
  <si>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</si>
  <si>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</si>
  <si>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</si>
  <si>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</si>
  <si>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</si>
  <si>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</si>
  <si>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</si>
  <si>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</si>
  <si>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</si>
  <si>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</si>
  <si>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</si>
  <si>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</si>
  <si>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</si>
  <si>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</si>
  <si>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</si>
  <si>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</si>
  <si>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</si>
  <si>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</si>
  <si>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</si>
  <si>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</si>
  <si>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</si>
  <si>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</si>
  <si>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</si>
  <si>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</si>
  <si>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</si>
  <si>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</si>
  <si>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</si>
  <si>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</si>
  <si>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</si>
  <si>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</si>
  <si>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</si>
  <si>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</si>
  <si>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</si>
  <si>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</si>
  <si>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</si>
  <si>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</si>
  <si>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</si>
  <si>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</si>
  <si>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</si>
  <si>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</si>
  <si>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</si>
  <si>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</si>
  <si>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</si>
  <si>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</si>
  <si>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</si>
  <si>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</si>
  <si>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</si>
  <si>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</si>
  <si>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</si>
  <si>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</si>
  <si>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</si>
  <si>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</si>
  <si>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</si>
  <si>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</si>
  <si>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</si>
  <si>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</si>
  <si>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</si>
  <si>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</si>
  <si>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</si>
  <si>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</si>
  <si>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</si>
  <si>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</si>
  <si>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</si>
  <si>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</si>
  <si>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</si>
  <si>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</si>
  <si>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</si>
  <si>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</si>
  <si>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</si>
  <si>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</si>
  <si>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</si>
  <si>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</si>
  <si>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</si>
  <si>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</si>
  <si>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</si>
  <si>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</si>
  <si>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</si>
  <si>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</si>
  <si>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</si>
  <si>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</si>
  <si>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</si>
  <si>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</si>
  <si>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</si>
  <si>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</si>
  <si>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</si>
  <si>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</si>
  <si>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</si>
  <si>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</si>
  <si>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</si>
  <si>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</si>
  <si>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</si>
  <si>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</si>
  <si>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</si>
  <si>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</si>
  <si>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</si>
  <si>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</si>
  <si>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</si>
  <si>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</si>
  <si>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</si>
  <si>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</si>
  <si>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</si>
  <si>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</si>
  <si>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</si>
  <si>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</si>
  <si>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</si>
  <si>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</si>
  <si>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</si>
  <si>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</si>
  <si>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</si>
  <si>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</si>
  <si>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</si>
  <si>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</si>
  <si>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</si>
  <si>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</si>
  <si>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</si>
  <si>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</si>
  <si>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</si>
  <si>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</si>
  <si>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</si>
  <si>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</si>
  <si>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</si>
  <si>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</si>
  <si>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</si>
  <si>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</si>
  <si>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</si>
  <si>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</si>
  <si>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</si>
  <si>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</si>
  <si>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</si>
  <si>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</si>
  <si>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</si>
  <si>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</si>
  <si>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</si>
  <si>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</si>
  <si>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</si>
  <si>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</si>
  <si>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</si>
  <si>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</si>
  <si>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</si>
  <si>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</si>
  <si>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</si>
  <si>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</si>
  <si>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</si>
  <si>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</si>
  <si>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</si>
  <si>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</si>
  <si>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</si>
  <si>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</si>
  <si>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</si>
  <si>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</si>
  <si>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</si>
  <si>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</si>
  <si>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</si>
  <si>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</si>
  <si>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</si>
  <si>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</si>
  <si>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</si>
  <si>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</si>
  <si>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</si>
  <si>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</si>
  <si>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</si>
  <si>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</si>
  <si>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</si>
  <si>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</si>
  <si>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</si>
  <si>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</si>
  <si>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</si>
  <si>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</si>
  <si>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</si>
  <si>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</si>
  <si>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</si>
  <si>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</si>
  <si>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</si>
  <si>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</si>
  <si>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</si>
  <si>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</si>
  <si>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</si>
  <si>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</si>
  <si>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</si>
  <si>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</si>
  <si>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</si>
  <si>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</si>
  <si>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</si>
  <si>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</si>
  <si>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</si>
  <si>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</si>
  <si>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</si>
  <si>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</si>
  <si>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</si>
  <si>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</si>
  <si>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</si>
  <si>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</si>
  <si>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</si>
  <si>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</si>
  <si>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</si>
  <si>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</si>
  <si>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</si>
  <si>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</si>
  <si>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</si>
  <si>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</si>
  <si>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</si>
  <si>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</si>
  <si>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</si>
  <si>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</si>
  <si>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</si>
  <si>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</si>
  <si>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</si>
  <si>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</si>
  <si>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</si>
  <si>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</si>
  <si>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</si>
  <si>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</si>
  <si>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</si>
  <si>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</si>
  <si>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</si>
  <si>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</si>
  <si>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</si>
  <si>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</si>
  <si>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</si>
  <si>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</si>
  <si>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</si>
  <si>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</si>
  <si>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</si>
  <si>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</si>
  <si>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</si>
  <si>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</si>
  <si>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</si>
  <si>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</si>
  <si>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</si>
  <si>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</si>
  <si>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</si>
  <si>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</si>
  <si>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</si>
  <si>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</si>
  <si>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</si>
  <si>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</si>
  <si>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</si>
  <si>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</si>
  <si>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</si>
  <si>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</si>
  <si>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</si>
  <si>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</si>
  <si>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</si>
  <si>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</si>
  <si>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</si>
  <si>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</si>
  <si>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</si>
  <si>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</si>
  <si>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</si>
  <si>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</si>
  <si>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</si>
  <si>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</si>
  <si>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</si>
  <si>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</si>
  <si>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</si>
  <si>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</si>
  <si>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</si>
  <si>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</si>
  <si>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</si>
  <si>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</si>
  <si>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</si>
  <si>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</si>
  <si>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</si>
  <si>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</si>
  <si>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</si>
  <si>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</si>
  <si>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</si>
  <si>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</si>
  <si>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</si>
  <si>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</si>
  <si>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</si>
  <si>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</si>
  <si>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</si>
  <si>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</si>
  <si>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</si>
  <si>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</si>
  <si>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</si>
  <si>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</si>
  <si>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</si>
  <si>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</si>
  <si>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</si>
  <si>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</si>
  <si>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</si>
  <si>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</si>
  <si>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</si>
  <si>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</si>
  <si>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</si>
  <si>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</si>
  <si>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</si>
  <si>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</si>
  <si>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</si>
  <si>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</si>
  <si>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</si>
  <si>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</si>
  <si>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</si>
  <si>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</si>
  <si>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</si>
  <si>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</si>
  <si>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</si>
  <si>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</si>
  <si>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</si>
  <si>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</si>
  <si>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</si>
  <si>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</si>
  <si>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</si>
  <si>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</si>
  <si>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</si>
  <si>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</si>
  <si>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</si>
  <si>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</si>
  <si>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</si>
  <si>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</si>
  <si>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</si>
  <si>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</si>
  <si>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</si>
  <si>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</si>
  <si>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</si>
  <si>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</si>
  <si>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</si>
  <si>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</si>
  <si>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</si>
  <si>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</si>
  <si>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</si>
  <si>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</si>
  <si>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</si>
  <si>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</si>
  <si>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</si>
  <si>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</si>
  <si>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</si>
  <si>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</si>
  <si>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</si>
  <si>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</si>
  <si>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</si>
  <si>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</si>
  <si>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</si>
  <si>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</si>
  <si>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</si>
  <si>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</si>
  <si>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</si>
  <si>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</si>
  <si>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</si>
  <si>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</si>
  <si>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</si>
  <si>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</si>
  <si>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</si>
  <si>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</si>
  <si>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</si>
  <si>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</si>
  <si>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</si>
  <si>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</si>
  <si>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</si>
  <si>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</si>
  <si>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</si>
  <si>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</si>
  <si>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</si>
  <si>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</si>
  <si>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</si>
  <si>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</si>
  <si>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</si>
  <si>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</si>
  <si>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</si>
  <si>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</si>
  <si>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</si>
  <si>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</si>
  <si>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</si>
  <si>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</si>
  <si>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</si>
  <si>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</si>
  <si>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</si>
  <si>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</si>
  <si>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</si>
  <si>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</si>
  <si>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</si>
  <si>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</si>
  <si>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</si>
  <si>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</si>
  <si>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</si>
  <si>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</si>
  <si>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</si>
  <si>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</si>
  <si>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</si>
  <si>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</si>
  <si>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</si>
  <si>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</si>
  <si>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</si>
  <si>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</si>
  <si>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</si>
  <si>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</si>
  <si>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</si>
  <si>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</si>
  <si>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</si>
  <si>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</si>
  <si>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</si>
  <si>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</si>
  <si>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</si>
  <si>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</si>
  <si>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</si>
  <si>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</si>
  <si>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</si>
  <si>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</si>
  <si>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</si>
  <si>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</si>
  <si>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</si>
  <si>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</si>
  <si>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</si>
  <si>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</si>
  <si>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</si>
  <si>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</si>
  <si>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</si>
  <si>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</si>
  <si>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</si>
  <si>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</si>
  <si>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</si>
  <si>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</si>
  <si>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</si>
  <si>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</si>
  <si>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</si>
  <si>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</si>
  <si>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</si>
  <si>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</si>
  <si>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</si>
  <si>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</si>
  <si>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</si>
  <si>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</si>
  <si>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</si>
  <si>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</si>
  <si>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</si>
  <si>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</si>
  <si>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</si>
  <si>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</si>
  <si>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</si>
  <si>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</si>
  <si>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</si>
  <si>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</si>
  <si>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</si>
  <si>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</si>
  <si>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</si>
  <si>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</si>
  <si>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</si>
  <si>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</si>
  <si>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</si>
  <si>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</si>
  <si>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</si>
  <si>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</si>
  <si>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</si>
  <si>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</si>
  <si>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</si>
  <si>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</si>
  <si>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</si>
  <si>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</si>
  <si>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</si>
  <si>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</si>
  <si>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</si>
  <si>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</si>
  <si>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</si>
  <si>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</si>
  <si>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</si>
  <si>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</si>
  <si>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</si>
  <si>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</si>
  <si>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</si>
  <si>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</si>
  <si>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</si>
  <si>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</si>
  <si>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</si>
  <si>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</si>
  <si>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</si>
  <si>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</si>
  <si>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</si>
  <si>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</si>
  <si>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</si>
  <si>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</si>
  <si>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</si>
  <si>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</si>
  <si>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</si>
  <si>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</si>
  <si>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</si>
  <si>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</si>
  <si>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</si>
  <si>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</si>
  <si>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</si>
  <si>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</si>
  <si>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</si>
  <si>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</si>
  <si>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</si>
  <si>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</si>
  <si>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</si>
  <si>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</si>
  <si>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</si>
  <si>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</si>
  <si>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</si>
  <si>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</si>
  <si>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</si>
  <si>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</si>
  <si>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</si>
  <si>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</si>
  <si>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</si>
  <si>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</si>
  <si>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</si>
  <si>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</si>
  <si>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</si>
  <si>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</si>
  <si>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</si>
  <si>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</si>
  <si>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</si>
  <si>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</si>
  <si>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</si>
  <si>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</si>
  <si>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</si>
  <si>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</si>
  <si>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</si>
  <si>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</si>
  <si>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</si>
  <si>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</si>
  <si>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</si>
  <si>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</si>
  <si>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</si>
  <si>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</si>
  <si>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</si>
  <si>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</si>
  <si>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</si>
  <si>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</si>
  <si>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</si>
  <si>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</si>
  <si>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</si>
  <si>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</si>
  <si>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</si>
  <si>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</si>
  <si>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</si>
  <si>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</si>
  <si>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</si>
  <si>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</si>
  <si>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</si>
  <si>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</si>
  <si>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</si>
  <si>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</si>
  <si>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</si>
  <si>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</si>
  <si>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</si>
  <si>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</si>
  <si>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</si>
  <si>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</si>
  <si>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</si>
  <si>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</si>
  <si>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</si>
  <si>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</si>
  <si>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</si>
  <si>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</si>
  <si>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</si>
  <si>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</si>
  <si>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</si>
  <si>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</si>
  <si>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</si>
  <si>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</si>
  <si>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</si>
  <si>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</si>
  <si>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</si>
  <si>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</si>
  <si>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</si>
  <si>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</si>
  <si>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</si>
  <si>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</si>
  <si>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</si>
  <si>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</si>
  <si>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</si>
  <si>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</si>
  <si>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</si>
  <si>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</si>
  <si>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</si>
  <si>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</si>
  <si>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</si>
  <si>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</si>
  <si>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</si>
  <si>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</si>
  <si>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</si>
  <si>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</si>
  <si>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</si>
  <si>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</si>
  <si>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</si>
  <si>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</si>
  <si>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</si>
  <si>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</si>
  <si>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</si>
  <si>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</si>
  <si>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</si>
  <si>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</si>
  <si>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</si>
  <si>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</si>
  <si>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</si>
  <si>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</si>
  <si>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</si>
  <si>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</si>
  <si>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</si>
  <si>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</si>
  <si>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</si>
  <si>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</si>
  <si>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</si>
  <si>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</si>
  <si>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</si>
  <si>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</si>
  <si>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</si>
  <si>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</si>
  <si>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</si>
  <si>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</si>
  <si>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</si>
  <si>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</si>
  <si>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</si>
  <si>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</si>
  <si>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</si>
  <si>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</si>
  <si>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</si>
  <si>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</si>
  <si>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</si>
  <si>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</si>
  <si>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</si>
  <si>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</si>
  <si>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</si>
  <si>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</si>
  <si>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</si>
  <si>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</si>
  <si>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</si>
  <si>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</si>
  <si>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</si>
  <si>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</si>
  <si>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</si>
  <si>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</si>
  <si>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</si>
  <si>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</si>
  <si>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</si>
  <si>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</si>
  <si>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</si>
  <si>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</si>
  <si>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</si>
  <si>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</si>
  <si>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</si>
  <si>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</si>
  <si>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</si>
  <si>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</si>
  <si>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</si>
  <si>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</si>
  <si>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</si>
  <si>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</si>
  <si>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</si>
  <si>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</si>
  <si>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</si>
  <si>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</si>
  <si>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</si>
  <si>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</si>
  <si>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</si>
  <si>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</si>
  <si>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</si>
  <si>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</si>
  <si>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</si>
  <si>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</si>
  <si>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</si>
  <si>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</si>
  <si>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</si>
  <si>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</si>
  <si>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</si>
  <si>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</si>
  <si>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</si>
  <si>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</si>
  <si>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</si>
  <si>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</si>
  <si>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</si>
  <si>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</si>
  <si>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</si>
  <si>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</si>
  <si>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</si>
  <si>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</si>
  <si>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</si>
  <si>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</si>
  <si>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</si>
  <si>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</si>
  <si>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</si>
  <si>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</si>
  <si>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</si>
  <si>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</si>
  <si>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</si>
  <si>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</si>
  <si>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</si>
  <si>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</si>
  <si>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</si>
  <si>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</si>
  <si>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</si>
  <si>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</si>
  <si>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</si>
  <si>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</si>
  <si>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</si>
  <si>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</si>
  <si>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</si>
  <si>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</si>
  <si>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</si>
  <si>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</si>
  <si>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</si>
  <si>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</si>
  <si>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</si>
  <si>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</si>
  <si>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</si>
  <si>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</si>
  <si>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</si>
  <si>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</si>
  <si>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</si>
  <si>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</si>
  <si>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</si>
  <si>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</si>
  <si>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</si>
  <si>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</si>
  <si>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</si>
  <si>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</si>
  <si>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</si>
  <si>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</si>
  <si>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</si>
  <si>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</si>
  <si>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</si>
  <si>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</si>
  <si>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</si>
  <si>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</si>
  <si>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</si>
  <si>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</si>
  <si>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</si>
  <si>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</si>
  <si>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</si>
  <si>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</si>
  <si>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</si>
  <si>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</si>
  <si>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</si>
  <si>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</si>
  <si>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</si>
  <si>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</si>
  <si>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</si>
  <si>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</si>
  <si>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</si>
  <si>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</si>
  <si>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</si>
  <si>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</si>
  <si>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</si>
  <si>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</si>
  <si>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</si>
  <si>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</si>
  <si>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</si>
  <si>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</si>
  <si>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</si>
  <si>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</si>
  <si>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</si>
  <si>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</si>
  <si>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</si>
  <si>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</si>
  <si>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</si>
  <si>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</si>
  <si>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</si>
  <si>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</si>
  <si>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</si>
  <si>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</si>
  <si>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</si>
  <si>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</si>
  <si>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</si>
  <si>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</si>
  <si>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</si>
  <si>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</si>
  <si>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</si>
  <si>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</si>
  <si>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</si>
  <si>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</si>
  <si>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</si>
  <si>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</si>
  <si>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</si>
  <si>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</si>
  <si>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</si>
  <si>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</si>
  <si>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</si>
  <si>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</si>
  <si>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</si>
  <si>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</si>
  <si>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</si>
  <si>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</si>
  <si>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</si>
  <si>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</si>
  <si>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</si>
  <si>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</si>
  <si>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</si>
  <si>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</si>
  <si>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</si>
  <si>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</si>
  <si>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</si>
  <si>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</si>
  <si>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</si>
  <si>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</si>
  <si>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</si>
  <si>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</si>
  <si>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</si>
  <si>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</si>
  <si>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</si>
  <si>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</si>
  <si>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</si>
  <si>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</si>
  <si>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</si>
  <si>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</si>
  <si>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</si>
  <si>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</si>
  <si>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</si>
  <si>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</si>
  <si>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</si>
  <si>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</si>
  <si>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</si>
  <si>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</si>
  <si>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</si>
  <si>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</si>
  <si>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</si>
  <si>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</si>
  <si>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</si>
  <si>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</si>
  <si>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</si>
  <si>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</si>
  <si>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</si>
  <si>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</si>
  <si>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</si>
  <si>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</si>
  <si>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</si>
  <si>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</si>
  <si>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</si>
  <si>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</si>
  <si>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</si>
  <si>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</si>
  <si>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</si>
  <si>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</si>
  <si>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</si>
  <si>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</si>
  <si>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</si>
  <si>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</si>
  <si>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</si>
  <si>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</si>
  <si>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</si>
  <si>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</si>
  <si>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</si>
  <si>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</si>
  <si>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</si>
  <si>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</si>
  <si>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</si>
  <si>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</si>
  <si>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</si>
  <si>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</si>
  <si>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</si>
  <si>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</si>
  <si>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</si>
  <si>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</si>
  <si>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</si>
  <si>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</si>
  <si>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</si>
  <si>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</si>
  <si>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</si>
  <si>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</si>
  <si>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</si>
  <si>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</si>
  <si>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</si>
  <si>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</si>
  <si>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</si>
  <si>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</si>
  <si>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</si>
  <si>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</si>
  <si>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</si>
  <si>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</si>
  <si>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</si>
  <si>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</si>
  <si>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</si>
  <si>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</si>
  <si>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</si>
  <si>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</si>
  <si>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</si>
  <si>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</si>
  <si>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</si>
  <si>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</si>
  <si>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</si>
  <si>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</si>
  <si>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</si>
  <si>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</si>
  <si>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</si>
  <si>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</si>
  <si>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</si>
  <si>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</si>
  <si>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</si>
  <si>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</si>
  <si>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</si>
  <si>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</si>
  <si>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</si>
  <si>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</si>
  <si>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</si>
  <si>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</si>
  <si>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</si>
  <si>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</si>
  <si>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</si>
  <si>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</si>
  <si>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</si>
  <si>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</si>
  <si>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</si>
  <si>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</si>
  <si>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</si>
  <si>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</si>
  <si>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</si>
  <si>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</si>
  <si>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</si>
  <si>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</si>
  <si>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</si>
  <si>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</si>
  <si>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</si>
  <si>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</si>
  <si>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</si>
  <si>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</si>
  <si>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</si>
  <si>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</si>
  <si>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</si>
  <si>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</si>
  <si>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</si>
  <si>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</si>
  <si>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</si>
  <si>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</si>
  <si>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</si>
  <si>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</si>
  <si>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</si>
  <si>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</si>
  <si>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</si>
  <si>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</si>
  <si>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</si>
  <si>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</si>
  <si>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</si>
  <si>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</si>
  <si>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</si>
  <si>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</si>
  <si>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</si>
  <si>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</si>
  <si>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</si>
  <si>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</si>
  <si>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</si>
  <si>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</si>
  <si>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</si>
  <si>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</si>
  <si>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</si>
  <si>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</si>
  <si>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</si>
  <si>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</si>
  <si>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</si>
  <si>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</si>
  <si>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</si>
  <si>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</si>
  <si>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</si>
  <si>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</si>
  <si>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</si>
  <si>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</si>
  <si>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</si>
  <si>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</si>
  <si>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</si>
  <si>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</si>
  <si>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</si>
  <si>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</si>
  <si>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</si>
  <si>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</si>
  <si>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</si>
  <si>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</si>
  <si>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</si>
  <si>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</si>
  <si>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</si>
  <si>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</si>
  <si>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</si>
  <si>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</si>
  <si>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</si>
  <si>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</si>
  <si>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</si>
  <si>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</si>
  <si>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</si>
  <si>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</si>
  <si>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</si>
  <si>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</si>
  <si>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</si>
  <si>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</si>
  <si>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</si>
  <si>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</si>
  <si>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</si>
  <si>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</si>
  <si>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</si>
  <si>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</si>
  <si>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</si>
  <si>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</si>
  <si>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</si>
  <si>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</si>
  <si>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</si>
  <si>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</si>
  <si>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</si>
  <si>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</si>
  <si>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</si>
  <si>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</si>
  <si>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</si>
  <si>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</si>
  <si>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</si>
  <si>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</si>
  <si>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</si>
  <si>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</si>
  <si>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</si>
  <si>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</si>
  <si>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</si>
  <si>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</si>
  <si>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</si>
  <si>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</si>
  <si>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</si>
  <si>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</si>
  <si>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</si>
  <si>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</si>
  <si>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</si>
  <si>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</si>
  <si>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</si>
  <si>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</si>
  <si>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</si>
  <si>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</si>
  <si>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</si>
  <si>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</si>
  <si>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</si>
  <si>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</si>
  <si>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</si>
  <si>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</si>
  <si>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</si>
  <si>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</si>
  <si>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</si>
  <si>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</si>
  <si>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</si>
  <si>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</si>
  <si>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</si>
  <si>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</si>
  <si>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</si>
  <si>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</si>
  <si>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</si>
  <si>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</si>
  <si>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</si>
  <si>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</si>
  <si>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</si>
  <si>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</si>
  <si>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</si>
  <si>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</si>
  <si>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</si>
  <si>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</si>
  <si>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</si>
  <si>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</si>
  <si>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</si>
  <si>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</si>
  <si>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</si>
  <si>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</si>
  <si>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</si>
  <si>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</si>
  <si>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</si>
  <si>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</si>
  <si>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</si>
  <si>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</si>
  <si>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</si>
  <si>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</si>
  <si>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</si>
  <si>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</si>
  <si>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</si>
  <si>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</si>
  <si>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</si>
  <si>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</si>
  <si>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</si>
  <si>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</si>
  <si>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</si>
  <si>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</si>
  <si>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</si>
  <si>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</si>
  <si>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</si>
  <si>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</si>
  <si>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</si>
  <si>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</si>
  <si>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</si>
  <si>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</si>
  <si>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</si>
  <si>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</si>
  <si>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</si>
  <si>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</si>
  <si>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</si>
  <si>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</si>
  <si>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</si>
  <si>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</si>
  <si>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</si>
  <si>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</si>
  <si>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</si>
  <si>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</si>
  <si>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</si>
  <si>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</si>
  <si>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</si>
  <si>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</si>
  <si>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</si>
  <si>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</si>
  <si>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</si>
  <si>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</si>
  <si>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</si>
  <si>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</si>
  <si>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</si>
  <si>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</si>
  <si>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</si>
  <si>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</si>
  <si>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</si>
  <si>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</si>
  <si>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</si>
  <si>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</si>
  <si>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</si>
  <si>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</si>
  <si>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</si>
  <si>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</si>
  <si>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</si>
  <si>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</si>
  <si>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</si>
  <si>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</si>
  <si>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</si>
  <si>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</si>
  <si>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</si>
  <si>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</si>
  <si>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</si>
  <si>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</si>
  <si>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</si>
  <si>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</si>
  <si>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</si>
  <si>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</si>
  <si>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</si>
  <si>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</si>
  <si>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</si>
  <si>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</si>
  <si>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</si>
  <si>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</si>
  <si>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</si>
  <si>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</si>
  <si>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</si>
  <si>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</si>
  <si>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</si>
  <si>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</si>
  <si>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</si>
  <si>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</si>
  <si>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</si>
  <si>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</si>
  <si>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</si>
  <si>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</si>
  <si>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</si>
  <si>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</si>
  <si>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</si>
  <si>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</si>
  <si>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</si>
  <si>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</si>
  <si>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</si>
  <si>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</si>
  <si>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</si>
  <si>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</si>
  <si>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</si>
  <si>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</si>
  <si>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</si>
  <si>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</si>
  <si>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</si>
  <si>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</si>
  <si>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</si>
  <si>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</si>
  <si>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</si>
  <si>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</si>
  <si>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</si>
  <si>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</si>
  <si>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</si>
  <si>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</si>
  <si>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</si>
  <si>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</si>
  <si>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</si>
  <si>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</si>
  <si>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</si>
  <si>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</si>
  <si>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</si>
  <si>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</si>
  <si>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</si>
  <si>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</si>
  <si>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</si>
  <si>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</si>
  <si>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</si>
  <si>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</si>
  <si>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</si>
  <si>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</si>
  <si>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</si>
  <si>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</si>
  <si>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</si>
  <si>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</si>
  <si>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</si>
  <si>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</si>
  <si>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</si>
  <si>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</si>
  <si>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</si>
  <si>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</si>
  <si>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</si>
  <si>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</si>
  <si>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</si>
  <si>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</si>
  <si>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</si>
  <si>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</si>
  <si>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</si>
  <si>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</si>
  <si>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</si>
  <si>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</si>
  <si>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</si>
  <si>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</si>
  <si>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</si>
  <si>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</si>
  <si>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</si>
  <si>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</si>
  <si>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</si>
  <si>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</si>
  <si>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</si>
  <si>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</si>
  <si>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</si>
  <si>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</si>
  <si>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</si>
  <si>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</si>
  <si>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</si>
  <si>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</si>
  <si>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</si>
  <si>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</si>
  <si>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</si>
  <si>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</si>
  <si>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</si>
  <si>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</si>
  <si>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</si>
  <si>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</si>
  <si>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</si>
  <si>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</si>
  <si>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</si>
  <si>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</si>
  <si>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</si>
  <si>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</si>
  <si>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</si>
  <si>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</si>
  <si>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</si>
  <si>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</si>
  <si>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</si>
  <si>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</si>
  <si>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</si>
  <si>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</si>
  <si>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</si>
  <si>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</si>
  <si>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</si>
  <si>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</si>
  <si>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</si>
  <si>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</si>
  <si>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</si>
  <si>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</si>
  <si>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</si>
  <si>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</si>
  <si>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</si>
  <si>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</si>
  <si>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</si>
  <si>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</si>
  <si>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</si>
  <si>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</si>
  <si>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</si>
  <si>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</si>
  <si>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</si>
  <si>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</si>
  <si>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</si>
  <si>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</si>
  <si>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</si>
  <si>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</si>
  <si>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</si>
  <si>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</si>
  <si>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</si>
  <si>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</si>
  <si>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</si>
  <si>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</si>
  <si>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</si>
  <si>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</si>
  <si>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</si>
  <si>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</si>
  <si>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</si>
  <si>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</si>
  <si>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</si>
  <si>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</si>
  <si>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</si>
  <si>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</si>
  <si>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</si>
  <si>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</si>
  <si>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</si>
  <si>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</si>
  <si>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</si>
  <si>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</si>
  <si>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</si>
  <si>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</si>
  <si>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</si>
  <si>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</si>
  <si>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</si>
  <si>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</si>
  <si>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</si>
  <si>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</si>
  <si>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</si>
  <si>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</si>
  <si>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</si>
  <si>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</si>
  <si>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</si>
  <si>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</si>
  <si>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</si>
  <si>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</si>
  <si>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</si>
  <si>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</si>
  <si>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</si>
  <si>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</si>
  <si>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</si>
  <si>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</si>
  <si>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</si>
  <si>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</si>
  <si>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</si>
  <si>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</si>
  <si>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</si>
  <si>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</si>
  <si>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</si>
  <si>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</si>
  <si>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</si>
  <si>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</si>
  <si>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</si>
  <si>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</si>
  <si>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</si>
  <si>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</si>
  <si>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</si>
  <si>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</si>
  <si>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</si>
  <si>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</si>
  <si>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</si>
  <si>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</si>
  <si>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</si>
  <si>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</si>
  <si>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</si>
  <si>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</si>
  <si>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</si>
  <si>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</si>
  <si>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</si>
  <si>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</si>
  <si>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</si>
  <si>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</si>
  <si>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</si>
  <si>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</si>
  <si>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</si>
  <si>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</si>
  <si>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</si>
  <si>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</si>
  <si>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</si>
  <si>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</si>
  <si>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</si>
  <si>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</si>
  <si>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</si>
  <si>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</si>
  <si>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</si>
  <si>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</si>
  <si>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</si>
  <si>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</si>
  <si>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</si>
  <si>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</si>
  <si>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</si>
  <si>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</si>
  <si>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</si>
  <si>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</si>
  <si>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</si>
  <si>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</si>
  <si>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</si>
  <si>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</si>
  <si>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</si>
  <si>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</si>
  <si>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</si>
  <si>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</si>
  <si>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</si>
  <si>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</si>
  <si>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</si>
  <si>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</si>
  <si>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</si>
  <si>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</si>
  <si>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</si>
  <si>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</si>
  <si>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</si>
  <si>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</si>
  <si>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</si>
  <si>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</si>
  <si>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</si>
  <si>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</si>
  <si>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</si>
  <si>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</si>
  <si>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</si>
  <si>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</si>
  <si>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</si>
  <si>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</si>
  <si>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</si>
  <si>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</si>
  <si>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</si>
  <si>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</si>
  <si>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</si>
  <si>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</si>
  <si>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</si>
  <si>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</si>
  <si>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</si>
  <si>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</si>
  <si>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</si>
  <si>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</si>
  <si>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</si>
  <si>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</si>
  <si>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</si>
  <si>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</si>
  <si>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</si>
  <si>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</si>
  <si>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</si>
  <si>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</si>
  <si>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</si>
  <si>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</si>
  <si>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</si>
  <si>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</si>
  <si>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</si>
  <si>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</si>
  <si>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</si>
  <si>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</si>
  <si>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</si>
  <si>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</si>
  <si>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</si>
  <si>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</si>
  <si>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</si>
  <si>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</si>
  <si>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</si>
  <si>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</si>
  <si>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</si>
  <si>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</si>
  <si>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</si>
  <si>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</si>
  <si>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</si>
  <si>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</si>
  <si>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</si>
  <si>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</si>
  <si>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</si>
  <si>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</si>
  <si>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</si>
  <si>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</si>
  <si>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</si>
  <si>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</si>
  <si>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</si>
  <si>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</si>
  <si>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</si>
  <si>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</si>
  <si>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</si>
  <si>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</si>
  <si>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</si>
  <si>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</si>
  <si>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</si>
  <si>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</si>
  <si>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</si>
  <si>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</si>
  <si>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</si>
  <si>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</si>
  <si>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</si>
  <si>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</si>
  <si>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</si>
  <si>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</si>
  <si>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</si>
  <si>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</si>
  <si>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</si>
  <si>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</si>
  <si>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</si>
  <si>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</si>
  <si>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</si>
  <si>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</si>
  <si>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</si>
  <si>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</si>
  <si>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</si>
  <si>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</si>
  <si>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</si>
  <si>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</si>
  <si>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</si>
  <si>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</si>
  <si>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</si>
  <si>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</si>
  <si>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</si>
  <si>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</si>
  <si>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</si>
  <si>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</si>
  <si>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</si>
  <si>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</si>
  <si>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</si>
  <si>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</si>
  <si>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</si>
  <si>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</si>
  <si>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</si>
  <si>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</si>
  <si>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</si>
  <si>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</si>
  <si>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</si>
  <si>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</si>
  <si>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</si>
  <si>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</si>
  <si>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</si>
  <si>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</si>
  <si>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</si>
  <si>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</si>
  <si>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</si>
  <si>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</si>
  <si>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</si>
  <si>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</si>
  <si>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</si>
  <si>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</si>
  <si>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</si>
  <si>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</si>
  <si>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</si>
  <si>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</si>
  <si>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</si>
  <si>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</si>
  <si>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</si>
  <si>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</si>
  <si>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</si>
  <si>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</si>
  <si>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</si>
  <si>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</si>
  <si>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</si>
  <si>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</si>
  <si>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</si>
  <si>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</si>
  <si>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</si>
  <si>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</si>
  <si>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</si>
  <si>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</si>
  <si>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</si>
  <si>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</si>
  <si>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</si>
  <si>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</si>
  <si>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</si>
  <si>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</si>
  <si>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</si>
  <si>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</si>
  <si>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</si>
  <si>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</si>
  <si>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</si>
  <si>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</si>
  <si>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</si>
  <si>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</si>
  <si>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</si>
  <si>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</si>
  <si>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</si>
  <si>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</si>
  <si>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</si>
  <si>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</si>
  <si>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</si>
  <si>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</si>
  <si>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</si>
  <si>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</si>
  <si>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</si>
  <si>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</si>
  <si>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</si>
  <si>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</si>
  <si>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</si>
  <si>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</si>
  <si>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</si>
  <si>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</si>
  <si>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</si>
  <si>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</si>
  <si>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</si>
  <si>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</si>
  <si>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</si>
  <si>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</si>
  <si>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</si>
  <si>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</si>
  <si>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</si>
  <si>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</si>
  <si>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</si>
  <si>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</si>
  <si>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</si>
  <si>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</si>
  <si>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</si>
  <si>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</si>
  <si>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</si>
  <si>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</si>
  <si>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</si>
  <si>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</si>
  <si>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</si>
  <si>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</si>
  <si>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</si>
  <si>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</si>
  <si>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</si>
  <si>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</si>
  <si>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</si>
  <si>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</si>
  <si>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</si>
  <si>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</si>
  <si>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</si>
  <si>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</si>
  <si>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</si>
  <si>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</si>
  <si>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</si>
  <si>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</si>
  <si>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</si>
  <si>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</si>
  <si>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</si>
  <si>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</si>
  <si>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</si>
  <si>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</si>
  <si>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</si>
  <si>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</si>
  <si>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</si>
  <si>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</si>
  <si>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</si>
  <si>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</si>
  <si>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</si>
  <si>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</si>
  <si>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</si>
  <si>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</si>
  <si>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</si>
  <si>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</si>
  <si>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</si>
  <si>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</si>
  <si>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</si>
  <si>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</si>
  <si>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</si>
  <si>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</si>
  <si>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</si>
  <si>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</si>
  <si>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</si>
  <si>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</si>
  <si>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</si>
  <si>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</si>
  <si>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</si>
  <si>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</si>
  <si>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</si>
  <si>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</si>
  <si>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</si>
  <si>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</si>
  <si>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</si>
  <si>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</si>
  <si>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</si>
  <si>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</si>
  <si>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</si>
  <si>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</si>
  <si>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</si>
  <si>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</si>
  <si>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</si>
  <si>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</si>
  <si>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</si>
  <si>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</si>
  <si>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</si>
  <si>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</si>
  <si>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</si>
  <si>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</si>
  <si>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</si>
  <si>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</si>
  <si>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</si>
  <si>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</si>
  <si>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</si>
  <si>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</si>
  <si>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</si>
  <si>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</si>
  <si>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</si>
  <si>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</si>
  <si>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</si>
  <si>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</si>
  <si>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</si>
  <si>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</si>
  <si>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</si>
  <si>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</si>
  <si>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</si>
  <si>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</si>
  <si>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</si>
  <si>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</si>
  <si>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</si>
  <si>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</si>
  <si>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</si>
  <si>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</si>
  <si>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</si>
  <si>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</si>
  <si>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</si>
  <si>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</si>
  <si>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</si>
  <si>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</si>
  <si>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</si>
  <si>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</si>
  <si>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</si>
  <si>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</si>
  <si>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</si>
  <si>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</si>
  <si>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</si>
  <si>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</si>
  <si>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</si>
  <si>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</si>
  <si>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</si>
  <si>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</si>
  <si>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</si>
  <si>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</si>
  <si>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</si>
  <si>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</si>
  <si>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</si>
  <si>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</si>
  <si>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</si>
  <si>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</si>
  <si>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</si>
  <si>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</si>
  <si>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</si>
  <si>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</si>
  <si>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</si>
  <si>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</si>
  <si>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</si>
  <si>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</si>
  <si>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</si>
  <si>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</si>
  <si>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</si>
  <si>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</si>
  <si>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</si>
  <si>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</si>
  <si>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</si>
  <si>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</si>
  <si>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</si>
  <si>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</si>
  <si>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</si>
  <si>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</si>
  <si>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</si>
  <si>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</si>
  <si>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</si>
  <si>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</si>
  <si>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</si>
  <si>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</si>
  <si>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</si>
  <si>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</si>
  <si>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</si>
  <si>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</si>
  <si>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</si>
  <si>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</si>
  <si>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</si>
  <si>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</si>
  <si>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</si>
  <si>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</si>
  <si>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</si>
  <si>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</si>
  <si>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</si>
  <si>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</si>
  <si>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</si>
  <si>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</si>
  <si>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</si>
  <si>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</si>
  <si>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</si>
  <si>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</si>
  <si>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</si>
  <si>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</si>
  <si>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</si>
  <si>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</si>
  <si>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</si>
  <si>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</si>
  <si>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</si>
  <si>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</si>
  <si>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</si>
  <si>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</si>
  <si>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</si>
  <si>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</si>
  <si>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</si>
  <si>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</si>
  <si>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</si>
  <si>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</si>
  <si>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</si>
  <si>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</si>
  <si>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</si>
  <si>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</si>
  <si>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</si>
  <si>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</si>
  <si>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</si>
  <si>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</si>
  <si>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</si>
  <si>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</si>
  <si>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</si>
  <si>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</si>
  <si>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</si>
  <si>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</si>
  <si>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</si>
  <si>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</si>
  <si>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</si>
  <si>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</si>
  <si>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</si>
  <si>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</si>
  <si>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</si>
  <si>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</si>
  <si>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</si>
  <si>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</si>
  <si>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</si>
  <si>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</si>
  <si>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</si>
  <si>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</si>
  <si>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</si>
  <si>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</si>
  <si>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</si>
  <si>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</si>
  <si>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</si>
  <si>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</si>
  <si>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</si>
  <si>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</si>
  <si>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</si>
  <si>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</si>
  <si>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</si>
  <si>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</si>
  <si>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</si>
  <si>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</si>
  <si>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</si>
  <si>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</si>
  <si>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</si>
  <si>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</si>
  <si>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</si>
  <si>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</si>
  <si>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</si>
  <si>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</si>
  <si>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</si>
  <si>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</si>
  <si>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</si>
  <si>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</si>
  <si>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</si>
  <si>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</si>
  <si>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</si>
  <si>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</si>
  <si>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</si>
  <si>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</si>
  <si>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</si>
  <si>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</si>
  <si>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</si>
  <si>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</si>
  <si>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</si>
  <si>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</si>
  <si>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</si>
  <si>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</si>
  <si>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</si>
  <si>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</si>
  <si>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</si>
  <si>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</si>
  <si>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</si>
  <si>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</si>
  <si>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</si>
  <si>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</si>
  <si>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</si>
  <si>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</si>
  <si>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</si>
  <si>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</si>
  <si>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</si>
  <si>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</si>
  <si>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</si>
  <si>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</si>
  <si>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</si>
  <si>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</si>
  <si>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</si>
  <si>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</si>
  <si>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</si>
  <si>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</si>
  <si>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</si>
  <si>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</si>
  <si>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</si>
  <si>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</si>
  <si>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</si>
  <si>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</si>
  <si>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</si>
  <si>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</si>
  <si>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</si>
  <si>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</si>
  <si>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</si>
  <si>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</si>
  <si>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</si>
  <si>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</si>
  <si>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</si>
  <si>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</si>
  <si>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</si>
  <si>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</si>
  <si>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</si>
  <si>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</si>
  <si>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</si>
  <si>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</si>
  <si>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</si>
  <si>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</si>
  <si>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</si>
  <si>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</si>
  <si>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</si>
  <si>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</si>
  <si>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</si>
  <si>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</si>
  <si>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</si>
  <si>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</si>
  <si>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</si>
  <si>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</si>
  <si>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</si>
  <si>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</si>
  <si>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</si>
  <si>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</si>
  <si>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</si>
  <si>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</si>
  <si>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</si>
  <si>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</si>
  <si>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</si>
  <si>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</si>
  <si>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</si>
  <si>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</si>
  <si>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</si>
  <si>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</si>
  <si>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</si>
  <si>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</si>
  <si>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</si>
  <si>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</si>
  <si>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</si>
  <si>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</si>
  <si>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</si>
  <si>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</si>
  <si>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</si>
  <si>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</si>
  <si>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</si>
  <si>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</si>
  <si>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</si>
  <si>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</si>
  <si>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</si>
  <si>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</si>
  <si>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</si>
  <si>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</si>
  <si>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</si>
  <si>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</si>
  <si>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</si>
  <si>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</si>
  <si>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</si>
  <si>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</si>
  <si>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</si>
  <si>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</si>
  <si>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</si>
  <si>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</si>
  <si>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</si>
  <si>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</si>
  <si>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</si>
  <si>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</si>
  <si>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</si>
  <si>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</si>
  <si>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</si>
  <si>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</si>
  <si>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</si>
  <si>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</si>
  <si>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</si>
  <si>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</si>
  <si>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</si>
  <si>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</si>
  <si>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</si>
  <si>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</si>
  <si>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</si>
  <si>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</si>
  <si>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</si>
  <si>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</si>
  <si>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</si>
  <si>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</si>
  <si>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</si>
  <si>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</si>
  <si>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</si>
  <si>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</si>
  <si>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</si>
  <si>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</si>
  <si>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</si>
  <si>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</si>
  <si>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</si>
  <si>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</si>
  <si>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</si>
  <si>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</si>
  <si>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</si>
  <si>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</si>
  <si>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</si>
  <si>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</si>
  <si>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</si>
  <si>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</si>
  <si>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</si>
  <si>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</si>
  <si>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</si>
  <si>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</si>
  <si>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</si>
  <si>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</si>
  <si>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</si>
  <si>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</si>
  <si>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</si>
  <si>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</si>
  <si>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</si>
  <si>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</si>
  <si>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</si>
  <si>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</si>
  <si>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</si>
  <si>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</si>
  <si>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</si>
  <si>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</si>
  <si>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</si>
  <si>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</si>
  <si>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</si>
  <si>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</si>
  <si>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</si>
  <si>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</si>
  <si>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</si>
  <si>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</si>
  <si>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</si>
  <si>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</si>
  <si>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</si>
  <si>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</si>
  <si>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</si>
  <si>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</si>
  <si>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</si>
  <si>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</si>
  <si>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</si>
  <si>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</si>
  <si>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</si>
  <si>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</si>
  <si>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</si>
  <si>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</si>
  <si>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</si>
  <si>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</si>
  <si>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</si>
  <si>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</si>
  <si>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</si>
  <si>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</si>
  <si>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</si>
  <si>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</si>
  <si>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</si>
  <si>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</si>
  <si>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</si>
  <si>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</si>
  <si>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</si>
  <si>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</si>
  <si>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</si>
  <si>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</si>
  <si>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</si>
  <si>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</si>
  <si>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</si>
  <si>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</si>
  <si>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</si>
  <si>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</si>
  <si>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</si>
  <si>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</si>
  <si>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</si>
  <si>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</si>
  <si>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</si>
  <si>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</si>
  <si>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</si>
  <si>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</si>
  <si>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</si>
  <si>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</si>
  <si>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</si>
  <si>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</si>
  <si>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</si>
  <si>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</si>
  <si>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</si>
  <si>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</si>
  <si>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</si>
  <si>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</si>
  <si>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</si>
  <si>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</si>
  <si>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</si>
  <si>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</si>
  <si>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</si>
  <si>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</si>
  <si>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</si>
  <si>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</si>
  <si>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</si>
  <si>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</si>
  <si>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</si>
  <si>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</si>
  <si>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</si>
  <si>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</si>
  <si>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</si>
  <si>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</si>
  <si>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</si>
  <si>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</si>
  <si>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</si>
  <si>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</si>
  <si>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</si>
  <si>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</si>
  <si>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</si>
  <si>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</si>
  <si>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</si>
  <si>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</si>
  <si>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</si>
  <si>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</si>
  <si>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</si>
  <si>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</si>
  <si>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</si>
  <si>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</si>
  <si>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</si>
  <si>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</si>
  <si>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</si>
  <si>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</si>
  <si>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</si>
  <si>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</si>
  <si>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</si>
  <si>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</si>
  <si>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</si>
  <si>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</si>
  <si>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</si>
  <si>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</si>
  <si>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</si>
  <si>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</si>
  <si>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</si>
  <si>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</si>
  <si>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</si>
  <si>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</si>
  <si>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</si>
  <si>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</si>
  <si>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</si>
  <si>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</si>
  <si>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</si>
  <si>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</si>
  <si>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</si>
  <si>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</si>
  <si>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</si>
  <si>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</si>
  <si>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</si>
  <si>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</si>
  <si>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</si>
  <si>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</si>
  <si>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</si>
  <si>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</si>
  <si>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</si>
  <si>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</si>
  <si>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</si>
  <si>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</si>
  <si>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</si>
  <si>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</si>
  <si>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</si>
  <si>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</si>
  <si>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</si>
  <si>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</si>
  <si>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</si>
  <si>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</si>
  <si>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</si>
  <si>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</si>
  <si>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</si>
  <si>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</si>
  <si>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</si>
  <si>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</si>
  <si>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</si>
  <si>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</si>
  <si>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</si>
  <si>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</si>
  <si>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</si>
  <si>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</si>
  <si>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</si>
  <si>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</si>
  <si>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</si>
  <si>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</si>
  <si>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</si>
  <si>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</si>
  <si>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</si>
  <si>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</si>
  <si>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</si>
  <si>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</si>
  <si>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</si>
  <si>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</si>
  <si>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</si>
  <si>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</si>
  <si>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</si>
  <si>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</si>
  <si>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</si>
  <si>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</si>
  <si>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</si>
  <si>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</si>
  <si>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</si>
  <si>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</si>
  <si>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</si>
  <si>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</si>
  <si>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</si>
  <si>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</si>
  <si>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</si>
  <si>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</si>
  <si>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</si>
  <si>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</si>
  <si>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</si>
  <si>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</si>
  <si>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</si>
  <si>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</si>
  <si>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</si>
  <si>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</si>
  <si>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</si>
  <si>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</si>
  <si>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</si>
  <si>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</si>
  <si>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</si>
  <si>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</si>
  <si>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</si>
  <si>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</si>
  <si>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</si>
  <si>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</si>
  <si>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</si>
  <si>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</si>
  <si>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</si>
  <si>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</si>
  <si>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</si>
  <si>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</si>
  <si>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</si>
  <si>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</si>
  <si>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</si>
  <si>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</si>
  <si>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</si>
  <si>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</si>
  <si>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</si>
  <si>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</si>
  <si>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</si>
  <si>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</si>
  <si>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</si>
  <si>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</si>
  <si>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</si>
  <si>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</si>
  <si>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</si>
  <si>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</si>
  <si>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</si>
  <si>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</si>
  <si>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</si>
  <si>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</si>
  <si>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</si>
  <si>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</si>
  <si>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</si>
  <si>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</si>
  <si>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</si>
  <si>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</si>
  <si>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</si>
  <si>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</si>
  <si>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</si>
  <si>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</si>
  <si>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</si>
  <si>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</si>
  <si>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</si>
  <si>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</si>
  <si>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</si>
  <si>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</si>
  <si>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</si>
  <si>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</si>
  <si>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</si>
  <si>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</si>
  <si>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</si>
  <si>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</si>
  <si>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</si>
  <si>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</si>
  <si>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</si>
  <si>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</si>
  <si>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</si>
  <si>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</si>
  <si>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</si>
  <si>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</si>
  <si>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</si>
  <si>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</si>
  <si>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</si>
  <si>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</si>
  <si>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</si>
  <si>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</si>
  <si>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</si>
  <si>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</si>
  <si>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</si>
  <si>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</si>
  <si>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</si>
  <si>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</si>
  <si>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</si>
  <si>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</si>
  <si>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</si>
  <si>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</si>
  <si>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</si>
  <si>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</si>
  <si>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</si>
  <si>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</si>
  <si>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</si>
  <si>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</si>
  <si>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</si>
  <si>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</si>
  <si>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</si>
  <si>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</si>
  <si>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</si>
  <si>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</si>
  <si>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</si>
  <si>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</si>
  <si>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</si>
  <si>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</si>
  <si>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</si>
  <si>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</si>
  <si>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</si>
  <si>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</si>
  <si>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</si>
  <si>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</si>
  <si>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</si>
  <si>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</si>
  <si>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</si>
  <si>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</si>
  <si>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</si>
  <si>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</si>
  <si>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</si>
  <si>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</si>
  <si>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</si>
  <si>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</si>
  <si>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</si>
  <si>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</si>
  <si>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</si>
  <si>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</si>
  <si>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</si>
  <si>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</si>
  <si>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</si>
  <si>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</si>
  <si>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</si>
  <si>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</si>
  <si>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</si>
  <si>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</si>
  <si>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</si>
  <si>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</si>
  <si>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</si>
  <si>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</si>
  <si>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</si>
  <si>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</si>
  <si>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</si>
  <si>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</si>
  <si>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</si>
  <si>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</si>
  <si>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</si>
  <si>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</si>
  <si>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</si>
  <si>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</si>
  <si>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</si>
  <si>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</si>
  <si>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</si>
  <si>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</si>
  <si>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</si>
  <si>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</si>
  <si>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</si>
  <si>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</si>
  <si>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</si>
  <si>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</si>
  <si>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</si>
  <si>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</si>
  <si>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</si>
  <si>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</si>
  <si>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</si>
  <si>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</si>
  <si>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</si>
  <si>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</si>
  <si>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</si>
  <si>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</si>
  <si>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</si>
  <si>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</si>
  <si>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</si>
  <si>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</si>
  <si>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</si>
  <si>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</si>
  <si>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</si>
  <si>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</si>
  <si>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</si>
  <si>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</si>
  <si>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</si>
  <si>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</si>
  <si>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</si>
  <si>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</si>
  <si>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</si>
  <si>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</si>
  <si>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</si>
  <si>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</si>
  <si>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</si>
  <si>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</si>
  <si>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</si>
  <si>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</si>
  <si>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</si>
  <si>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</si>
  <si>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</si>
  <si>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</si>
  <si>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</si>
  <si>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</si>
  <si>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</si>
  <si>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</si>
  <si>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</si>
  <si>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</si>
  <si>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</si>
  <si>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</si>
  <si>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</si>
  <si>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</si>
  <si>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</si>
  <si>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</si>
  <si>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</si>
  <si>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</si>
  <si>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</si>
  <si>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</si>
  <si>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</si>
  <si>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</si>
  <si>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</si>
  <si>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</si>
  <si>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</si>
  <si>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</si>
  <si>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</si>
  <si>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</si>
  <si>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</si>
  <si>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</si>
  <si>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</si>
  <si>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</si>
  <si>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</si>
  <si>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</si>
  <si>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</si>
  <si>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</si>
  <si>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</si>
  <si>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</si>
  <si>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</si>
  <si>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</si>
  <si>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</si>
  <si>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</si>
  <si>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</si>
  <si>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</si>
  <si>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</si>
  <si>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</si>
  <si>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</si>
  <si>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</si>
  <si>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</si>
  <si>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</si>
  <si>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</si>
  <si>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</si>
  <si>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</si>
  <si>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</si>
  <si>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</si>
  <si>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</si>
  <si>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</si>
  <si>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</si>
  <si>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</si>
  <si>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</si>
  <si>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</si>
  <si>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</si>
  <si>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</si>
  <si>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</si>
  <si>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</si>
  <si>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</si>
  <si>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</si>
  <si>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</si>
  <si>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</si>
  <si>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</si>
  <si>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</si>
  <si>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</si>
  <si>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</si>
  <si>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</si>
  <si>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</si>
  <si>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</si>
  <si>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</si>
  <si>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</si>
  <si>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</si>
  <si>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</si>
  <si>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</si>
  <si>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</si>
  <si>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</si>
  <si>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</si>
  <si>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</si>
  <si>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</si>
  <si>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</si>
  <si>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</si>
  <si>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</si>
  <si>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</si>
  <si>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</si>
  <si>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</si>
  <si>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</si>
  <si>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</si>
  <si>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</si>
  <si>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</si>
  <si>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</si>
  <si>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</si>
  <si>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</si>
  <si>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</si>
  <si>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</si>
  <si>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</si>
  <si>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</si>
  <si>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</si>
  <si>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</si>
  <si>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</si>
  <si>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</si>
  <si>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</si>
  <si>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</si>
  <si>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</si>
  <si>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</si>
  <si>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</si>
  <si>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</si>
  <si>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</si>
  <si>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</si>
  <si>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</si>
  <si>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</si>
  <si>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</si>
  <si>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</si>
  <si>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</si>
  <si>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</si>
  <si>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</si>
  <si>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</si>
  <si>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</si>
  <si>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</si>
  <si>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</si>
  <si>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</si>
  <si>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</si>
  <si>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</si>
  <si>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</si>
  <si>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</si>
  <si>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</si>
  <si>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</si>
  <si>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</si>
  <si>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</si>
  <si>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</si>
  <si>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</si>
  <si>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</si>
  <si>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</si>
  <si>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</si>
  <si>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</si>
  <si>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</si>
  <si>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</si>
  <si>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</si>
  <si>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</si>
  <si>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</si>
  <si>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</si>
  <si>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</si>
  <si>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</si>
  <si>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</si>
  <si>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</si>
  <si>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</si>
  <si>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</si>
  <si>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</si>
  <si>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</si>
  <si>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</si>
  <si>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</si>
  <si>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</si>
  <si>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</si>
  <si>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</si>
  <si>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</si>
  <si>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</si>
  <si>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</si>
  <si>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</si>
  <si>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</si>
  <si>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</si>
  <si>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</si>
  <si>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</si>
  <si>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</si>
  <si>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</si>
  <si>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</si>
  <si>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</si>
  <si>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</si>
  <si>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</si>
  <si>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</si>
  <si>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</si>
  <si>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</si>
  <si>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</si>
  <si>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</si>
  <si>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</si>
  <si>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</si>
  <si>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</si>
  <si>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</si>
  <si>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</si>
  <si>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</si>
  <si>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</si>
  <si>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</si>
  <si>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</si>
  <si>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</si>
  <si>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</si>
  <si>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</si>
  <si>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</si>
  <si>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</si>
  <si>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</si>
  <si>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</si>
  <si>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</si>
  <si>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</si>
  <si>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</si>
  <si>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</si>
  <si>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</si>
  <si>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</si>
  <si>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</si>
  <si>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</si>
  <si>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</si>
  <si>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</si>
  <si>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</si>
  <si>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</si>
  <si>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</si>
  <si>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</si>
  <si>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</si>
  <si>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</si>
  <si>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</si>
  <si>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</si>
  <si>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</si>
  <si>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</si>
  <si>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</si>
  <si>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</si>
  <si>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</si>
  <si>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</si>
  <si>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</si>
  <si>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</si>
  <si>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</si>
  <si>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</si>
  <si>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</si>
  <si>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</si>
  <si>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</si>
  <si>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</si>
  <si>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</si>
  <si>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</si>
  <si>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</si>
  <si>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</si>
  <si>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</si>
  <si>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</si>
  <si>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</si>
  <si>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</si>
  <si>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</si>
  <si>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</si>
  <si>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</si>
  <si>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</si>
  <si>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</si>
  <si>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</si>
  <si>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</si>
  <si>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</si>
  <si>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</si>
  <si>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</si>
  <si>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</si>
  <si>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</si>
  <si>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</si>
  <si>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</si>
  <si>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</si>
  <si>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</si>
  <si>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</si>
  <si>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</si>
  <si>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</si>
  <si>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</si>
  <si>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</si>
  <si>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</si>
  <si>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</si>
  <si>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</si>
  <si>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</si>
  <si>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</si>
  <si>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</si>
  <si>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</si>
  <si>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</si>
  <si>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</si>
  <si>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</si>
  <si>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</si>
  <si>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</si>
  <si>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</si>
  <si>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</si>
  <si>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</si>
  <si>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</si>
  <si>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</si>
  <si>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</si>
  <si>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</si>
  <si>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</si>
  <si>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</si>
  <si>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</si>
  <si>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</si>
  <si>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</si>
  <si>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</si>
  <si>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</si>
  <si>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</si>
  <si>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</si>
  <si>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</si>
  <si>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</si>
  <si>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</si>
  <si>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</si>
  <si>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</si>
  <si>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</si>
  <si>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</si>
  <si>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</si>
  <si>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</si>
  <si>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</si>
  <si>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</si>
  <si>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</si>
  <si>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</si>
  <si>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</si>
  <si>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</si>
  <si>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</si>
  <si>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</si>
  <si>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</si>
  <si>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</si>
  <si>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</si>
  <si>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</si>
  <si>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</si>
  <si>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</si>
  <si>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</si>
  <si>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</si>
  <si>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</si>
  <si>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</si>
  <si>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</si>
  <si>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</si>
  <si>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</si>
  <si>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</si>
  <si>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</si>
  <si>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</si>
  <si>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</si>
  <si>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</si>
  <si>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</si>
  <si>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</si>
  <si>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</si>
  <si>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</si>
  <si>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</si>
  <si>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</si>
  <si>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</si>
  <si>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</si>
  <si>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</si>
  <si>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</si>
  <si>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</si>
  <si>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</si>
  <si>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</si>
  <si>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</si>
  <si>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</si>
  <si>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</si>
  <si>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</si>
  <si>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</si>
  <si>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</si>
  <si>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</si>
  <si>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</si>
  <si>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</si>
  <si>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</si>
  <si>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</si>
  <si>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</si>
  <si>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</si>
  <si>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</si>
  <si>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</si>
  <si>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</si>
  <si>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</si>
  <si>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</si>
  <si>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</si>
  <si>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</si>
  <si>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</si>
  <si>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</si>
  <si>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</si>
  <si>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</si>
  <si>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</si>
  <si>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</si>
  <si>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</si>
  <si>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</si>
  <si>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</si>
  <si>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</si>
  <si>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</si>
  <si>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</si>
  <si>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</si>
  <si>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</si>
  <si>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</si>
  <si>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</si>
  <si>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</si>
  <si>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</si>
  <si>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</si>
  <si>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</si>
  <si>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</si>
  <si>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</si>
  <si>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</si>
  <si>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</si>
  <si>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</si>
  <si>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</si>
  <si>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</si>
  <si>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</si>
  <si>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</si>
  <si>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</si>
  <si>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</si>
  <si>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</si>
  <si>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</si>
  <si>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</si>
  <si>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</si>
  <si>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</si>
  <si>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</si>
  <si>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</si>
  <si>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</si>
  <si>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</si>
  <si>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</si>
  <si>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</si>
  <si>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</si>
  <si>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</si>
  <si>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</si>
  <si>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</si>
  <si>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</si>
  <si>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</si>
  <si>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</si>
  <si>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</si>
  <si>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</si>
  <si>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</si>
  <si>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</si>
  <si>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</si>
  <si>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</si>
  <si>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</si>
  <si>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</si>
  <si>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</si>
  <si>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</si>
  <si>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</si>
  <si>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</si>
  <si>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</si>
  <si>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</si>
  <si>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</si>
  <si>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</si>
  <si>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</si>
  <si>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</si>
  <si>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</si>
  <si>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</si>
  <si>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</si>
  <si>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</si>
  <si>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</si>
  <si>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</si>
  <si>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</si>
  <si>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</si>
  <si>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</si>
  <si>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</si>
  <si>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</si>
  <si>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</si>
  <si>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</si>
  <si>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</si>
  <si>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</si>
  <si>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</si>
  <si>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</si>
  <si>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</si>
  <si>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</si>
  <si>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</si>
  <si>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</si>
  <si>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</si>
  <si>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</si>
  <si>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</si>
  <si>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</si>
  <si>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</si>
  <si>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</si>
  <si>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</si>
  <si>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</si>
  <si>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</si>
  <si>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</si>
  <si>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</si>
  <si>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</si>
  <si>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</si>
  <si>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</si>
  <si>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</si>
  <si>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</si>
  <si>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</si>
  <si>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</si>
  <si>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</si>
  <si>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</si>
  <si>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</si>
  <si>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</si>
  <si>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</si>
  <si>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</si>
  <si>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</si>
  <si>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</si>
  <si>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</si>
  <si>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</si>
  <si>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</si>
  <si>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</si>
  <si>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</si>
  <si>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</si>
  <si>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</si>
  <si>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</si>
  <si>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</si>
  <si>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</si>
  <si>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</si>
  <si>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</si>
  <si>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</si>
  <si>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</si>
  <si>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</si>
  <si>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</si>
  <si>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</si>
  <si>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</si>
  <si>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</si>
  <si>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</si>
  <si>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</si>
  <si>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</si>
  <si>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</si>
  <si>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</si>
  <si>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</si>
  <si>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</si>
  <si>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</si>
  <si>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</si>
  <si>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</si>
  <si>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</si>
  <si>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</si>
  <si>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</si>
  <si>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</si>
  <si>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</si>
  <si>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</si>
  <si>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</si>
  <si>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</si>
  <si>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</si>
  <si>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</si>
  <si>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</si>
  <si>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</si>
  <si>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</si>
  <si>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</si>
  <si>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</si>
  <si>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</si>
  <si>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</si>
  <si>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</si>
  <si>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</si>
  <si>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</si>
  <si>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</si>
  <si>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</si>
  <si>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</si>
  <si>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</si>
  <si>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</si>
  <si>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</si>
  <si>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</si>
  <si>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</si>
  <si>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</si>
  <si>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</si>
  <si>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</si>
  <si>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</si>
  <si>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</si>
  <si>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</si>
  <si>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</si>
  <si>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</si>
  <si>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</si>
  <si>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</si>
  <si>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</si>
  <si>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</si>
  <si>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</si>
  <si>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</si>
  <si>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</si>
  <si>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</si>
  <si>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</si>
  <si>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</si>
  <si>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</si>
  <si>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</si>
  <si>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</si>
  <si>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</si>
  <si>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</si>
  <si>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</si>
  <si>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</si>
  <si>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</si>
  <si>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</si>
  <si>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</si>
  <si>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</si>
  <si>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</si>
  <si>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</si>
  <si>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</si>
  <si>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</si>
  <si>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</si>
  <si>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</si>
  <si>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</si>
  <si>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</si>
  <si>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</si>
  <si>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</si>
  <si>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</si>
  <si>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</si>
  <si>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</si>
  <si>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</si>
  <si>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</si>
  <si>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</si>
  <si>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</si>
  <si>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</si>
  <si>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</si>
  <si>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</si>
  <si>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</si>
  <si>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</si>
  <si>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</si>
  <si>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</si>
  <si>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</si>
  <si>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</si>
  <si>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</si>
  <si>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</si>
  <si>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</si>
  <si>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</si>
  <si>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</si>
  <si>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</si>
  <si>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</si>
  <si>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</si>
  <si>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</si>
  <si>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</si>
  <si>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</si>
  <si>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</si>
  <si>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</si>
  <si>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</si>
  <si>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</si>
  <si>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</si>
  <si>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</si>
  <si>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</si>
  <si>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</si>
  <si>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</si>
  <si>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</si>
  <si>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</si>
  <si>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</si>
  <si>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</si>
  <si>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</si>
  <si>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</si>
  <si>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</si>
  <si>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</si>
  <si>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</si>
  <si>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</si>
  <si>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</si>
  <si>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</si>
  <si>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</si>
  <si>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</si>
  <si>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</si>
  <si>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</si>
  <si>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</si>
  <si>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</si>
  <si>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</si>
  <si>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</si>
  <si>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</si>
  <si>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</si>
  <si>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</si>
  <si>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</si>
  <si>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</si>
  <si>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</si>
  <si>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</si>
  <si>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</si>
  <si>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</si>
  <si>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</si>
  <si>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</si>
  <si>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</si>
  <si>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</si>
  <si>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</si>
  <si>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</si>
  <si>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</si>
  <si>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</si>
  <si>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</si>
  <si>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</si>
  <si>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</si>
  <si>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</si>
  <si>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</si>
  <si>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</si>
  <si>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</si>
  <si>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</si>
  <si>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</si>
  <si>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</si>
  <si>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</si>
  <si>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</si>
  <si>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</si>
  <si>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</si>
  <si>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</si>
  <si>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</si>
  <si>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</si>
  <si>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</si>
  <si>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</si>
  <si>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</si>
  <si>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</si>
  <si>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</si>
  <si>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</si>
  <si>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</si>
  <si>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</si>
  <si>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</si>
  <si>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</si>
  <si>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</si>
  <si>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</si>
  <si>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</si>
  <si>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</si>
  <si>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</si>
  <si>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</si>
  <si>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</si>
  <si>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</si>
  <si>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</si>
  <si>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</si>
  <si>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</si>
  <si>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</si>
  <si>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</si>
  <si>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</si>
  <si>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</si>
  <si>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</si>
  <si>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</si>
  <si>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</si>
  <si>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</si>
  <si>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</si>
  <si>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</si>
  <si>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</si>
  <si>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</si>
  <si>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</si>
  <si>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</si>
  <si>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</si>
  <si>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</si>
  <si>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</si>
  <si>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</si>
  <si>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</si>
  <si>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</si>
  <si>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</si>
  <si>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</si>
  <si>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</si>
  <si>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</si>
  <si>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</si>
  <si>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</si>
  <si>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</si>
  <si>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</si>
  <si>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</si>
  <si>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</si>
  <si>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</si>
  <si>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</si>
  <si>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</si>
  <si>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</si>
  <si>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</si>
  <si>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</si>
  <si>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</si>
  <si>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</si>
  <si>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</si>
  <si>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</si>
  <si>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</si>
  <si>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</si>
  <si>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</si>
  <si>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</si>
  <si>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</si>
  <si>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</si>
  <si>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</si>
  <si>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</si>
  <si>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</si>
  <si>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</si>
  <si>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</si>
  <si>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</si>
  <si>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</si>
  <si>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</si>
  <si>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</si>
  <si>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</si>
  <si>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</si>
  <si>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</si>
  <si>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</si>
  <si>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</si>
  <si>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</si>
  <si>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</si>
  <si>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</si>
  <si>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</si>
  <si>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</si>
  <si>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</si>
  <si>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</si>
  <si>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</si>
  <si>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</si>
  <si>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</si>
  <si>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</si>
  <si>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</si>
  <si>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</si>
  <si>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</si>
  <si>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</si>
  <si>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</si>
  <si>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</si>
  <si>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</si>
  <si>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</si>
  <si>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</si>
  <si>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</si>
  <si>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</si>
  <si>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</si>
  <si>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</si>
  <si>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</si>
  <si>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</si>
  <si>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</si>
  <si>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</si>
  <si>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</si>
  <si>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</si>
  <si>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</si>
  <si>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</si>
  <si>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</si>
  <si>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</si>
  <si>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</si>
  <si>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</si>
  <si>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</si>
  <si>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</si>
  <si>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</si>
  <si>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</si>
  <si>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</si>
  <si>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</si>
  <si>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</si>
  <si>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</si>
  <si>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</si>
  <si>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</si>
  <si>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</si>
  <si>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</si>
  <si>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</si>
  <si>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</si>
  <si>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</si>
  <si>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</si>
  <si>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</si>
  <si>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</si>
  <si>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</si>
  <si>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</si>
  <si>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</si>
  <si>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</si>
  <si>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</si>
  <si>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</si>
  <si>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</si>
  <si>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</si>
  <si>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</si>
  <si>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</si>
  <si>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</si>
  <si>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</si>
  <si>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</si>
  <si>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</si>
  <si>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</si>
  <si>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</si>
  <si>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</si>
  <si>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</si>
  <si>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</si>
  <si>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</si>
  <si>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</si>
  <si>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</si>
  <si>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</si>
  <si>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</si>
  <si>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</si>
  <si>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</si>
  <si>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</si>
  <si>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</si>
  <si>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</si>
  <si>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</si>
  <si>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</si>
  <si>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</si>
  <si>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</si>
  <si>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</si>
  <si>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</si>
  <si>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</si>
  <si>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</si>
  <si>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</si>
  <si>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</si>
  <si>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</si>
  <si>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</si>
  <si>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</si>
  <si>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</si>
  <si>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</si>
  <si>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</si>
  <si>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</si>
  <si>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</si>
  <si>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</si>
  <si>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</si>
  <si>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</si>
  <si>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</si>
  <si>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</si>
  <si>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</si>
  <si>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</si>
  <si>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</si>
  <si>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</si>
  <si>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</si>
  <si>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</si>
  <si>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</si>
  <si>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</si>
  <si>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</si>
  <si>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</si>
  <si>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</si>
  <si>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</si>
  <si>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</si>
  <si>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</si>
  <si>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</si>
  <si>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</si>
  <si>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</si>
  <si>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</si>
  <si>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</si>
  <si>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</si>
  <si>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</si>
  <si>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</si>
  <si>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</si>
  <si>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</si>
  <si>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</si>
  <si>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</si>
  <si>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</si>
  <si>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</si>
  <si>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</si>
  <si>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</si>
  <si>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</si>
  <si>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</si>
  <si>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</si>
  <si>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</si>
  <si>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</si>
  <si>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</si>
  <si>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</si>
  <si>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</si>
  <si>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</si>
  <si>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</si>
  <si>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</si>
  <si>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</si>
  <si>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</si>
  <si>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</si>
  <si>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</si>
  <si>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</si>
  <si>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</si>
  <si>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</si>
  <si>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</si>
  <si>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</si>
  <si>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</si>
  <si>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</si>
  <si>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</si>
  <si>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</si>
  <si>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</si>
  <si>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</si>
  <si>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</si>
  <si>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</si>
  <si>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</si>
  <si>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</si>
  <si>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</si>
  <si>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</si>
  <si>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</si>
  <si>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</si>
  <si>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</si>
  <si>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</si>
  <si>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</si>
  <si>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</si>
  <si>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</si>
  <si>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</si>
  <si>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</si>
  <si>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</si>
  <si>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</si>
  <si>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</si>
  <si>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</si>
  <si>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</si>
  <si>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</si>
  <si>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</si>
  <si>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</si>
  <si>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</si>
  <si>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</si>
  <si>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</si>
  <si>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</si>
  <si>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</si>
  <si>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</si>
  <si>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</si>
  <si>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</si>
  <si>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</si>
  <si>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</si>
  <si>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</si>
  <si>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</si>
  <si>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</si>
  <si>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</si>
  <si>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</si>
  <si>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</si>
  <si>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</si>
  <si>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</si>
  <si>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</si>
  <si>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</si>
  <si>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</si>
  <si>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</si>
  <si>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</si>
  <si>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</si>
  <si>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</si>
  <si>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</si>
  <si>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</si>
  <si>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</si>
  <si>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</si>
  <si>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</si>
  <si>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</si>
  <si>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</si>
  <si>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</si>
  <si>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</si>
  <si>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</si>
  <si>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</si>
  <si>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</si>
  <si>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</si>
  <si>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</si>
  <si>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</si>
  <si>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</si>
  <si>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</si>
  <si>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</si>
  <si>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</si>
  <si>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</si>
  <si>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</si>
  <si>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</si>
  <si>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</si>
  <si>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</si>
  <si>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</si>
  <si>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</si>
  <si>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</si>
  <si>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</si>
  <si>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</si>
  <si>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</si>
  <si>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</si>
  <si>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</si>
  <si>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</si>
  <si>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</si>
  <si>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</si>
  <si>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</si>
  <si>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</si>
  <si>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</si>
  <si>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</si>
  <si>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</si>
  <si>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</si>
  <si>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</si>
  <si>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</si>
  <si>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</si>
  <si>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</si>
  <si>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</si>
  <si>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</si>
  <si>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</si>
  <si>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</si>
  <si>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</si>
  <si>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</si>
  <si>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</si>
  <si>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</si>
  <si>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</si>
  <si>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</si>
  <si>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</si>
  <si>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</si>
  <si>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</si>
  <si>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</si>
  <si>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</si>
  <si>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</si>
  <si>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</si>
  <si>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</si>
  <si>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</si>
  <si>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</si>
  <si>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</si>
  <si>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</si>
  <si>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</si>
  <si>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</si>
  <si>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</si>
  <si>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</si>
  <si>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</si>
  <si>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</si>
  <si>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</si>
  <si>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</si>
  <si>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</si>
  <si>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</si>
  <si>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</si>
  <si>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</si>
  <si>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</si>
  <si>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</si>
  <si>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</si>
  <si>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</si>
  <si>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</si>
  <si>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</si>
  <si>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</si>
  <si>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</si>
  <si>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</si>
  <si>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</si>
  <si>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</si>
  <si>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</si>
  <si>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</si>
  <si>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</si>
  <si>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</si>
  <si>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</si>
  <si>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</si>
  <si>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</si>
  <si>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</si>
  <si>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</si>
  <si>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</si>
  <si>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</si>
  <si>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</si>
  <si>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</si>
  <si>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</si>
  <si>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</si>
  <si>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</si>
  <si>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</si>
  <si>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</si>
  <si>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</si>
  <si>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</si>
  <si>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</si>
  <si>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</si>
  <si>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</si>
  <si>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</si>
  <si>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</si>
  <si>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</si>
  <si>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</si>
  <si>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</si>
  <si>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</si>
  <si>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</si>
  <si>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</si>
  <si>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</si>
  <si>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</si>
  <si>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</si>
  <si>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</si>
  <si>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</si>
  <si>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</si>
  <si>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</si>
  <si>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</si>
  <si>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</si>
  <si>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</si>
  <si>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</si>
  <si>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</si>
  <si>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</si>
  <si>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</si>
  <si>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</si>
  <si>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</si>
  <si>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</si>
  <si>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</si>
  <si>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</si>
  <si>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</si>
  <si>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</si>
  <si>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</si>
  <si>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</si>
  <si>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</si>
  <si>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</si>
  <si>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</si>
  <si>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</si>
  <si>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</si>
  <si>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</si>
  <si>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</si>
  <si>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</si>
  <si>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</si>
  <si>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</si>
  <si>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</si>
  <si>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</si>
  <si>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</si>
  <si>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</si>
  <si>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</si>
  <si>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</si>
  <si>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</si>
  <si>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</si>
  <si>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</si>
  <si>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</si>
  <si>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</si>
  <si>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</si>
  <si>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</si>
  <si>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</si>
  <si>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</si>
  <si>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</si>
  <si>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</si>
  <si>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</si>
  <si>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</si>
  <si>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</si>
  <si>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</si>
  <si>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</si>
  <si>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</si>
  <si>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</si>
  <si>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</si>
  <si>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</si>
  <si>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</si>
  <si>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</si>
  <si>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</si>
  <si>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</si>
  <si>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</si>
  <si>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</si>
  <si>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</si>
  <si>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</si>
  <si>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</si>
  <si>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</si>
  <si>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</si>
  <si>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</si>
  <si>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</si>
  <si>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</si>
  <si>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</si>
  <si>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</si>
  <si>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</si>
  <si>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</si>
  <si>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</si>
  <si>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</si>
  <si>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</si>
  <si>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</si>
  <si>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</si>
  <si>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</si>
  <si>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</si>
  <si>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</si>
  <si>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</si>
  <si>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</si>
  <si>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</si>
  <si>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</si>
  <si>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</si>
  <si>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</si>
  <si>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</si>
  <si>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</si>
  <si>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</si>
  <si>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</si>
  <si>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</si>
  <si>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</si>
  <si>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</si>
  <si>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</si>
  <si>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</si>
  <si>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</si>
  <si>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</si>
  <si>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</si>
  <si>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</si>
  <si>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</si>
  <si>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</si>
  <si>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</si>
  <si>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</si>
  <si>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</si>
  <si>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</si>
  <si>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</si>
  <si>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</si>
  <si>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</si>
  <si>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</si>
  <si>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</si>
  <si>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</si>
  <si>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</si>
  <si>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</si>
  <si>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</si>
  <si>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</si>
  <si>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</si>
  <si>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</si>
  <si>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</si>
  <si>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</si>
  <si>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</si>
  <si>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</si>
  <si>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</si>
  <si>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</si>
  <si>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</si>
  <si>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</si>
  <si>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</si>
  <si>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</si>
  <si>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</si>
  <si>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</si>
  <si>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</si>
  <si>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</si>
  <si>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</si>
  <si>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</si>
  <si>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</si>
  <si>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</si>
  <si>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</si>
  <si>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</si>
  <si>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</si>
  <si>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</si>
  <si>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</si>
  <si>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</si>
  <si>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</si>
  <si>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</si>
  <si>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</si>
  <si>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</si>
  <si>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</si>
  <si>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</si>
  <si>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</si>
  <si>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</si>
  <si>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</si>
  <si>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</si>
  <si>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</si>
  <si>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</si>
  <si>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</si>
  <si>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</si>
  <si>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</si>
  <si>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</si>
  <si>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</si>
  <si>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</si>
  <si>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</si>
  <si>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</si>
  <si>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</si>
  <si>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</si>
  <si>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</si>
  <si>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</si>
  <si>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</si>
  <si>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</si>
  <si>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</si>
  <si>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</si>
  <si>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</si>
  <si>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</si>
  <si>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</si>
  <si>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</si>
  <si>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</si>
  <si>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</si>
  <si>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</si>
  <si>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</si>
  <si>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</si>
  <si>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</si>
  <si>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</si>
  <si>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</si>
  <si>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</si>
  <si>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</si>
  <si>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</si>
  <si>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</si>
  <si>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</si>
  <si>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</si>
  <si>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</si>
  <si>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</si>
  <si>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</si>
  <si>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</si>
  <si>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</si>
  <si>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</si>
  <si>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</si>
  <si>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</si>
  <si>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</si>
  <si>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</si>
  <si>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</si>
  <si>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</si>
  <si>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</si>
  <si>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</si>
  <si>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</si>
  <si>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</si>
  <si>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</si>
  <si>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</si>
  <si>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</si>
  <si>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</si>
  <si>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</si>
  <si>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</si>
  <si>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</si>
  <si>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</si>
  <si>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</si>
  <si>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</si>
  <si>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</si>
  <si>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</si>
  <si>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</si>
  <si>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</si>
  <si>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</si>
  <si>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</si>
  <si>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</si>
  <si>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</si>
  <si>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</si>
  <si>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</si>
  <si>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</si>
  <si>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</si>
  <si>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</si>
  <si>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</si>
  <si>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</si>
  <si>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</si>
  <si>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</si>
  <si>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</si>
  <si>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</si>
  <si>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</si>
  <si>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</si>
  <si>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</si>
  <si>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</si>
  <si>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</si>
  <si>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</si>
  <si>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</si>
  <si>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</si>
  <si>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</si>
  <si>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</si>
  <si>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</si>
  <si>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</si>
  <si>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</si>
  <si>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</si>
  <si>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</si>
  <si>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</si>
  <si>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</si>
  <si>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</si>
  <si>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</si>
  <si>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</si>
  <si>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</si>
  <si>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</si>
  <si>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</si>
  <si>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</si>
  <si>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</si>
  <si>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</si>
  <si>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</si>
  <si>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</si>
  <si>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</si>
  <si>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</si>
  <si>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</si>
  <si>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</si>
  <si>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</si>
  <si>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</si>
  <si>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</si>
  <si>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</si>
  <si>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</si>
  <si>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</si>
  <si>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</si>
  <si>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</si>
  <si>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</si>
  <si>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</si>
  <si>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</si>
  <si>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</si>
  <si>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</si>
  <si>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</si>
  <si>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</si>
  <si>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</si>
  <si>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</si>
  <si>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</si>
  <si>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</si>
  <si>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</si>
  <si>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</si>
  <si>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</si>
  <si>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</si>
  <si>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</si>
  <si>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</si>
  <si>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</si>
  <si>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</si>
  <si>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</si>
  <si>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</si>
  <si>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</si>
  <si>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</si>
  <si>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</si>
  <si>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</si>
  <si>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</si>
  <si>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</si>
  <si>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</si>
  <si>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</si>
  <si>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</si>
  <si>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</si>
  <si>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</si>
  <si>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</si>
  <si>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</si>
  <si>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</si>
  <si>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</si>
  <si>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</si>
  <si>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</si>
  <si>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</si>
  <si>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</si>
  <si>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</si>
  <si>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</si>
  <si>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</si>
  <si>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</si>
  <si>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</si>
  <si>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</si>
  <si>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</si>
  <si>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</si>
  <si>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</si>
  <si>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</si>
  <si>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</si>
  <si>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</si>
  <si>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</si>
  <si>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</si>
  <si>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</si>
  <si>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</si>
  <si>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</si>
  <si>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</si>
  <si>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</si>
  <si>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</si>
  <si>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</si>
  <si>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</si>
  <si>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</si>
  <si>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</si>
  <si>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</si>
  <si>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</si>
  <si>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</si>
  <si>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</si>
  <si>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</si>
  <si>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</si>
  <si>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</si>
  <si>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</si>
  <si>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</si>
  <si>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</si>
  <si>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</si>
  <si>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</si>
  <si>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</si>
  <si>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</si>
  <si>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</si>
  <si>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</si>
  <si>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</si>
  <si>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</si>
  <si>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</si>
  <si>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</si>
  <si>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</si>
  <si>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</si>
  <si>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</si>
  <si>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</si>
  <si>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</si>
  <si>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</si>
  <si>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</si>
  <si>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</si>
  <si>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</si>
  <si>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</si>
  <si>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</si>
  <si>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</si>
  <si>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</si>
  <si>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</si>
  <si>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</si>
  <si>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</si>
  <si>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</si>
  <si>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</si>
  <si>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</si>
  <si>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</si>
  <si>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</si>
  <si>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</si>
  <si>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</si>
  <si>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</si>
  <si>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</si>
  <si>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</si>
  <si>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</si>
  <si>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</si>
  <si>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</si>
  <si>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</si>
  <si>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</si>
  <si>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</si>
  <si>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</si>
  <si>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</si>
  <si>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</si>
  <si>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</si>
  <si>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</si>
  <si>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</si>
  <si>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</si>
  <si>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</si>
  <si>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</si>
  <si>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</si>
  <si>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</si>
  <si>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</si>
  <si>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</si>
  <si>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</si>
  <si>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</si>
  <si>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</si>
  <si>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</si>
  <si>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</si>
  <si>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</si>
  <si>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</si>
  <si>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</si>
  <si>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</si>
  <si>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</si>
  <si>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</si>
  <si>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</si>
  <si>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</si>
  <si>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</si>
  <si>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</si>
  <si>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</si>
  <si>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</si>
  <si>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</si>
  <si>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</si>
  <si>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</si>
  <si>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</si>
  <si>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</si>
  <si>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</si>
  <si>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</si>
  <si>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</si>
  <si>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</si>
  <si>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</si>
  <si>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</si>
  <si>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</si>
  <si>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</si>
  <si>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</si>
  <si>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</si>
  <si>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</si>
  <si>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</si>
  <si>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</si>
  <si>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</si>
  <si>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</si>
  <si>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</si>
  <si>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</si>
  <si>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</si>
  <si>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</si>
  <si>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</si>
  <si>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</si>
  <si>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</si>
  <si>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</si>
  <si>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</si>
  <si>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</si>
  <si>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</si>
  <si>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</si>
  <si>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</si>
  <si>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</si>
  <si>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</si>
  <si>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</si>
  <si>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</si>
  <si>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</si>
  <si>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</si>
  <si>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</si>
  <si>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</si>
  <si>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</si>
  <si>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</si>
  <si>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</si>
  <si>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</si>
  <si>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</si>
  <si>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</si>
  <si>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</si>
  <si>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</si>
  <si>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</si>
  <si>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</si>
  <si>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</si>
  <si>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</si>
  <si>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</si>
  <si>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</si>
  <si>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</si>
  <si>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</si>
  <si>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</si>
  <si>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</si>
  <si>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</si>
  <si>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</si>
  <si>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</si>
  <si>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</si>
  <si>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</si>
  <si>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</si>
  <si>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</si>
  <si>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</si>
  <si>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</si>
  <si>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</si>
  <si>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</si>
  <si>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</si>
  <si>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</si>
  <si>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</si>
  <si>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</si>
  <si>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</si>
  <si>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</si>
  <si>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</si>
  <si>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</si>
  <si>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</si>
  <si>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</si>
  <si>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</si>
  <si>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</si>
  <si>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</si>
  <si>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</si>
  <si>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</si>
  <si>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</si>
  <si>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</si>
  <si>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</si>
  <si>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</si>
  <si>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</si>
  <si>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</si>
  <si>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</si>
  <si>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</si>
  <si>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</si>
  <si>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</si>
  <si>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</si>
  <si>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</si>
  <si>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</si>
  <si>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</si>
  <si>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</si>
  <si>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</si>
  <si>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</si>
  <si>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</si>
  <si>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</si>
  <si>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</si>
  <si>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</si>
  <si>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</si>
  <si>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</si>
  <si>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</si>
  <si>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</si>
  <si>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</si>
  <si>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</si>
  <si>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</si>
  <si>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</si>
  <si>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</si>
  <si>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</si>
  <si>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</si>
  <si>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</si>
  <si>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</si>
  <si>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</si>
  <si>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</si>
  <si>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</si>
  <si>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</si>
  <si>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</si>
  <si>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</si>
  <si>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</si>
  <si>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</si>
  <si>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</si>
  <si>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</si>
  <si>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</si>
  <si>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</si>
  <si>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</si>
  <si>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</si>
  <si>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</si>
  <si>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</si>
  <si>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</si>
  <si>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</si>
  <si>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</si>
  <si>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</si>
  <si>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</si>
  <si>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</si>
  <si>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</si>
  <si>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</si>
  <si>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</si>
  <si>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</si>
  <si>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</si>
  <si>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</si>
  <si>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</si>
  <si>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</si>
  <si>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</si>
  <si>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</si>
  <si>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</si>
  <si>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</si>
  <si>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</si>
  <si>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</si>
  <si>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</si>
  <si>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</si>
  <si>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</si>
  <si>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</si>
  <si>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</si>
  <si>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</si>
  <si>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</si>
  <si>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</si>
  <si>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</si>
  <si>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</si>
  <si>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</si>
  <si>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</si>
  <si>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</si>
  <si>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</si>
  <si>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</si>
  <si>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</si>
  <si>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</si>
  <si>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</si>
  <si>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</si>
  <si>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</si>
  <si>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</si>
  <si>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</si>
  <si>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</si>
  <si>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</si>
  <si>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</si>
  <si>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</si>
  <si>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</si>
  <si>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</si>
  <si>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</si>
  <si>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</si>
  <si>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</si>
  <si>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</si>
  <si>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</si>
  <si>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</si>
  <si>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</si>
  <si>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</si>
  <si>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</si>
  <si>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</si>
  <si>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</si>
  <si>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</si>
  <si>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</si>
  <si>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</si>
  <si>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</si>
  <si>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</si>
  <si>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</si>
  <si>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</si>
  <si>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</si>
  <si>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</si>
  <si>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</si>
  <si>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</si>
  <si>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</si>
  <si>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</si>
  <si>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</si>
  <si>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</si>
  <si>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</si>
  <si>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</si>
  <si>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</si>
  <si>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</si>
  <si>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</si>
  <si>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</si>
  <si>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</si>
  <si>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</si>
  <si>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</si>
  <si>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</si>
  <si>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</si>
  <si>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</si>
  <si>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</si>
  <si>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</si>
  <si>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</si>
  <si>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</si>
  <si>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</si>
  <si>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</si>
  <si>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</si>
  <si>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</si>
  <si>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</si>
  <si>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</si>
  <si>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</si>
  <si>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</si>
  <si>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</si>
  <si>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</si>
  <si>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</si>
  <si>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</si>
  <si>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</si>
  <si>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</si>
  <si>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</si>
  <si>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</si>
  <si>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</si>
  <si>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</si>
  <si>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</si>
  <si>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</si>
  <si>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</si>
  <si>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</si>
  <si>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</si>
  <si>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</si>
  <si>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</si>
  <si>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</si>
  <si>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</si>
  <si>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</si>
  <si>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</si>
  <si>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</si>
  <si>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</si>
  <si>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</si>
  <si>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</si>
  <si>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</si>
  <si>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</si>
  <si>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</si>
  <si>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</si>
  <si>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</si>
  <si>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</si>
  <si>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</si>
  <si>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</si>
  <si>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</si>
  <si>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</si>
  <si>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</si>
  <si>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</si>
  <si>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</si>
  <si>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</si>
  <si>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</si>
  <si>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</si>
  <si>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</si>
  <si>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</si>
  <si>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</si>
  <si>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</si>
  <si>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</si>
  <si>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</si>
  <si>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</si>
  <si>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</si>
  <si>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</si>
  <si>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</si>
  <si>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</si>
  <si>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</si>
  <si>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</si>
  <si>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</si>
  <si>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</si>
  <si>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</si>
  <si>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</si>
  <si>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</si>
  <si>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</si>
  <si>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</si>
  <si>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</si>
  <si>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</si>
  <si>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</si>
  <si>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</si>
  <si>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</si>
  <si>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</si>
  <si>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</si>
  <si>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</si>
  <si>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</si>
  <si>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</si>
  <si>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</si>
  <si>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</si>
  <si>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</si>
  <si>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</si>
  <si>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</si>
  <si>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</si>
  <si>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</si>
  <si>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</si>
  <si>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</si>
  <si>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</si>
  <si>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</si>
  <si>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</si>
  <si>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</si>
  <si>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</si>
  <si>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</si>
  <si>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</si>
  <si>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</si>
  <si>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</si>
  <si>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</si>
  <si>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</si>
  <si>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</si>
  <si>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</si>
  <si>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</si>
  <si>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</si>
  <si>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</si>
  <si>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</si>
  <si>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</si>
  <si>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</si>
  <si>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</si>
  <si>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</si>
  <si>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</si>
  <si>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</si>
  <si>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</si>
  <si>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</si>
  <si>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</si>
  <si>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</si>
  <si>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</si>
  <si>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</si>
  <si>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</si>
  <si>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</si>
  <si>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</si>
  <si>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</si>
  <si>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</si>
  <si>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</si>
  <si>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</si>
  <si>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</si>
  <si>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</si>
  <si>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</si>
  <si>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</si>
  <si>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</si>
  <si>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</si>
  <si>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</si>
  <si>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</si>
  <si>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</si>
  <si>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</si>
  <si>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</si>
  <si>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</si>
  <si>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</si>
  <si>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</si>
  <si>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</si>
  <si>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</si>
  <si>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</si>
  <si>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</si>
  <si>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</si>
  <si>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</si>
  <si>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</si>
  <si>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</si>
  <si>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</si>
  <si>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</si>
  <si>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</si>
  <si>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</si>
  <si>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</si>
  <si>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</si>
  <si>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</si>
  <si>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</si>
  <si>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</si>
  <si>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</si>
  <si>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</si>
  <si>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</si>
  <si>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</si>
  <si>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</si>
  <si>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</si>
  <si>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</si>
  <si>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</si>
  <si>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</si>
  <si>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</si>
  <si>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</si>
  <si>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</si>
  <si>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</si>
  <si>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</si>
  <si>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</si>
  <si>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</si>
  <si>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</si>
  <si>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</si>
  <si>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</si>
  <si>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</si>
  <si>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</si>
  <si>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</si>
  <si>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</si>
  <si>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</si>
  <si>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</si>
  <si>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</si>
  <si>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</si>
  <si>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</si>
  <si>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</si>
  <si>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</si>
  <si>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</si>
  <si>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</si>
  <si>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</si>
  <si>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</si>
  <si>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</si>
  <si>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</si>
  <si>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</si>
  <si>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</si>
  <si>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</si>
  <si>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</si>
  <si>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</si>
  <si>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</si>
  <si>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</si>
  <si>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</si>
  <si>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</si>
  <si>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</si>
  <si>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</si>
  <si>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</si>
  <si>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</si>
  <si>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</si>
  <si>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</si>
  <si>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</si>
  <si>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</si>
  <si>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</si>
  <si>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</si>
  <si>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</si>
  <si>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</si>
  <si>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</si>
  <si>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</si>
  <si>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</si>
  <si>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</si>
  <si>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</si>
  <si>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</si>
  <si>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</si>
  <si>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</si>
  <si>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</si>
  <si>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</si>
  <si>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</si>
  <si>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</si>
  <si>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</si>
  <si>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</si>
  <si>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</si>
  <si>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</si>
  <si>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</si>
  <si>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</si>
  <si>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</si>
  <si>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</si>
  <si>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</si>
  <si>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</si>
  <si>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</si>
  <si>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</si>
  <si>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</si>
  <si>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</si>
  <si>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</si>
  <si>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</si>
  <si>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</si>
  <si>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</si>
  <si>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</si>
  <si>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</si>
  <si>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</si>
  <si>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</si>
  <si>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</si>
  <si>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</si>
  <si>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</si>
  <si>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</si>
  <si>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</si>
  <si>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</si>
  <si>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</si>
  <si>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</si>
  <si>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</si>
  <si>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</si>
  <si>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</si>
  <si>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</si>
  <si>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</si>
  <si>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</si>
  <si>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</si>
  <si>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</si>
  <si>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</si>
  <si>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</si>
  <si>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</si>
  <si>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</si>
  <si>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</si>
  <si>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</si>
  <si>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</si>
  <si>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</si>
  <si>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</si>
  <si>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</si>
  <si>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</si>
  <si>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</si>
  <si>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</si>
  <si>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</si>
  <si>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</si>
  <si>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</si>
  <si>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</si>
  <si>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</si>
  <si>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</si>
  <si>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</si>
  <si>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</si>
  <si>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</si>
  <si>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</si>
  <si>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</si>
  <si>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</si>
  <si>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</si>
  <si>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</si>
  <si>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</si>
  <si>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</si>
  <si>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</si>
  <si>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</si>
  <si>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</si>
  <si>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</si>
  <si>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</si>
  <si>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</si>
  <si>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</si>
  <si>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</si>
  <si>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</si>
  <si>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</si>
  <si>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</si>
  <si>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</si>
  <si>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</si>
  <si>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</si>
  <si>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</si>
  <si>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</si>
  <si>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</si>
  <si>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</si>
  <si>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</si>
  <si>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</si>
  <si>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</si>
  <si>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</si>
  <si>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</si>
  <si>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</si>
  <si>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</si>
  <si>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</si>
  <si>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</si>
  <si>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</si>
  <si>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</si>
  <si>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</si>
  <si>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</si>
  <si>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</si>
  <si>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</si>
  <si>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</si>
  <si>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</si>
  <si>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</si>
  <si>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</si>
  <si>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</si>
  <si>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</si>
  <si>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</si>
  <si>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</si>
  <si>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</si>
  <si>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</si>
  <si>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</si>
  <si>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</si>
  <si>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</si>
  <si>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</si>
  <si>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</si>
  <si>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</si>
  <si>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</si>
  <si>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</si>
  <si>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</si>
  <si>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</si>
  <si>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</si>
  <si>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</si>
  <si>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</si>
  <si>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</si>
  <si>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</si>
  <si>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</si>
  <si>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</si>
  <si>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</si>
  <si>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</si>
  <si>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</si>
  <si>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</si>
  <si>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</si>
  <si>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</si>
  <si>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</si>
  <si>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</si>
  <si>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</si>
  <si>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</si>
  <si>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</si>
  <si>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</si>
  <si>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</si>
  <si>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</si>
  <si>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</si>
  <si>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</si>
  <si>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</si>
  <si>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</si>
  <si>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</si>
  <si>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</si>
  <si>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</si>
  <si>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</si>
  <si>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</si>
  <si>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</si>
  <si>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</si>
  <si>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</si>
  <si>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</si>
  <si>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</si>
  <si>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</si>
  <si>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</si>
  <si>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</si>
  <si>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</si>
  <si>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</si>
  <si>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</si>
  <si>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</si>
  <si>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</si>
  <si>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</si>
  <si>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</si>
  <si>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</si>
  <si>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</si>
  <si>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</si>
  <si>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</si>
  <si>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</si>
  <si>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</si>
  <si>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</si>
  <si>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</si>
  <si>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</si>
  <si>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</si>
  <si>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</si>
  <si>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</si>
  <si>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</si>
  <si>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</si>
  <si>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</si>
  <si>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</si>
  <si>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</si>
  <si>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</si>
  <si>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</si>
  <si>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</si>
  <si>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</si>
  <si>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</si>
  <si>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</si>
  <si>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</si>
  <si>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</si>
  <si>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</si>
  <si>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</si>
  <si>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</si>
  <si>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</si>
  <si>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</si>
  <si>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</si>
  <si>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</si>
  <si>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</si>
  <si>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</si>
  <si>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</si>
  <si>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</si>
  <si>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</si>
  <si>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</si>
  <si>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</si>
  <si>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</si>
  <si>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</si>
  <si>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</si>
  <si>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</si>
  <si>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</si>
  <si>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</si>
  <si>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</si>
  <si>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</si>
  <si>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</si>
  <si>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</si>
  <si>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</si>
  <si>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</si>
  <si>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</si>
  <si>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</si>
  <si>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</si>
  <si>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</si>
  <si>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</si>
  <si>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</si>
  <si>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</si>
  <si>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</si>
  <si>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</si>
  <si>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</si>
  <si>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</si>
  <si>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</si>
  <si>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</si>
  <si>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</si>
  <si>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</si>
  <si>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</si>
  <si>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</si>
  <si>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</si>
  <si>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</si>
  <si>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</si>
  <si>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</si>
  <si>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</si>
  <si>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</si>
  <si>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</si>
  <si>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</si>
  <si>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</si>
  <si>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</si>
  <si>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</si>
  <si>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</si>
  <si>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</si>
  <si>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</si>
  <si>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</si>
  <si>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</si>
  <si>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</si>
  <si>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</si>
  <si>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</si>
  <si>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</si>
  <si>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</si>
  <si>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</si>
  <si>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</si>
  <si>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</si>
  <si>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</si>
  <si>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</si>
  <si>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</si>
  <si>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</si>
  <si>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</si>
  <si>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</si>
  <si>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</si>
  <si>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</si>
  <si>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</si>
  <si>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</si>
  <si>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</si>
  <si>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</si>
  <si>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</si>
  <si>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</si>
  <si>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</si>
  <si>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</si>
  <si>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</si>
  <si>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</si>
  <si>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</si>
  <si>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</si>
  <si>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</si>
  <si>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</si>
  <si>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</si>
  <si>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</si>
  <si>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</si>
  <si>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</si>
  <si>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</si>
  <si>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</si>
  <si>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</si>
  <si>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</si>
  <si>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</si>
  <si>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</si>
  <si>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</si>
  <si>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</si>
  <si>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</si>
  <si>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</si>
  <si>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</si>
  <si>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</si>
  <si>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</si>
  <si>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</si>
  <si>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</si>
  <si>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</si>
  <si>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</si>
  <si>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</si>
  <si>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</si>
  <si>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</si>
  <si>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</si>
  <si>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</si>
  <si>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</si>
  <si>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</si>
  <si>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</si>
  <si>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</si>
  <si>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</si>
  <si>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</si>
  <si>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</si>
  <si>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</si>
  <si>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</si>
  <si>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</si>
  <si>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</si>
  <si>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</si>
  <si>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</si>
  <si>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</si>
  <si>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</si>
  <si>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</si>
  <si>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</si>
  <si>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</si>
  <si>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</si>
  <si>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</si>
  <si>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</si>
  <si>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</si>
  <si>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</si>
  <si>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</si>
  <si>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</si>
  <si>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</si>
  <si>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</si>
  <si>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</si>
  <si>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</si>
  <si>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</si>
  <si>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</si>
  <si>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</si>
  <si>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</si>
  <si>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</si>
  <si>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</si>
  <si>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</si>
  <si>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</si>
  <si>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</si>
  <si>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</si>
  <si>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</si>
  <si>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</si>
  <si>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</si>
  <si>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</si>
  <si>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</si>
  <si>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</si>
  <si>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</si>
  <si>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</si>
  <si>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</si>
  <si>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</si>
  <si>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</si>
  <si>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</si>
  <si>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</si>
  <si>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</si>
  <si>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</si>
  <si>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</si>
  <si>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</si>
  <si>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</si>
  <si>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</si>
  <si>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</si>
  <si>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</si>
  <si>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</si>
  <si>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</si>
  <si>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</si>
  <si>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</si>
  <si>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</si>
  <si>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</si>
  <si>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</si>
  <si>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</si>
  <si>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</si>
  <si>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</si>
  <si>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</si>
  <si>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</si>
  <si>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</si>
  <si>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</si>
  <si>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</si>
  <si>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</si>
  <si>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</si>
  <si>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</si>
  <si>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</si>
  <si>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</si>
  <si>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</si>
  <si>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</si>
  <si>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</si>
  <si>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</si>
  <si>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</si>
  <si>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</si>
  <si>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</si>
  <si>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</si>
  <si>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</si>
  <si>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</si>
  <si>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</si>
  <si>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</si>
  <si>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</si>
  <si>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</si>
  <si>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</si>
  <si>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</si>
  <si>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</si>
  <si>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</si>
  <si>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</si>
  <si>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</si>
  <si>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</si>
  <si>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</si>
  <si>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</si>
  <si>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</si>
  <si>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</si>
  <si>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</si>
  <si>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</si>
  <si>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</si>
  <si>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</si>
  <si>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</si>
  <si>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</si>
  <si>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</si>
  <si>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</si>
  <si>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</si>
  <si>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</si>
  <si>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</si>
  <si>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</si>
  <si>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</si>
  <si>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</si>
  <si>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</si>
  <si>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</si>
  <si>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</si>
  <si>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</si>
  <si>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</si>
  <si>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</si>
  <si>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</si>
  <si>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</si>
  <si>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</si>
  <si>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</si>
  <si>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</si>
  <si>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</si>
  <si>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</si>
  <si>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</si>
  <si>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</si>
  <si>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</si>
  <si>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</si>
  <si>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</si>
  <si>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</si>
  <si>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</si>
  <si>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</si>
  <si>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</si>
  <si>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</si>
  <si>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</si>
  <si>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</si>
  <si>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</si>
  <si>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</si>
  <si>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</si>
  <si>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</si>
  <si>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</si>
  <si>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</si>
  <si>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</si>
  <si>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</si>
  <si>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</si>
  <si>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</si>
  <si>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</si>
  <si>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</si>
  <si>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</si>
  <si>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</si>
  <si>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</si>
  <si>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</si>
  <si>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</si>
  <si>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</si>
  <si>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</si>
  <si>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</si>
  <si>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</si>
  <si>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</si>
  <si>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</si>
  <si>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</si>
  <si>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</si>
  <si>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</si>
  <si>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</si>
  <si>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</si>
  <si>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</si>
  <si>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</si>
  <si>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</si>
  <si>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</si>
  <si>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</si>
  <si>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</si>
  <si>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</si>
  <si>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</si>
  <si>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</si>
  <si>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</si>
  <si>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</si>
  <si>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</si>
  <si>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</si>
  <si>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</si>
  <si>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</si>
  <si>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</si>
  <si>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</si>
  <si>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</si>
  <si>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</si>
  <si>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</si>
  <si>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</si>
  <si>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</si>
  <si>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</si>
  <si>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</si>
  <si>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</si>
  <si>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</si>
  <si>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</si>
  <si>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</si>
  <si>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</si>
  <si>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</si>
  <si>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</si>
  <si>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</si>
  <si>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</si>
  <si>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</si>
  <si>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</si>
  <si>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</si>
  <si>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</si>
  <si>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</si>
  <si>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</si>
  <si>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</si>
  <si>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</si>
  <si>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</si>
  <si>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</si>
  <si>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</si>
  <si>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</si>
  <si>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</si>
  <si>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</si>
  <si>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</si>
  <si>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</si>
  <si>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</si>
  <si>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</si>
  <si>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</si>
  <si>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</si>
  <si>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</si>
  <si>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</si>
  <si>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</si>
  <si>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</si>
  <si>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</si>
  <si>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</si>
  <si>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</si>
  <si>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</si>
  <si>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</si>
  <si>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</si>
  <si>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</si>
  <si>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</si>
  <si>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</si>
  <si>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</si>
  <si>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</si>
  <si>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</si>
  <si>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</si>
  <si>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</si>
  <si>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</si>
  <si>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</si>
  <si>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</si>
  <si>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</si>
  <si>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</si>
  <si>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</si>
  <si>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</si>
  <si>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</si>
  <si>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</si>
  <si>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</si>
  <si>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</si>
  <si>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</si>
  <si>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</si>
  <si>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</si>
  <si>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</si>
  <si>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</si>
  <si>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</si>
  <si>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</si>
  <si>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</si>
  <si>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</si>
  <si>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</si>
  <si>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</si>
  <si>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</si>
  <si>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</si>
  <si>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</si>
  <si>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</si>
  <si>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</si>
  <si>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</si>
  <si>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</si>
  <si>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</si>
  <si>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</si>
  <si>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</si>
  <si>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</si>
  <si>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</si>
  <si>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</si>
  <si>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</si>
  <si>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</si>
  <si>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</si>
  <si>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</si>
  <si>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</si>
  <si>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</si>
  <si>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</si>
  <si>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</si>
  <si>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</si>
  <si>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</si>
  <si>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</si>
  <si>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</si>
  <si>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</si>
  <si>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</si>
  <si>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</si>
  <si>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</si>
  <si>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</si>
  <si>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</si>
  <si>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</si>
  <si>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</si>
  <si>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</si>
  <si>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</si>
  <si>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</si>
  <si>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</si>
  <si>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</si>
  <si>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</si>
  <si>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</si>
  <si>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</si>
  <si>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</si>
  <si>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</si>
  <si>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</si>
  <si>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</si>
  <si>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</si>
  <si>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</si>
  <si>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</si>
  <si>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</si>
  <si>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</si>
  <si>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</si>
  <si>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</si>
  <si>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</si>
  <si>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</si>
  <si>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</si>
  <si>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</si>
  <si>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</si>
  <si>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</si>
  <si>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</si>
  <si>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</si>
  <si>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</si>
  <si>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</si>
  <si>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</si>
  <si>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</si>
  <si>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</si>
  <si>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</si>
  <si>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</si>
  <si>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</si>
  <si>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</si>
  <si>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</si>
  <si>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</si>
  <si>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</si>
  <si>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</si>
  <si>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</si>
  <si>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</si>
  <si>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</si>
  <si>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</si>
  <si>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</si>
  <si>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</si>
  <si>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</si>
  <si>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</si>
  <si>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</si>
  <si>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</si>
  <si>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</si>
  <si>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</si>
  <si>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</si>
  <si>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</si>
  <si>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</si>
  <si>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</si>
  <si>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</si>
  <si>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</si>
  <si>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</si>
  <si>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</si>
  <si>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</si>
  <si>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</si>
  <si>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</si>
  <si>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</si>
  <si>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</si>
  <si>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</si>
  <si>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</si>
  <si>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</si>
  <si>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</si>
  <si>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</si>
  <si>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</si>
  <si>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</si>
  <si>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</si>
  <si>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</si>
  <si>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</si>
  <si>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</si>
  <si>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</si>
  <si>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</si>
  <si>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</si>
  <si>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</si>
  <si>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</si>
  <si>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</si>
  <si>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</si>
  <si>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</si>
  <si>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</si>
  <si>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</si>
  <si>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</si>
  <si>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</si>
  <si>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</si>
  <si>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</si>
  <si>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</si>
  <si>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</si>
  <si>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</si>
  <si>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</si>
  <si>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</si>
  <si>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</si>
  <si>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</si>
  <si>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</si>
  <si>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</si>
  <si>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</si>
  <si>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</si>
  <si>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</si>
  <si>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</si>
  <si>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</si>
  <si>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</si>
  <si>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</si>
  <si>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</si>
  <si>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</si>
  <si>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</si>
  <si>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</si>
  <si>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</si>
  <si>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</si>
  <si>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</si>
  <si>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</si>
  <si>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</si>
  <si>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</si>
  <si>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</si>
  <si>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</si>
  <si>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</si>
  <si>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</si>
  <si>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</si>
  <si>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</si>
  <si>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</si>
  <si>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</si>
  <si>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</si>
  <si>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</si>
  <si>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</si>
  <si>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</si>
  <si>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</si>
  <si>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</si>
  <si>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</si>
  <si>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</si>
  <si>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</si>
  <si>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</si>
  <si>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</si>
  <si>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</si>
  <si>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</si>
  <si>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</si>
  <si>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</si>
  <si>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</si>
  <si>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</si>
  <si>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</si>
  <si>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</si>
  <si>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</si>
  <si>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</si>
  <si>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</si>
  <si>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</si>
  <si>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</si>
  <si>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</si>
  <si>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</si>
  <si>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</si>
  <si>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</si>
  <si>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</si>
  <si>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</si>
  <si>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</si>
  <si>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</si>
  <si>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</si>
  <si>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</si>
  <si>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</si>
  <si>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</si>
  <si>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</si>
  <si>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</si>
  <si>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</si>
  <si>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</si>
  <si>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</si>
  <si>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</si>
  <si>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</si>
  <si>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</si>
  <si>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</si>
  <si>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</si>
  <si>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</si>
  <si>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</si>
  <si>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</si>
  <si>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</si>
  <si>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</si>
  <si>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</si>
  <si>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</si>
  <si>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</si>
  <si>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</si>
  <si>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</si>
  <si>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</si>
  <si>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</si>
  <si>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</si>
  <si>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</si>
  <si>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</si>
  <si>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</si>
  <si>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</si>
  <si>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</si>
  <si>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</si>
  <si>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</si>
  <si>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</si>
  <si>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</si>
  <si>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</si>
  <si>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</si>
  <si>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</si>
  <si>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</si>
  <si>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</si>
  <si>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</si>
  <si>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</si>
  <si>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</si>
  <si>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</si>
  <si>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</si>
  <si>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</si>
  <si>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</si>
  <si>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</si>
  <si>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</si>
  <si>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</si>
  <si>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</si>
  <si>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</si>
  <si>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</si>
  <si>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</si>
  <si>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</si>
  <si>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</si>
  <si>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</si>
  <si>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</si>
  <si>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</si>
  <si>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</si>
  <si>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</si>
  <si>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</si>
  <si>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</si>
  <si>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</si>
  <si>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</si>
  <si>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</si>
  <si>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</si>
  <si>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</si>
  <si>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</si>
  <si>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</si>
  <si>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</si>
  <si>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</si>
  <si>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</si>
  <si>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</si>
  <si>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</si>
  <si>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</si>
  <si>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</si>
  <si>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</si>
  <si>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</si>
  <si>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</si>
  <si>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</si>
  <si>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</si>
  <si>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</si>
  <si>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</si>
  <si>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</si>
  <si>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</si>
  <si>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</si>
  <si>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</si>
  <si>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</si>
  <si>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</si>
  <si>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</si>
  <si>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</si>
  <si>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</si>
  <si>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</si>
  <si>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</si>
  <si>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</si>
  <si>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</si>
  <si>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</si>
  <si>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</si>
  <si>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</si>
  <si>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</si>
  <si>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</si>
  <si>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</si>
  <si>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</si>
  <si>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</si>
  <si>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</si>
  <si>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</si>
  <si>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</si>
  <si>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</si>
  <si>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</si>
  <si>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</si>
  <si>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</si>
  <si>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</si>
  <si>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</si>
  <si>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</si>
  <si>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</si>
  <si>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</si>
  <si>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</si>
  <si>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</si>
  <si>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</si>
  <si>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</si>
  <si>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</si>
  <si>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</si>
  <si>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</si>
  <si>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</si>
  <si>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</si>
  <si>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</si>
  <si>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</si>
  <si>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</si>
  <si>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</si>
  <si>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</si>
  <si>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</si>
  <si>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</si>
  <si>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</si>
  <si>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</si>
  <si>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</si>
  <si>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</si>
  <si>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</si>
  <si>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</si>
  <si>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</si>
  <si>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</si>
  <si>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</si>
  <si>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</si>
  <si>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</si>
  <si>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</si>
  <si>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</si>
  <si>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</si>
  <si>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</si>
  <si>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</si>
  <si>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</si>
  <si>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</si>
  <si>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</si>
  <si>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</si>
  <si>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</si>
  <si>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</si>
  <si>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</si>
  <si>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</si>
  <si>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</si>
  <si>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</si>
  <si>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</si>
  <si>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</si>
  <si>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</si>
  <si>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</si>
  <si>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</si>
  <si>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</si>
  <si>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</si>
  <si>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</si>
  <si>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</si>
  <si>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</si>
  <si>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</si>
  <si>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</si>
  <si>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</si>
  <si>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</si>
  <si>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</si>
  <si>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</si>
  <si>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</si>
  <si>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</si>
  <si>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</si>
  <si>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</si>
  <si>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</si>
  <si>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</si>
  <si>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</si>
  <si>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</si>
  <si>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</si>
  <si>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</si>
  <si>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</si>
  <si>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</si>
  <si>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</si>
  <si>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</si>
  <si>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</si>
  <si>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</si>
  <si>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</si>
  <si>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</si>
  <si>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</si>
  <si>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</si>
  <si>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</si>
  <si>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</si>
  <si>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</si>
  <si>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</si>
  <si>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</si>
  <si>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</si>
  <si>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</si>
  <si>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</si>
  <si>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</si>
  <si>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</si>
  <si>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</si>
  <si>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</si>
  <si>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</si>
  <si>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</si>
  <si>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</si>
  <si>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</si>
  <si>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</si>
  <si>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</si>
  <si>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</si>
  <si>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</si>
  <si>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</si>
  <si>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</si>
  <si>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</si>
  <si>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</si>
  <si>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</si>
  <si>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</si>
  <si>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</si>
  <si>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</si>
  <si>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</si>
  <si>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</si>
  <si>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</si>
  <si>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</si>
  <si>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</si>
  <si>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</si>
  <si>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</si>
  <si>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</si>
  <si>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</si>
  <si>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</si>
  <si>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</si>
  <si>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</si>
  <si>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</si>
  <si>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</si>
  <si>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</si>
  <si>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</si>
  <si>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</si>
  <si>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</si>
  <si>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</si>
  <si>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</si>
  <si>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</si>
  <si>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</si>
  <si>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</si>
  <si>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</si>
  <si>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</si>
  <si>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</si>
  <si>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</si>
  <si>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</si>
  <si>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</si>
  <si>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</si>
  <si>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</si>
  <si>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</si>
  <si>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</si>
  <si>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</si>
  <si>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</si>
  <si>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</si>
  <si>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</si>
  <si>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</si>
  <si>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</si>
  <si>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</si>
  <si>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</si>
  <si>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</si>
  <si>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</si>
  <si>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</si>
  <si>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</si>
  <si>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</si>
  <si>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</si>
  <si>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</si>
  <si>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</si>
  <si>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</si>
  <si>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</si>
  <si>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</si>
  <si>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</si>
  <si>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</si>
  <si>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</si>
  <si>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</si>
  <si>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</si>
  <si>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</si>
  <si>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</si>
  <si>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</si>
  <si>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</si>
  <si>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</si>
  <si>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</si>
  <si>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</si>
  <si>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</si>
  <si>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</si>
  <si>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</si>
  <si>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</si>
  <si>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</si>
  <si>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</si>
  <si>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</si>
  <si>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</si>
  <si>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</si>
  <si>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</si>
  <si>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</si>
  <si>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</si>
  <si>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</si>
  <si>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</si>
  <si>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</si>
  <si>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</si>
  <si>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</si>
  <si>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</si>
  <si>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</si>
  <si>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</si>
  <si>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</si>
  <si>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</si>
  <si>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</si>
  <si>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</si>
  <si>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</si>
  <si>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</si>
  <si>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</si>
  <si>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</si>
  <si>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</si>
  <si>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</si>
  <si>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</si>
  <si>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</si>
  <si>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</si>
  <si>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</si>
  <si>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</si>
  <si>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</si>
  <si>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</si>
  <si>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</si>
  <si>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</si>
  <si>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</si>
  <si>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</si>
  <si>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</si>
  <si>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</si>
  <si>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</si>
  <si>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</si>
  <si>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</si>
  <si>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</si>
  <si>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</si>
  <si>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</si>
  <si>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</si>
  <si>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</si>
  <si>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</si>
  <si>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</si>
  <si>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</si>
  <si>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</si>
  <si>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</si>
  <si>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</si>
  <si>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</si>
  <si>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</si>
  <si>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</si>
  <si>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</si>
  <si>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</si>
  <si>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</si>
  <si>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</si>
  <si>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</si>
  <si>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</si>
  <si>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</si>
  <si>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</si>
  <si>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</si>
  <si>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</si>
  <si>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</si>
  <si>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</si>
  <si>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</si>
  <si>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</si>
  <si>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</si>
  <si>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</si>
  <si>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</si>
  <si>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</si>
  <si>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</si>
  <si>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</si>
  <si>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</si>
  <si>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</si>
  <si>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</si>
  <si>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</si>
  <si>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</si>
  <si>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</si>
  <si>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</si>
  <si>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</si>
  <si>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</si>
  <si>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</si>
  <si>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</si>
  <si>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</si>
  <si>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</si>
  <si>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</si>
  <si>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</si>
  <si>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</si>
  <si>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</si>
  <si>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</si>
  <si>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</si>
  <si>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</si>
  <si>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</si>
  <si>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</si>
  <si>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</si>
  <si>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</si>
  <si>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</si>
  <si>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</si>
  <si>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</si>
  <si>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</si>
  <si>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</si>
  <si>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</si>
  <si>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</si>
  <si>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</si>
  <si>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</si>
  <si>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</si>
  <si>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</si>
  <si>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</si>
  <si>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</si>
  <si>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</si>
  <si>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</si>
  <si>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</si>
  <si>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</si>
  <si>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</si>
  <si>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</si>
  <si>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</si>
  <si>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</si>
  <si>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</si>
  <si>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</si>
  <si>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</si>
  <si>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</si>
  <si>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</si>
  <si>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</si>
  <si>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</si>
  <si>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</si>
  <si>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</si>
  <si>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</si>
  <si>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</si>
  <si>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</si>
  <si>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</si>
  <si>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</si>
  <si>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</si>
  <si>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</si>
  <si>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</si>
  <si>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</si>
  <si>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</si>
  <si>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</si>
  <si>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</si>
  <si>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</si>
  <si>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</si>
  <si>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</si>
  <si>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</si>
  <si>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</si>
  <si>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</si>
  <si>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</si>
  <si>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</si>
  <si>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</si>
  <si>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</si>
  <si>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</si>
  <si>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</si>
  <si>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</si>
  <si>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</si>
  <si>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</si>
  <si>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</si>
  <si>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</si>
  <si>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</si>
  <si>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</si>
  <si>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</si>
  <si>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</si>
  <si>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</si>
  <si>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</si>
  <si>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</si>
  <si>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</si>
  <si>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</si>
  <si>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</si>
  <si>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</si>
  <si>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</si>
  <si>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</si>
  <si>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</si>
  <si>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</si>
  <si>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</si>
  <si>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</si>
  <si>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</si>
  <si>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</si>
  <si>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</si>
  <si>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</si>
  <si>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</si>
  <si>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</si>
  <si>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</si>
  <si>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</si>
  <si>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</si>
  <si>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</si>
  <si>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</si>
  <si>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</si>
  <si>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</si>
  <si>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</si>
  <si>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</si>
  <si>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</si>
  <si>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</si>
  <si>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</si>
  <si>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</si>
  <si>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</si>
  <si>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</si>
  <si>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</si>
  <si>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</si>
  <si>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</si>
  <si>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</si>
  <si>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</si>
  <si>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</si>
  <si>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</si>
  <si>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</si>
  <si>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</si>
  <si>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</si>
  <si>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</si>
  <si>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</si>
  <si>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</si>
  <si>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</si>
  <si>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</si>
  <si>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</si>
  <si>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</si>
  <si>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</si>
  <si>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</si>
  <si>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</si>
  <si>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</si>
  <si>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</si>
  <si>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</si>
  <si>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</si>
  <si>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</si>
  <si>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</si>
  <si>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</si>
  <si>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</si>
  <si>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</si>
  <si>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</si>
  <si>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</si>
  <si>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</si>
  <si>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</si>
  <si>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</si>
  <si>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</si>
  <si>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</si>
  <si>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</si>
  <si>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</si>
  <si>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</si>
  <si>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</si>
  <si>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</si>
  <si>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</si>
  <si>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</si>
  <si>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</si>
  <si>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</si>
  <si>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</si>
  <si>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</si>
  <si>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</si>
  <si>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</si>
  <si>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</si>
  <si>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</si>
  <si>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</si>
  <si>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</si>
  <si>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</si>
  <si>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</si>
  <si>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</si>
  <si>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</si>
  <si>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</si>
  <si>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</si>
  <si>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</si>
  <si>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</si>
  <si>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</si>
  <si>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</si>
  <si>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</si>
  <si>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</si>
  <si>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</si>
  <si>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</si>
  <si>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</si>
  <si>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</si>
  <si>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</si>
  <si>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</si>
  <si>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</si>
  <si>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</si>
  <si>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</si>
  <si>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</si>
  <si>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</si>
  <si>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</si>
  <si>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</si>
  <si>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</si>
  <si>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</si>
  <si>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</si>
  <si>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</si>
  <si>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</si>
  <si>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</si>
  <si>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</si>
  <si>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</si>
  <si>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</si>
  <si>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</si>
  <si>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</si>
  <si>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</si>
  <si>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</si>
  <si>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</si>
  <si>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</si>
  <si>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</si>
  <si>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</si>
  <si>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</si>
  <si>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</si>
  <si>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</si>
  <si>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</si>
  <si>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</si>
  <si>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</si>
  <si>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</si>
  <si>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</si>
  <si>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</si>
  <si>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</si>
  <si>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</si>
  <si>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</si>
  <si>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</si>
  <si>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</si>
  <si>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</si>
  <si>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</si>
  <si>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</si>
  <si>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</si>
  <si>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</si>
  <si>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</si>
  <si>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</si>
  <si>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</si>
  <si>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</si>
  <si>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</si>
  <si>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</si>
  <si>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</si>
  <si>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</si>
  <si>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</si>
  <si>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</si>
  <si>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</si>
  <si>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</si>
  <si>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</si>
  <si>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</si>
  <si>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</si>
  <si>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</si>
  <si>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</si>
  <si>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</si>
  <si>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</si>
  <si>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</si>
  <si>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</si>
  <si>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</si>
  <si>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</si>
  <si>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</si>
  <si>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</si>
  <si>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</si>
  <si>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</si>
  <si>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</si>
  <si>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</si>
  <si>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</si>
  <si>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</si>
  <si>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</si>
  <si>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</si>
  <si>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</si>
  <si>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</si>
  <si>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</si>
  <si>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</si>
  <si>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</si>
  <si>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</si>
  <si>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</si>
  <si>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</si>
  <si>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</si>
  <si>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</si>
  <si>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</si>
  <si>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</si>
  <si>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</si>
  <si>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</si>
  <si>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</si>
  <si>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</si>
  <si>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</si>
  <si>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</si>
  <si>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</si>
  <si>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</si>
  <si>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</si>
  <si>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</si>
  <si>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</si>
  <si>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</si>
  <si>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</si>
  <si>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</si>
  <si>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</si>
  <si>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</si>
  <si>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</si>
  <si>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</si>
  <si>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</si>
  <si>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</si>
  <si>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</si>
  <si>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</si>
  <si>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</si>
  <si>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</si>
  <si>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</si>
  <si>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</si>
  <si>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</si>
  <si>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</si>
  <si>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</si>
  <si>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</si>
  <si>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</si>
  <si>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</si>
  <si>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</si>
  <si>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</si>
  <si>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</si>
  <si>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</si>
  <si>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</si>
  <si>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</si>
  <si>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</si>
  <si>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</si>
  <si>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</si>
  <si>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</si>
  <si>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</si>
  <si>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</si>
  <si>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</si>
  <si>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</si>
  <si>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</si>
  <si>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</si>
  <si>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</si>
  <si>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</si>
  <si>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</si>
  <si>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</si>
  <si>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</si>
  <si>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</si>
  <si>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</si>
  <si>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</si>
  <si>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</si>
  <si>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</si>
  <si>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</si>
  <si>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</si>
  <si>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</si>
  <si>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</si>
  <si>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</si>
  <si>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</si>
  <si>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</si>
  <si>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</si>
  <si>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</si>
  <si>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</si>
  <si>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</si>
  <si>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</si>
  <si>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</si>
  <si>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</si>
  <si>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</si>
  <si>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</si>
  <si>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</si>
  <si>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</si>
  <si>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</si>
  <si>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</si>
  <si>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</si>
  <si>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</si>
  <si>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</si>
  <si>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</si>
  <si>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</si>
  <si>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</si>
  <si>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</si>
  <si>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</si>
  <si>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</si>
  <si>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</si>
  <si>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</si>
  <si>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</si>
  <si>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</si>
  <si>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</si>
  <si>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</si>
  <si>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</si>
  <si>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</si>
  <si>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</si>
  <si>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</si>
  <si>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</si>
  <si>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</si>
  <si>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</si>
  <si>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</si>
  <si>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</si>
  <si>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</si>
  <si>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</si>
  <si>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</si>
  <si>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</si>
  <si>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</si>
  <si>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</si>
  <si>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</si>
  <si>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</si>
  <si>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</si>
  <si>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</si>
  <si>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</si>
  <si>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</si>
  <si>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</si>
  <si>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</si>
  <si>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</si>
  <si>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</si>
  <si>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</si>
  <si>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</si>
  <si>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</si>
  <si>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</si>
  <si>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</si>
  <si>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</si>
  <si>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</si>
  <si>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</si>
  <si>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</si>
  <si>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</si>
  <si>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</si>
  <si>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</si>
  <si>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</si>
  <si>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</si>
  <si>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</si>
  <si>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</si>
  <si>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</si>
  <si>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</si>
  <si>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</si>
  <si>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</si>
  <si>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</si>
  <si>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</si>
  <si>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</si>
  <si>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</si>
  <si>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</si>
  <si>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</si>
  <si>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</si>
  <si>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</si>
  <si>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</si>
  <si>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</si>
  <si>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</si>
  <si>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</si>
  <si>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</si>
  <si>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</si>
  <si>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</si>
  <si>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</si>
  <si>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</si>
  <si>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</si>
  <si>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</si>
  <si>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</si>
  <si>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</si>
  <si>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</si>
  <si>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</si>
  <si>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</si>
  <si>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</si>
  <si>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</si>
  <si>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</si>
  <si>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</si>
  <si>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</si>
  <si>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</si>
  <si>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</si>
  <si>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</si>
  <si>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</si>
  <si>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</si>
  <si>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</si>
  <si>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</si>
  <si>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</si>
  <si>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</si>
  <si>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</si>
  <si>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</si>
  <si>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</si>
  <si>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</si>
  <si>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</si>
  <si>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</si>
  <si>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</si>
  <si>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</si>
  <si>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</si>
  <si>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</si>
  <si>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</si>
  <si>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</si>
  <si>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</si>
  <si>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</si>
  <si>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</si>
  <si>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</si>
  <si>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</si>
  <si>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</si>
  <si>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</si>
  <si>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</si>
  <si>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</si>
  <si>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</si>
  <si>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</si>
  <si>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</si>
  <si>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</si>
  <si>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</si>
  <si>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</si>
  <si>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</si>
  <si>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</si>
  <si>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</si>
  <si>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</si>
  <si>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</si>
  <si>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</si>
  <si>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</si>
  <si>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</si>
  <si>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</si>
  <si>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</si>
  <si>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</si>
  <si>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</si>
  <si>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</si>
  <si>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</si>
  <si>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</si>
  <si>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</si>
  <si>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</si>
  <si>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</si>
  <si>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</si>
  <si>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</si>
  <si>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</si>
  <si>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</si>
  <si>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</si>
  <si>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</si>
  <si>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</si>
  <si>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</si>
  <si>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</si>
  <si>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</si>
  <si>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</si>
  <si>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</si>
  <si>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</si>
  <si>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</si>
  <si>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</si>
  <si>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</si>
  <si>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</si>
  <si>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</si>
  <si>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</si>
  <si>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</si>
  <si>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</si>
  <si>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</si>
  <si>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</si>
  <si>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</si>
  <si>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</si>
  <si>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</si>
  <si>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</si>
  <si>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</si>
  <si>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</si>
  <si>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</si>
  <si>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</si>
  <si>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</si>
  <si>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</si>
  <si>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</si>
  <si>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</si>
  <si>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</si>
  <si>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</si>
  <si>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</si>
  <si>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</si>
  <si>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</si>
  <si>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</si>
  <si>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</si>
  <si>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</si>
  <si>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</si>
  <si>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</si>
  <si>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</si>
  <si>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</si>
  <si>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</si>
  <si>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</si>
  <si>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</si>
  <si>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</si>
  <si>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</si>
  <si>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</si>
  <si>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</si>
  <si>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</si>
  <si>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</si>
  <si>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</si>
  <si>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</si>
  <si>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</si>
  <si>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</si>
  <si>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</si>
  <si>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</si>
  <si>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</si>
  <si>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</si>
  <si>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</si>
  <si>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</si>
  <si>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</si>
  <si>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</si>
  <si>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</si>
  <si>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</si>
  <si>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</si>
  <si>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</si>
  <si>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</si>
  <si>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</si>
  <si>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</si>
  <si>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</si>
  <si>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</si>
  <si>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</si>
  <si>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</si>
  <si>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</si>
  <si>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</si>
  <si>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</si>
  <si>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</si>
  <si>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</si>
  <si>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</si>
  <si>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</si>
  <si>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</si>
  <si>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</si>
  <si>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</si>
  <si>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</si>
  <si>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</si>
  <si>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</si>
  <si>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</si>
  <si>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</si>
  <si>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</si>
  <si>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</si>
  <si>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</si>
  <si>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</si>
  <si>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</si>
  <si>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</si>
  <si>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</si>
  <si>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</si>
  <si>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</si>
  <si>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</si>
  <si>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</si>
  <si>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</si>
  <si>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</si>
  <si>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</si>
  <si>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</si>
  <si>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</si>
  <si>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</si>
  <si>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</si>
  <si>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</si>
  <si>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</si>
  <si>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</si>
  <si>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</si>
  <si>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</si>
  <si>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</si>
  <si>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</si>
  <si>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</si>
  <si>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</si>
  <si>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</si>
  <si>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</si>
  <si>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</si>
  <si>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</si>
  <si>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</si>
  <si>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</si>
  <si>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</si>
  <si>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</si>
  <si>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</si>
  <si>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</si>
  <si>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</si>
  <si>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</si>
  <si>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</si>
  <si>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</si>
  <si>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</si>
  <si>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</si>
  <si>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</si>
  <si>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</si>
  <si>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</si>
  <si>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</si>
  <si>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</si>
  <si>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</si>
  <si>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</si>
  <si>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</si>
  <si>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</si>
  <si>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</si>
  <si>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</si>
  <si>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</si>
  <si>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</si>
  <si>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</si>
  <si>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</si>
  <si>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</si>
  <si>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</si>
  <si>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</si>
  <si>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</si>
  <si>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</si>
  <si>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</si>
  <si>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</si>
  <si>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</si>
  <si>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</si>
  <si>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</si>
  <si>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</si>
  <si>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</si>
  <si>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</si>
  <si>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</si>
  <si>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</si>
  <si>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</si>
  <si>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</si>
  <si>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</si>
  <si>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</si>
  <si>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</si>
  <si>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</si>
  <si>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</si>
  <si>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</si>
  <si>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</si>
  <si>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</si>
  <si>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</si>
  <si>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</si>
  <si>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</si>
  <si>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</si>
  <si>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</si>
  <si>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</si>
  <si>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</si>
  <si>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</si>
  <si>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</si>
  <si>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</si>
  <si>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</si>
  <si>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</si>
  <si>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</si>
  <si>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</si>
  <si>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</si>
  <si>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</si>
  <si>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</si>
  <si>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</si>
  <si>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</si>
  <si>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</si>
  <si>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</si>
  <si>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</si>
  <si>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</si>
  <si>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</si>
  <si>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</si>
  <si>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</si>
  <si>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</si>
  <si>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</si>
  <si>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</si>
  <si>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</si>
  <si>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</si>
  <si>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</si>
  <si>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</si>
  <si>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</si>
  <si>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</si>
  <si>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</si>
  <si>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</si>
  <si>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</si>
  <si>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</si>
  <si>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</si>
  <si>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</si>
  <si>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</si>
  <si>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</si>
  <si>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</si>
  <si>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</si>
  <si>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</si>
  <si>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</si>
  <si>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</si>
  <si>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</si>
  <si>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</si>
  <si>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</si>
  <si>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</si>
  <si>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</si>
  <si>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</si>
  <si>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</si>
  <si>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</si>
  <si>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</si>
  <si>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</si>
  <si>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</si>
  <si>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</si>
  <si>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</si>
  <si>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</si>
  <si>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</si>
  <si>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</si>
  <si>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</si>
  <si>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</si>
  <si>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</si>
  <si>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</si>
  <si>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</si>
  <si>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</si>
  <si>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</si>
  <si>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</si>
  <si>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</si>
  <si>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</si>
  <si>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</si>
  <si>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</si>
  <si>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</si>
  <si>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</si>
  <si>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</si>
  <si>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</si>
  <si>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</si>
  <si>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</si>
  <si>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</si>
  <si>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</si>
  <si>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</si>
  <si>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</si>
  <si>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</si>
  <si>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</si>
  <si>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</si>
  <si>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</si>
  <si>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</si>
  <si>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</si>
  <si>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</si>
  <si>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</si>
  <si>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</si>
  <si>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</si>
  <si>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</si>
  <si>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</si>
  <si>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</si>
  <si>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</si>
  <si>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</si>
  <si>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</si>
  <si>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</si>
  <si>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</si>
  <si>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</si>
  <si>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</si>
  <si>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</si>
  <si>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</si>
  <si>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</si>
  <si>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</si>
  <si>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</si>
  <si>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</si>
  <si>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</si>
  <si>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</si>
  <si>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</si>
  <si>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</si>
  <si>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</si>
  <si>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</si>
  <si>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</si>
  <si>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</si>
  <si>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</si>
  <si>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</si>
  <si>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</si>
  <si>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</si>
  <si>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</si>
  <si>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</si>
  <si>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</si>
  <si>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</si>
  <si>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</si>
  <si>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</si>
  <si>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</si>
  <si>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</si>
  <si>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</si>
  <si>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</si>
  <si>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</si>
  <si>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</si>
  <si>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</si>
  <si>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</si>
  <si>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</si>
  <si>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</si>
  <si>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</si>
  <si>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</si>
  <si>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</si>
  <si>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</si>
  <si>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</si>
  <si>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</si>
  <si>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</si>
  <si>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</si>
  <si>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</si>
  <si>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</si>
  <si>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</si>
  <si>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</si>
  <si>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</si>
  <si>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</si>
  <si>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</si>
  <si>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</si>
  <si>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</si>
  <si>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</si>
  <si>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</si>
  <si>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</si>
  <si>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</si>
  <si>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</si>
  <si>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</si>
  <si>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</si>
  <si>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</si>
  <si>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</si>
  <si>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</si>
  <si>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</si>
  <si>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</si>
  <si>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</si>
  <si>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</si>
  <si>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</si>
  <si>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</si>
  <si>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</si>
  <si>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</si>
  <si>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</si>
  <si>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</si>
  <si>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</si>
  <si>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</si>
  <si>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</si>
  <si>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</si>
  <si>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</si>
  <si>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</si>
  <si>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</si>
  <si>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</si>
  <si>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</si>
  <si>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</si>
  <si>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</si>
  <si>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</si>
  <si>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</si>
  <si>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</si>
  <si>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</si>
  <si>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</si>
  <si>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</si>
  <si>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</si>
  <si>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</si>
  <si>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</si>
  <si>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</si>
  <si>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</si>
  <si>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</si>
  <si>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</si>
  <si>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</si>
  <si>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</si>
  <si>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</si>
  <si>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</si>
  <si>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</si>
  <si>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</si>
  <si>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</si>
  <si>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</si>
  <si>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</si>
  <si>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</si>
  <si>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</si>
  <si>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</si>
  <si>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</si>
  <si>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</si>
  <si>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</si>
  <si>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</si>
  <si>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</si>
  <si>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</si>
  <si>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</si>
  <si>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</si>
  <si>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</si>
  <si>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</si>
  <si>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</si>
  <si>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</si>
  <si>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</si>
  <si>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</si>
  <si>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</si>
  <si>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</si>
  <si>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</si>
  <si>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</si>
  <si>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</si>
  <si>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</si>
  <si>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</si>
  <si>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</si>
  <si>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</si>
  <si>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</si>
  <si>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</si>
  <si>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</si>
  <si>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</si>
  <si>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</si>
  <si>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</si>
  <si>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</si>
  <si>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</si>
  <si>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</si>
  <si>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</si>
  <si>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</si>
  <si>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</si>
  <si>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</si>
  <si>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</si>
  <si>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</si>
  <si>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</si>
  <si>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</si>
  <si>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</si>
  <si>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</si>
  <si>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</si>
  <si>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</si>
  <si>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</si>
  <si>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</si>
  <si>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</si>
  <si>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</si>
  <si>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</si>
  <si>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</si>
  <si>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</si>
  <si>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</si>
  <si>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</si>
  <si>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</si>
  <si>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</si>
  <si>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</si>
  <si>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</si>
  <si>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</si>
  <si>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</si>
  <si>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</si>
  <si>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</si>
  <si>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</si>
  <si>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</si>
  <si>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</si>
  <si>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</si>
  <si>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</si>
  <si>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</si>
  <si>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</si>
  <si>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</si>
  <si>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</si>
  <si>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</si>
  <si>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</si>
  <si>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</si>
  <si>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</si>
  <si>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</si>
  <si>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</si>
  <si>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</si>
  <si>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</si>
  <si>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</si>
  <si>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</si>
  <si>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</si>
  <si>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</si>
  <si>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</si>
  <si>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</si>
  <si>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</si>
  <si>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</si>
  <si>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</si>
  <si>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</si>
  <si>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</si>
  <si>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</si>
  <si>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</si>
  <si>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</si>
  <si>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</si>
  <si>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</si>
  <si>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</si>
  <si>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</si>
  <si>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</si>
  <si>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</si>
  <si>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</si>
  <si>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</si>
  <si>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</si>
  <si>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</si>
  <si>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</si>
  <si>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</si>
  <si>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</si>
  <si>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</si>
  <si>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</si>
  <si>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</si>
  <si>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</si>
  <si>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</si>
  <si>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</si>
  <si>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</si>
  <si>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</si>
  <si>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</si>
  <si>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</si>
  <si>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</si>
  <si>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</si>
  <si>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</si>
  <si>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</si>
  <si>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</si>
  <si>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</si>
  <si>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</si>
  <si>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</si>
  <si>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</si>
  <si>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</si>
  <si>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</si>
  <si>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</si>
  <si>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</si>
  <si>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</si>
  <si>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</si>
  <si>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</si>
  <si>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</si>
  <si>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</si>
  <si>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</si>
  <si>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</si>
  <si>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</si>
  <si>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</si>
  <si>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</si>
  <si>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</si>
  <si>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</si>
  <si>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</si>
  <si>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</si>
  <si>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</si>
  <si>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</si>
  <si>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</si>
  <si>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</si>
  <si>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</si>
  <si>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</si>
  <si>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</si>
  <si>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</si>
  <si>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</si>
  <si>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</si>
  <si>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</si>
  <si>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</si>
  <si>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</si>
  <si>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</si>
  <si>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</si>
  <si>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</si>
  <si>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</si>
  <si>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</si>
  <si>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</si>
  <si>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</si>
  <si>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</si>
  <si>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</si>
  <si>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</si>
  <si>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</si>
  <si>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</si>
  <si>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</si>
  <si>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</si>
  <si>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</si>
  <si>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</si>
  <si>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</si>
  <si>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</si>
  <si>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</si>
  <si>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</si>
  <si>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</si>
  <si>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</si>
  <si>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</si>
  <si>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</si>
  <si>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</si>
  <si>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</si>
  <si>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</si>
  <si>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</si>
  <si>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</si>
  <si>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</si>
  <si>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</si>
  <si>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</si>
  <si>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</si>
  <si>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</si>
  <si>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</si>
  <si>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</si>
  <si>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</si>
  <si>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</si>
  <si>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</si>
  <si>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</si>
  <si>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</si>
  <si>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</si>
  <si>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</si>
  <si>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</si>
  <si>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</si>
  <si>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</si>
  <si>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</si>
  <si>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</si>
  <si>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</si>
  <si>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</si>
  <si>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</si>
  <si>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</si>
  <si>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</si>
  <si>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</si>
  <si>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</si>
  <si>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</si>
  <si>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</si>
  <si>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</si>
  <si>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</si>
  <si>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</si>
  <si>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</si>
  <si>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</si>
  <si>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</si>
  <si>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</si>
  <si>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</si>
  <si>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</si>
  <si>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</si>
  <si>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</si>
  <si>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</si>
  <si>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</si>
  <si>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</si>
  <si>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</si>
  <si>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</si>
  <si>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</si>
  <si>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</si>
  <si>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</si>
  <si>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</si>
  <si>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</si>
  <si>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</si>
  <si>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</si>
  <si>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</si>
  <si>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</si>
  <si>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</si>
  <si>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</si>
  <si>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</si>
  <si>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</si>
  <si>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</si>
  <si>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</si>
  <si>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</si>
  <si>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</si>
  <si>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</si>
  <si>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</si>
  <si>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</si>
  <si>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</si>
  <si>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</si>
  <si>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</si>
  <si>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</si>
  <si>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</si>
  <si>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</si>
  <si>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</si>
  <si>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</si>
  <si>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</si>
  <si>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</si>
  <si>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</si>
  <si>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</si>
  <si>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</si>
  <si>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</si>
  <si>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</si>
  <si>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</si>
  <si>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</si>
  <si>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</si>
  <si>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</si>
  <si>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</si>
  <si>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</si>
  <si>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</si>
  <si>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</si>
  <si>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</si>
  <si>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</si>
  <si>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</si>
  <si>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</si>
  <si>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</si>
  <si>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</si>
  <si>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</si>
  <si>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</si>
  <si>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</si>
  <si>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</si>
  <si>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</si>
  <si>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</si>
  <si>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</si>
  <si>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</si>
  <si>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</si>
  <si>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</si>
  <si>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</si>
  <si>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</si>
  <si>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</si>
  <si>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</si>
  <si>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</si>
  <si>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</si>
  <si>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</si>
  <si>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</si>
  <si>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</si>
  <si>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</si>
  <si>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</si>
  <si>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</si>
  <si>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</si>
  <si>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</si>
  <si>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</si>
  <si>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</si>
  <si>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</si>
  <si>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</si>
  <si>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</si>
  <si>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</si>
  <si>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</si>
  <si>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</si>
  <si>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</si>
  <si>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</si>
  <si>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</si>
  <si>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</si>
  <si>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</si>
  <si>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</si>
  <si>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</si>
  <si>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</si>
  <si>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</si>
  <si>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</si>
  <si>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</si>
  <si>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</si>
  <si>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</si>
  <si>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</si>
  <si>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</si>
  <si>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</si>
  <si>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</si>
  <si>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</si>
  <si>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</si>
  <si>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</si>
  <si>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</si>
  <si>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</si>
  <si>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</si>
  <si>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</si>
  <si>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</si>
  <si>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</si>
  <si>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</si>
  <si>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</si>
  <si>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</si>
  <si>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</si>
  <si>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</si>
  <si>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</si>
  <si>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</si>
  <si>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</si>
  <si>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</si>
  <si>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</si>
  <si>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</si>
  <si>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</si>
  <si>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</si>
  <si>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</si>
  <si>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</si>
  <si>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</si>
  <si>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</si>
  <si>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</si>
  <si>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</si>
  <si>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</si>
  <si>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</si>
  <si>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</si>
  <si>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</si>
  <si>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</si>
  <si>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</si>
  <si>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</si>
  <si>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</si>
  <si>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</si>
  <si>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</si>
  <si>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</si>
  <si>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</si>
  <si>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</si>
  <si>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</si>
  <si>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</si>
  <si>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</si>
  <si>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</si>
  <si>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</si>
  <si>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</si>
  <si>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</si>
  <si>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</si>
  <si>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</si>
  <si>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</si>
  <si>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</si>
  <si>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</si>
  <si>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</si>
  <si>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</si>
  <si>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</si>
  <si>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</si>
  <si>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</si>
  <si>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</si>
  <si>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</si>
  <si>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</si>
  <si>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</si>
  <si>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</si>
  <si>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</si>
  <si>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</si>
  <si>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</si>
  <si>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</si>
  <si>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</si>
  <si>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</si>
  <si>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</si>
  <si>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</si>
  <si>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</si>
  <si>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</si>
  <si>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</si>
  <si>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</si>
  <si>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</si>
  <si>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</si>
  <si>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</si>
  <si>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</si>
  <si>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</si>
  <si>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</si>
  <si>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</si>
  <si>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</si>
  <si>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</si>
  <si>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</si>
  <si>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</si>
  <si>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</si>
  <si>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</si>
  <si>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</si>
  <si>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</si>
  <si>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</si>
  <si>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</si>
  <si>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</si>
  <si>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</si>
  <si>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</si>
  <si>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</si>
  <si>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</si>
  <si>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</si>
  <si>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</si>
  <si>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</si>
  <si>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</si>
  <si>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</si>
  <si>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</si>
  <si>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</si>
  <si>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</si>
  <si>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</si>
  <si>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</si>
  <si>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</si>
  <si>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</si>
  <si>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</si>
  <si>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</si>
  <si>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</si>
  <si>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</si>
  <si>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</si>
  <si>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</si>
  <si>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</si>
  <si>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</si>
  <si>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</si>
  <si>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</si>
  <si>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</si>
  <si>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</si>
  <si>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</si>
  <si>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</si>
  <si>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</si>
  <si>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</si>
  <si>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</si>
  <si>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</si>
  <si>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</si>
  <si>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</si>
  <si>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</si>
  <si>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</si>
  <si>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</si>
  <si>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</si>
  <si>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</si>
  <si>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</si>
  <si>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</si>
  <si>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</si>
  <si>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</si>
  <si>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</si>
  <si>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</si>
  <si>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</si>
  <si>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</si>
  <si>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</si>
  <si>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</si>
  <si>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</si>
  <si>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</si>
  <si>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</si>
  <si>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</si>
  <si>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</si>
  <si>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</si>
  <si>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</si>
  <si>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</si>
  <si>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</si>
  <si>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</si>
  <si>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</si>
  <si>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</si>
  <si>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</si>
  <si>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</si>
  <si>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</si>
  <si>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</si>
  <si>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</si>
  <si>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</si>
  <si>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</si>
  <si>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</si>
  <si>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</si>
  <si>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</si>
  <si>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</si>
  <si>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</si>
  <si>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</si>
  <si>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</si>
  <si>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</si>
  <si>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</si>
  <si>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</si>
  <si>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</si>
  <si>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</si>
  <si>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</si>
  <si>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</si>
  <si>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</si>
  <si>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</si>
  <si>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</si>
  <si>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</si>
  <si>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</si>
  <si>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</si>
  <si>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</si>
  <si>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</si>
  <si>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</si>
  <si>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</si>
  <si>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</si>
  <si>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</si>
  <si>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</si>
  <si>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</si>
  <si>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</si>
  <si>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</si>
  <si>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</si>
  <si>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</si>
  <si>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</si>
  <si>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</si>
  <si>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</si>
  <si>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</si>
  <si>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</si>
  <si>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</si>
  <si>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</si>
  <si>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</si>
  <si>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</si>
  <si>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</si>
  <si>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</si>
  <si>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</si>
  <si>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</si>
  <si>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</si>
  <si>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</si>
  <si>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</si>
  <si>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</si>
  <si>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</si>
  <si>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</si>
  <si>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</si>
  <si>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</si>
  <si>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</si>
  <si>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</si>
  <si>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</si>
  <si>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</si>
  <si>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</si>
  <si>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</si>
  <si>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</si>
  <si>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</si>
  <si>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</si>
  <si>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</si>
  <si>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</si>
  <si>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</si>
  <si>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</si>
  <si>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</si>
  <si>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</si>
  <si>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</si>
  <si>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</si>
  <si>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</si>
  <si>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</si>
  <si>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</si>
  <si>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</si>
  <si>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</si>
  <si>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</si>
  <si>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</si>
  <si>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</si>
  <si>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</si>
  <si>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</si>
  <si>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</si>
  <si>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</si>
  <si>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</si>
  <si>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</si>
  <si>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</si>
  <si>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</si>
  <si>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</si>
  <si>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</si>
  <si>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</si>
  <si>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</si>
  <si>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</si>
  <si>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</si>
  <si>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</si>
  <si>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</si>
  <si>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</si>
  <si>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</si>
  <si>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</si>
  <si>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</si>
  <si>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</si>
  <si>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</si>
  <si>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</si>
  <si>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</si>
  <si>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</si>
  <si>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</si>
  <si>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</si>
  <si>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</si>
  <si>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</si>
  <si>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</si>
  <si>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</si>
  <si>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</si>
  <si>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</si>
  <si>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</si>
  <si>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</si>
  <si>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</si>
  <si>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</si>
  <si>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</si>
  <si>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</si>
  <si>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</si>
  <si>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</si>
  <si>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</si>
  <si>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</si>
  <si>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</si>
  <si>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</si>
  <si>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</si>
  <si>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</si>
  <si>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</si>
  <si>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</si>
  <si>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</si>
  <si>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</si>
  <si>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</si>
  <si>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</si>
  <si>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</si>
  <si>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</si>
  <si>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</si>
  <si>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</si>
  <si>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</si>
  <si>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</si>
  <si>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</si>
  <si>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</si>
  <si>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</si>
  <si>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</si>
  <si>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</si>
  <si>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</si>
  <si>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</si>
  <si>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</si>
  <si>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</si>
  <si>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</si>
  <si>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</si>
  <si>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</si>
  <si>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</si>
  <si>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</si>
  <si>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</si>
  <si>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</si>
  <si>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</si>
  <si>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</si>
  <si>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</si>
  <si>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</si>
  <si>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</si>
  <si>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</si>
  <si>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</si>
  <si>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</si>
  <si>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</si>
  <si>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</si>
  <si>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</si>
  <si>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</si>
  <si>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</si>
  <si>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</si>
  <si>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</si>
  <si>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</si>
  <si>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</si>
  <si>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</si>
  <si>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</si>
  <si>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</si>
  <si>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</si>
  <si>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</si>
  <si>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</si>
  <si>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</si>
  <si>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</si>
  <si>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</si>
  <si>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</si>
  <si>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</si>
  <si>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</si>
  <si>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</si>
  <si>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</si>
  <si>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</si>
  <si>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</si>
  <si>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</si>
  <si>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</si>
  <si>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</si>
  <si>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</si>
  <si>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</si>
  <si>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</si>
  <si>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</si>
  <si>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</si>
  <si>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</si>
  <si>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</si>
  <si>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</si>
  <si>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</si>
  <si>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</si>
  <si>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</si>
  <si>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</si>
  <si>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</si>
  <si>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</si>
  <si>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</si>
  <si>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</si>
  <si>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</si>
  <si>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</si>
  <si>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</si>
  <si>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</si>
  <si>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</si>
  <si>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</si>
  <si>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</si>
  <si>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</si>
  <si>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</si>
  <si>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</si>
  <si>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</si>
  <si>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</si>
  <si>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</si>
  <si>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</si>
  <si>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</si>
  <si>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</si>
  <si>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</si>
  <si>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</si>
  <si>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</si>
  <si>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</si>
  <si>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</si>
  <si>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</si>
  <si>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</si>
  <si>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</si>
  <si>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</si>
  <si>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</si>
  <si>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</si>
  <si>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</si>
  <si>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</si>
  <si>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</si>
  <si>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</si>
  <si>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</si>
  <si>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</si>
  <si>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</si>
  <si>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</si>
  <si>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</si>
  <si>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</si>
  <si>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</si>
  <si>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</si>
  <si>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</si>
  <si>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</si>
  <si>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</si>
  <si>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</si>
  <si>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</si>
  <si>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</si>
  <si>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</si>
  <si>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</si>
  <si>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</si>
  <si>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</si>
  <si>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</si>
  <si>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</si>
  <si>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</si>
  <si>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</si>
  <si>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</si>
  <si>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</si>
  <si>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</si>
  <si>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</si>
  <si>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</si>
  <si>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</si>
  <si>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</si>
  <si>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</si>
  <si>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</si>
  <si>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</si>
  <si>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</si>
  <si>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</si>
  <si>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</si>
  <si>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</si>
  <si>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</si>
  <si>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</si>
  <si>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</si>
  <si>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</si>
  <si>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</si>
  <si>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</si>
  <si>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</si>
  <si>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</si>
  <si>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</si>
  <si>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</si>
  <si>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</si>
  <si>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</si>
  <si>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</si>
  <si>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</si>
  <si>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</si>
  <si>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</si>
  <si>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</si>
  <si>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</si>
  <si>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</si>
  <si>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</si>
  <si>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</si>
  <si>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</si>
  <si>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</si>
  <si>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</si>
  <si>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</si>
  <si>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</si>
  <si>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</si>
  <si>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</si>
  <si>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</si>
  <si>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</si>
  <si>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</si>
  <si>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</si>
  <si>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</si>
  <si>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</si>
  <si>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</si>
  <si>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</si>
  <si>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</si>
  <si>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</si>
  <si>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</si>
  <si>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</si>
  <si>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</si>
  <si>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</si>
  <si>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</si>
  <si>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</si>
  <si>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</si>
  <si>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</si>
  <si>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</si>
  <si>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</si>
  <si>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</si>
  <si>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</si>
  <si>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</si>
  <si>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</si>
  <si>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</si>
  <si>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</si>
  <si>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</si>
  <si>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</si>
  <si>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</si>
  <si>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</si>
  <si>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</si>
  <si>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</si>
  <si>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</si>
  <si>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</si>
  <si>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</si>
  <si>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</si>
  <si>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</si>
  <si>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</si>
  <si>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</si>
  <si>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</si>
  <si>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</si>
  <si>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</si>
  <si>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</si>
  <si>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</si>
  <si>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</si>
  <si>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</si>
  <si>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</si>
  <si>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</si>
  <si>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</si>
  <si>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</si>
  <si>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</si>
  <si>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</si>
  <si>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</si>
  <si>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</si>
  <si>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</si>
  <si>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</si>
  <si>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</si>
  <si>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</si>
  <si>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</si>
  <si>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</si>
  <si>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</si>
  <si>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</si>
  <si>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</si>
  <si>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</si>
  <si>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</si>
  <si>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</si>
  <si>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</si>
  <si>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</si>
  <si>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</si>
  <si>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</si>
  <si>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</si>
  <si>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</si>
  <si>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</si>
  <si>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</si>
  <si>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</si>
  <si>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</si>
  <si>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</si>
  <si>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</si>
  <si>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</si>
  <si>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</si>
  <si>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</si>
  <si>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</si>
  <si>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</si>
  <si>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</si>
  <si>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</si>
  <si>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</si>
  <si>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</si>
  <si>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</si>
  <si>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</si>
  <si>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</si>
  <si>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</si>
  <si>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</si>
  <si>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</si>
  <si>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</si>
  <si>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</si>
  <si>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</si>
  <si>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</si>
  <si>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</si>
  <si>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</si>
  <si>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</si>
  <si>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</si>
  <si>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</si>
  <si>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</si>
  <si>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</si>
  <si>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</si>
  <si>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</si>
  <si>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</si>
  <si>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</si>
  <si>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</si>
  <si>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</si>
  <si>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</si>
  <si>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</si>
  <si>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</si>
  <si>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</si>
  <si>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</si>
  <si>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</si>
  <si>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</si>
  <si>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</si>
  <si>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</si>
  <si>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</si>
  <si>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</si>
  <si>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</si>
  <si>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</si>
  <si>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</si>
  <si>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</si>
  <si>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</si>
  <si>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</si>
  <si>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</si>
  <si>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</si>
  <si>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</si>
  <si>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</si>
  <si>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</si>
  <si>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</si>
  <si>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</si>
  <si>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</si>
  <si>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</si>
  <si>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</si>
  <si>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</si>
  <si>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</si>
  <si>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</si>
  <si>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</si>
  <si>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</si>
  <si>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</si>
  <si>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</si>
  <si>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</si>
  <si>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</si>
  <si>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</si>
  <si>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</si>
  <si>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</si>
  <si>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</si>
  <si>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</si>
  <si>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</si>
  <si>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</si>
  <si>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</si>
  <si>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</si>
  <si>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</si>
  <si>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</si>
  <si>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</si>
  <si>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</si>
  <si>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</si>
  <si>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</si>
  <si>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</si>
  <si>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</si>
  <si>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</si>
  <si>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</si>
  <si>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</si>
  <si>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</si>
  <si>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</si>
  <si>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</si>
  <si>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</si>
  <si>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</si>
  <si>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</si>
  <si>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</si>
  <si>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</si>
  <si>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</si>
  <si>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</si>
  <si>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</si>
  <si>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</si>
  <si>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</si>
  <si>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</si>
  <si>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</si>
  <si>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</si>
  <si>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</si>
  <si>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</si>
  <si>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</si>
  <si>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</si>
  <si>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</si>
  <si>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</si>
  <si>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</si>
  <si>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</si>
  <si>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</si>
  <si>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</si>
  <si>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</si>
  <si>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</si>
  <si>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</si>
  <si>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</si>
  <si>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</si>
  <si>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</si>
  <si>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</si>
  <si>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</si>
  <si>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</si>
  <si>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</si>
  <si>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</si>
  <si>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</si>
  <si>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</si>
  <si>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</si>
  <si>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</si>
  <si>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</si>
  <si>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</si>
  <si>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</si>
  <si>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</si>
  <si>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</si>
  <si>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</si>
  <si>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</si>
  <si>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</si>
  <si>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</si>
  <si>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</si>
  <si>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</si>
  <si>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</si>
  <si>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</si>
  <si>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</si>
  <si>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</si>
  <si>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</si>
  <si>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</si>
  <si>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</si>
  <si>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</si>
  <si>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</si>
  <si>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</si>
  <si>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</si>
  <si>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</si>
  <si>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</si>
  <si>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</si>
  <si>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</si>
  <si>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</si>
  <si>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</si>
  <si>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</si>
  <si>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</si>
  <si>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</si>
  <si>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</si>
  <si>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</si>
  <si>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</si>
  <si>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</si>
  <si>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</si>
  <si>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</si>
  <si>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</si>
  <si>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</si>
  <si>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</si>
  <si>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</si>
  <si>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</si>
  <si>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</si>
  <si>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</si>
  <si>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</si>
  <si>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</si>
  <si>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</si>
  <si>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</si>
  <si>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</si>
  <si>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</si>
  <si>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</si>
  <si>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</si>
  <si>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</si>
  <si>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</si>
  <si>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</si>
  <si>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</si>
  <si>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</si>
  <si>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</si>
  <si>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</si>
  <si>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</si>
  <si>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</si>
  <si>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</si>
  <si>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</si>
  <si>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</si>
  <si>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</si>
  <si>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</si>
  <si>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</si>
  <si>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</si>
  <si>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</si>
  <si>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</si>
  <si>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</si>
  <si>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</si>
  <si>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</si>
  <si>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</si>
  <si>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</si>
  <si>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</si>
  <si>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</si>
  <si>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</si>
  <si>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</si>
  <si>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</si>
  <si>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</si>
  <si>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</si>
  <si>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</si>
  <si>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</si>
  <si>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</si>
  <si>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</si>
  <si>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</si>
  <si>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</si>
  <si>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</si>
  <si>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</si>
  <si>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</si>
  <si>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</si>
  <si>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</si>
  <si>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</si>
  <si>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</si>
  <si>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</si>
  <si>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</si>
  <si>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</si>
  <si>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</si>
  <si>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</si>
  <si>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</si>
  <si>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</si>
  <si>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</si>
  <si>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</si>
  <si>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</si>
  <si>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</si>
  <si>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</si>
  <si>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</si>
  <si>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</si>
  <si>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</si>
  <si>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</si>
  <si>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</si>
  <si>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</si>
  <si>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</si>
  <si>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</si>
  <si>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</si>
  <si>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</si>
  <si>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</si>
  <si>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</si>
  <si>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</si>
  <si>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</si>
  <si>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</si>
  <si>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</si>
  <si>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</si>
  <si>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</si>
  <si>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</si>
  <si>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</si>
  <si>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</si>
  <si>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</si>
  <si>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</si>
  <si>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</si>
  <si>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</si>
  <si>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</si>
  <si>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</si>
  <si>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</si>
  <si>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</si>
  <si>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</si>
  <si>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</si>
  <si>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</si>
  <si>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</si>
  <si>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</si>
  <si>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</si>
  <si>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</si>
  <si>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</si>
  <si>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</si>
  <si>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</si>
  <si>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</si>
  <si>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</si>
  <si>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</si>
  <si>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</si>
  <si>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</si>
  <si>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</si>
  <si>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</si>
  <si>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</si>
  <si>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</si>
  <si>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</si>
  <si>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</si>
  <si>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</si>
  <si>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</si>
  <si>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</si>
  <si>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</si>
  <si>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</si>
  <si>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</si>
  <si>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</si>
  <si>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</si>
  <si>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</si>
  <si>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</si>
  <si>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</si>
  <si>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</si>
  <si>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</si>
  <si>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</si>
  <si>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</si>
  <si>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</si>
  <si>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</si>
  <si>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</si>
  <si>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</si>
  <si>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</si>
  <si>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</si>
  <si>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</si>
  <si>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</si>
  <si>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</si>
  <si>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</si>
  <si>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</si>
  <si>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</si>
  <si>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</si>
  <si>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</si>
  <si>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</si>
  <si>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</si>
  <si>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</si>
  <si>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</si>
  <si>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</si>
  <si>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</si>
  <si>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</si>
  <si>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</si>
  <si>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</si>
  <si>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</si>
  <si>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</si>
  <si>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</si>
  <si>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</si>
  <si>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</si>
  <si>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</si>
  <si>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</si>
  <si>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</si>
  <si>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</si>
  <si>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</si>
  <si>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</si>
  <si>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</si>
  <si>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</si>
  <si>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</si>
  <si>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</si>
  <si>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</si>
  <si>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</si>
  <si>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</si>
  <si>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</si>
  <si>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</si>
  <si>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</si>
  <si>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</si>
  <si>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</si>
  <si>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</si>
  <si>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</si>
  <si>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</si>
  <si>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</si>
  <si>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</si>
  <si>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</si>
  <si>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</si>
  <si>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</si>
  <si>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</si>
  <si>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</si>
  <si>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</si>
  <si>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</si>
  <si>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</si>
  <si>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</si>
  <si>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</si>
  <si>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</si>
  <si>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</si>
  <si>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</si>
  <si>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</si>
  <si>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</si>
  <si>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</si>
  <si>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</si>
  <si>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</si>
  <si>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</si>
  <si>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</si>
  <si>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</si>
  <si>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</si>
  <si>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</si>
  <si>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</si>
  <si>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</si>
  <si>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</si>
  <si>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</si>
  <si>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</si>
  <si>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</si>
  <si>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</si>
  <si>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</si>
  <si>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</si>
  <si>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</si>
  <si>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</si>
  <si>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</si>
  <si>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</si>
  <si>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</si>
  <si>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</si>
  <si>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</si>
  <si>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</si>
  <si>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</si>
  <si>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</si>
  <si>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</si>
  <si>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</si>
  <si>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</si>
  <si>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</si>
  <si>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</si>
  <si>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</si>
  <si>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</si>
  <si>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</si>
  <si>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</si>
  <si>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</si>
  <si>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</si>
  <si>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</si>
  <si>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</si>
  <si>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</si>
  <si>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</si>
  <si>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</si>
  <si>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</si>
  <si>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</si>
  <si>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</si>
  <si>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</si>
  <si>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</si>
  <si>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</si>
  <si>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</si>
  <si>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</si>
  <si>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</si>
  <si>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</si>
  <si>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</si>
  <si>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</si>
  <si>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</si>
  <si>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</si>
  <si>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</si>
  <si>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</si>
  <si>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</si>
  <si>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</si>
  <si>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</si>
  <si>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</si>
  <si>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</si>
  <si>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</si>
  <si>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</si>
  <si>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</si>
  <si>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</si>
  <si>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</si>
  <si>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</si>
  <si>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</si>
  <si>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</si>
  <si>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</si>
  <si>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</si>
  <si>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</si>
  <si>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</si>
  <si>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</si>
  <si>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</si>
  <si>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</si>
  <si>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</si>
  <si>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</si>
  <si>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</si>
  <si>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</si>
  <si>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</si>
  <si>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</si>
  <si>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</si>
  <si>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</si>
  <si>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</si>
  <si>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</si>
  <si>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</si>
  <si>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</si>
  <si>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</si>
  <si>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</si>
  <si>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</si>
  <si>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</si>
  <si>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</si>
  <si>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</si>
  <si>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</si>
  <si>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</si>
  <si>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</si>
  <si>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</si>
  <si>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</si>
  <si>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</si>
  <si>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</si>
  <si>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</si>
  <si>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</si>
  <si>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</si>
  <si>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</si>
  <si>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</si>
  <si>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</si>
  <si>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</si>
  <si>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</si>
  <si>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</si>
  <si>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</si>
  <si>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</si>
  <si>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</si>
  <si>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</si>
  <si>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</si>
  <si>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</si>
  <si>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</si>
  <si>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</si>
  <si>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</si>
  <si>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</si>
  <si>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</si>
  <si>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</si>
  <si>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</si>
  <si>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</si>
  <si>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</si>
  <si>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</si>
  <si>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</si>
  <si>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</si>
  <si>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</si>
  <si>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</si>
  <si>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</si>
  <si>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</si>
  <si>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</si>
  <si>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</si>
  <si>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</si>
  <si>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</si>
  <si>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</si>
  <si>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</si>
  <si>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</si>
  <si>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</si>
  <si>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</si>
  <si>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</si>
  <si>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</si>
  <si>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</si>
  <si>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</si>
  <si>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</si>
  <si>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</si>
  <si>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</si>
  <si>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</si>
  <si>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</si>
  <si>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</si>
  <si>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</si>
  <si>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</si>
  <si>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</si>
  <si>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</si>
  <si>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</si>
  <si>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</si>
  <si>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</si>
  <si>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</si>
  <si>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</si>
  <si>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</si>
  <si>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</si>
  <si>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</si>
  <si>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</si>
  <si>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</si>
  <si>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</si>
  <si>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</si>
  <si>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</si>
  <si>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</si>
  <si>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</si>
  <si>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</si>
  <si>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</si>
  <si>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</si>
  <si>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</si>
  <si>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</si>
  <si>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</si>
  <si>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</si>
  <si>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</si>
  <si>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</si>
  <si>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</si>
  <si>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</si>
  <si>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</si>
  <si>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</si>
  <si>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</si>
  <si>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</si>
  <si>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</si>
  <si>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</si>
  <si>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</si>
  <si>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</si>
  <si>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</si>
  <si>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</si>
  <si>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</si>
  <si>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</si>
  <si>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</si>
  <si>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</si>
  <si>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</si>
  <si>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</si>
  <si>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</si>
  <si>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</si>
  <si>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</si>
  <si>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</si>
  <si>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</si>
  <si>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</si>
  <si>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</si>
  <si>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</si>
  <si>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</si>
  <si>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</si>
  <si>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</si>
  <si>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</si>
  <si>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</si>
  <si>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</si>
  <si>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</si>
  <si>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</si>
  <si>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</si>
  <si>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</si>
  <si>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</si>
  <si>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</si>
  <si>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</si>
  <si>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</si>
  <si>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</si>
  <si>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</si>
  <si>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</si>
  <si>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</si>
  <si>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</si>
  <si>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</si>
  <si>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</si>
  <si>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</si>
  <si>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</si>
  <si>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</si>
  <si>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</si>
  <si>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</si>
  <si>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</si>
  <si>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</si>
  <si>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</si>
  <si>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</si>
  <si>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</si>
  <si>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</si>
  <si>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</si>
  <si>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</si>
  <si>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</si>
  <si>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</si>
  <si>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</si>
  <si>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</si>
  <si>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</si>
  <si>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</si>
  <si>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</si>
  <si>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</si>
  <si>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</si>
  <si>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</si>
  <si>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</si>
  <si>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</si>
  <si>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</si>
  <si>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</si>
  <si>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</si>
  <si>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</si>
  <si>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</si>
  <si>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</si>
  <si>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</si>
  <si>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</si>
  <si>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</si>
  <si>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</si>
  <si>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</si>
  <si>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</si>
  <si>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</si>
  <si>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</si>
  <si>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</si>
  <si>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</si>
  <si>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</si>
  <si>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</si>
  <si>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</si>
  <si>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</si>
  <si>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</si>
  <si>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</si>
  <si>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</si>
  <si>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</si>
  <si>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</si>
  <si>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</si>
  <si>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</si>
  <si>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</si>
  <si>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</si>
  <si>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</si>
  <si>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</si>
  <si>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</si>
  <si>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</si>
  <si>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</si>
  <si>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</si>
  <si>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</si>
  <si>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</si>
  <si>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</si>
  <si>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</si>
  <si>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</si>
  <si>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</si>
  <si>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</si>
  <si>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</si>
  <si>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</si>
  <si>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</si>
  <si>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</si>
  <si>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</si>
  <si>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</si>
  <si>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</si>
  <si>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</si>
  <si>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</si>
  <si>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</si>
  <si>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</si>
  <si>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</si>
  <si>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</si>
  <si>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</si>
  <si>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</si>
  <si>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</si>
  <si>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</si>
  <si>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</si>
  <si>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</si>
  <si>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</si>
  <si>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</si>
  <si>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</si>
  <si>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</si>
  <si>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</si>
  <si>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</si>
  <si>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</si>
  <si>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</si>
  <si>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</si>
  <si>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</si>
  <si>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</si>
  <si>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</si>
  <si>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</si>
  <si>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</si>
  <si>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</si>
  <si>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</si>
  <si>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</si>
  <si>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</si>
  <si>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</si>
  <si>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</si>
  <si>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</si>
  <si>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</si>
  <si>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</si>
  <si>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</si>
  <si>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</si>
  <si>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</si>
  <si>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</si>
  <si>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</si>
  <si>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</si>
  <si>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</si>
  <si>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</si>
  <si>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</si>
  <si>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</si>
  <si>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</si>
  <si>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</si>
  <si>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</si>
  <si>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</si>
  <si>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</si>
  <si>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</si>
  <si>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</si>
  <si>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</si>
  <si>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</si>
  <si>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</si>
  <si>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</si>
  <si>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</si>
  <si>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</si>
  <si>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</si>
  <si>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</si>
  <si>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</si>
  <si>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</si>
  <si>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</si>
  <si>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</si>
  <si>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</si>
  <si>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</si>
  <si>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</si>
  <si>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</si>
  <si>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</si>
  <si>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</si>
  <si>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</si>
  <si>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</si>
  <si>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</si>
  <si>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</si>
  <si>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</si>
  <si>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</si>
  <si>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</si>
  <si>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</si>
  <si>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</si>
  <si>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</si>
  <si>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</si>
  <si>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</si>
  <si>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</si>
  <si>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</si>
  <si>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</si>
  <si>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</si>
  <si>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</si>
  <si>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</si>
  <si>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</si>
  <si>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</si>
  <si>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</si>
  <si>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</si>
  <si>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</si>
  <si>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</si>
  <si>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</si>
  <si>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</si>
  <si>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</si>
  <si>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</si>
  <si>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</si>
  <si>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</si>
  <si>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</si>
  <si>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</si>
  <si>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</si>
  <si>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</si>
  <si>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</si>
  <si>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</si>
  <si>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</si>
  <si>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</si>
  <si>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</si>
  <si>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</si>
  <si>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</si>
  <si>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</si>
  <si>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</si>
  <si>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</si>
  <si>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</si>
  <si>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</si>
  <si>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</si>
  <si>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</si>
  <si>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</si>
  <si>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</si>
  <si>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</si>
  <si>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</si>
  <si>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</si>
  <si>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</si>
  <si>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</si>
  <si>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</si>
  <si>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</si>
  <si>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</si>
  <si>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</si>
  <si>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</si>
  <si>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</si>
  <si>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</si>
  <si>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</si>
  <si>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</si>
  <si>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</si>
  <si>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</si>
  <si>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</si>
  <si>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</si>
  <si>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</si>
  <si>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</si>
  <si>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</si>
  <si>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</si>
  <si>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</si>
  <si>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</si>
  <si>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</si>
  <si>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</si>
  <si>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</si>
  <si>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</si>
  <si>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</si>
  <si>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</si>
  <si>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</si>
  <si>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</si>
  <si>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</si>
  <si>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</si>
  <si>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</si>
  <si>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</si>
  <si>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</si>
  <si>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</si>
  <si>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</si>
  <si>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</si>
  <si>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</si>
  <si>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</si>
  <si>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</si>
  <si>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</si>
  <si>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</si>
  <si>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</si>
  <si>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</si>
  <si>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</si>
  <si>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</si>
  <si>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</si>
  <si>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</si>
  <si>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</si>
  <si>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</si>
  <si>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</si>
  <si>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</si>
  <si>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</si>
  <si>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</si>
  <si>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</si>
  <si>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</si>
  <si>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</si>
  <si>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</si>
  <si>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</si>
  <si>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</si>
  <si>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</si>
  <si>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</si>
  <si>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</si>
  <si>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</si>
  <si>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</si>
  <si>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</si>
  <si>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</si>
  <si>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</si>
  <si>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</si>
  <si>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</si>
  <si>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</si>
  <si>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</si>
  <si>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</si>
  <si>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</si>
  <si>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</si>
  <si>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</si>
  <si>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</si>
  <si>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</si>
  <si>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</si>
  <si>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</si>
  <si>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</si>
  <si>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</si>
  <si>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</si>
  <si>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</si>
  <si>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</si>
  <si>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</si>
  <si>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</si>
  <si>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</si>
  <si>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</si>
  <si>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</si>
  <si>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</si>
  <si>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</si>
  <si>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</si>
  <si>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</si>
  <si>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</si>
  <si>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</si>
  <si>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</si>
  <si>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</si>
  <si>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</si>
  <si>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</si>
  <si>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</si>
  <si>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</si>
  <si>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</si>
  <si>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</si>
  <si>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</si>
  <si>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</si>
  <si>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</si>
  <si>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</si>
  <si>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</si>
  <si>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</si>
  <si>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</si>
  <si>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</si>
  <si>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</si>
  <si>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</si>
  <si>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</si>
  <si>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</si>
  <si>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</si>
  <si>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</si>
  <si>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</si>
  <si>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</si>
  <si>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</si>
  <si>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</si>
  <si>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</si>
  <si>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</si>
  <si>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</si>
  <si>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</si>
  <si>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</si>
  <si>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</si>
  <si>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</si>
  <si>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</si>
  <si>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</si>
  <si>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</si>
  <si>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</si>
  <si>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</si>
  <si>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</si>
  <si>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</si>
  <si>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</si>
  <si>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</si>
  <si>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</si>
  <si>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</si>
  <si>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</si>
  <si>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</si>
  <si>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</si>
  <si>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</si>
  <si>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</si>
  <si>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</si>
  <si>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</si>
  <si>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</si>
  <si>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</si>
  <si>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</si>
  <si>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</si>
  <si>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</si>
  <si>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</si>
  <si>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</si>
  <si>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</si>
  <si>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</si>
  <si>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</si>
  <si>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</si>
  <si>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</si>
  <si>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</si>
  <si>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</si>
  <si>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</si>
  <si>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</si>
  <si>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</si>
  <si>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</si>
  <si>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</si>
  <si>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</si>
  <si>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</si>
  <si>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</si>
  <si>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</si>
  <si>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</si>
  <si>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</si>
  <si>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</si>
  <si>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</si>
  <si>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</si>
  <si>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</si>
  <si>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</si>
  <si>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</si>
  <si>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</si>
  <si>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</si>
  <si>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</si>
  <si>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</si>
  <si>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</si>
  <si>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</si>
  <si>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</si>
  <si>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</si>
  <si>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</si>
  <si>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</si>
  <si>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</si>
  <si>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</si>
  <si>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</si>
  <si>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</si>
  <si>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</si>
  <si>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</si>
  <si>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</si>
  <si>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</si>
  <si>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</si>
  <si>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</si>
  <si>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</si>
  <si>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</si>
  <si>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</si>
  <si>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</si>
  <si>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</si>
  <si>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</si>
  <si>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</si>
  <si>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</si>
  <si>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</si>
  <si>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</si>
  <si>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</si>
  <si>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</si>
  <si>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</si>
  <si>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</si>
  <si>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</si>
  <si>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</si>
  <si>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</si>
  <si>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</si>
  <si>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</si>
  <si>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</si>
  <si>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</si>
  <si>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</si>
  <si>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</si>
  <si>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</si>
  <si>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</si>
  <si>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</si>
  <si>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</si>
  <si>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</si>
  <si>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</si>
  <si>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</si>
  <si>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</si>
  <si>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</si>
  <si>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</si>
  <si>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</si>
  <si>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</si>
  <si>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</si>
  <si>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</si>
  <si>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</si>
  <si>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</si>
  <si>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</si>
  <si>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</si>
  <si>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</si>
  <si>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</si>
  <si>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</si>
  <si>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</si>
  <si>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</si>
  <si>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</si>
  <si>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</si>
  <si>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</si>
  <si>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</si>
  <si>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</si>
  <si>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</si>
  <si>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</si>
  <si>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</si>
  <si>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</si>
  <si>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</si>
  <si>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</si>
  <si>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</si>
  <si>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</si>
  <si>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</si>
  <si>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</si>
  <si>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</si>
  <si>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</si>
  <si>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</si>
  <si>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</si>
  <si>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</si>
  <si>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</si>
  <si>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</si>
  <si>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</si>
  <si>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</si>
  <si>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</si>
  <si>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</si>
  <si>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</si>
  <si>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</si>
  <si>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</si>
  <si>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</si>
  <si>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</si>
  <si>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</si>
  <si>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</si>
  <si>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</si>
  <si>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</si>
  <si>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</si>
  <si>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</si>
  <si>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</si>
  <si>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</si>
  <si>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</si>
  <si>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</si>
  <si>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</si>
  <si>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</si>
  <si>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</si>
  <si>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</si>
  <si>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</si>
  <si>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</si>
  <si>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</si>
  <si>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</si>
  <si>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</si>
  <si>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</si>
  <si>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</si>
  <si>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</si>
  <si>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</si>
  <si>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</si>
  <si>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</si>
  <si>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</si>
  <si>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</si>
  <si>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</si>
  <si>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</si>
  <si>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</si>
  <si>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</si>
  <si>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</si>
  <si>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</si>
  <si>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</si>
  <si>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</si>
  <si>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</si>
  <si>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</si>
  <si>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</si>
  <si>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</si>
  <si>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</si>
  <si>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</si>
  <si>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</si>
  <si>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</si>
  <si>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</si>
  <si>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</si>
  <si>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</si>
  <si>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</si>
  <si>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</si>
  <si>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</si>
  <si>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</si>
  <si>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</si>
  <si>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</si>
  <si>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</si>
  <si>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</si>
  <si>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</si>
  <si>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</si>
  <si>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</si>
  <si>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</si>
  <si>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</si>
  <si>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</si>
  <si>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</si>
  <si>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</si>
  <si>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</si>
  <si>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</si>
  <si>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</si>
  <si>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</si>
  <si>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</si>
  <si>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</si>
  <si>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</si>
  <si>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</si>
  <si>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</si>
  <si>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</si>
  <si>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</si>
  <si>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</si>
  <si>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</si>
  <si>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</si>
  <si>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</si>
  <si>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</si>
  <si>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</si>
  <si>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</si>
  <si>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</si>
  <si>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</si>
  <si>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</si>
  <si>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</si>
  <si>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</si>
  <si>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</si>
  <si>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</si>
  <si>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</si>
  <si>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</si>
  <si>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</si>
  <si>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</si>
  <si>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</si>
  <si>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</si>
  <si>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</si>
  <si>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</si>
  <si>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</si>
  <si>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</si>
  <si>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</si>
  <si>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</si>
  <si>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</si>
  <si>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</si>
  <si>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</si>
  <si>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</si>
  <si>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</si>
  <si>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</si>
  <si>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</si>
  <si>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</si>
  <si>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</si>
  <si>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</si>
  <si>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</si>
  <si>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</si>
  <si>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</si>
  <si>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</si>
  <si>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</si>
  <si>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</si>
  <si>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</si>
  <si>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</si>
  <si>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</si>
  <si>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</si>
  <si>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</si>
  <si>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</si>
  <si>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</si>
  <si>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</si>
  <si>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</si>
  <si>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</si>
  <si>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</si>
  <si>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</si>
  <si>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</si>
  <si>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</si>
  <si>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</si>
  <si>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</si>
  <si>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</si>
  <si>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</si>
  <si>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</si>
  <si>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</si>
  <si>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</si>
  <si>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</si>
  <si>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</si>
  <si>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</si>
  <si>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</si>
  <si>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</si>
  <si>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</si>
  <si>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</si>
  <si>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</si>
  <si>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</si>
  <si>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</si>
  <si>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</si>
  <si>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</si>
  <si>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</si>
  <si>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</si>
  <si>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</si>
  <si>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</si>
  <si>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</si>
  <si>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</si>
  <si>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</si>
  <si>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</si>
  <si>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</si>
  <si>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</si>
  <si>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</si>
  <si>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</si>
  <si>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</si>
  <si>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</si>
  <si>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</si>
  <si>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</si>
  <si>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</si>
  <si>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</si>
  <si>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</si>
  <si>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</si>
  <si>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</si>
  <si>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</si>
  <si>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</si>
  <si>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</si>
  <si>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</si>
  <si>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</si>
  <si>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</si>
  <si>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</si>
  <si>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</si>
  <si>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</si>
  <si>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</si>
  <si>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</si>
  <si>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</si>
  <si>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</si>
  <si>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</si>
  <si>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</si>
  <si>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</si>
  <si>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</si>
  <si>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</si>
  <si>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</si>
  <si>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</si>
  <si>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</si>
  <si>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</si>
  <si>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</si>
  <si>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</si>
  <si>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</si>
  <si>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</si>
  <si>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</si>
  <si>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</si>
  <si>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</si>
  <si>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</si>
  <si>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</si>
  <si>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</si>
  <si>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</si>
  <si>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</si>
  <si>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</si>
  <si>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</si>
  <si>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</si>
  <si>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</si>
  <si>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</si>
  <si>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</si>
  <si>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</si>
  <si>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</si>
  <si>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</si>
  <si>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</si>
  <si>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</si>
  <si>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</si>
  <si>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</si>
  <si>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</si>
  <si>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</si>
  <si>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</si>
  <si>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</si>
  <si>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</si>
  <si>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</si>
  <si>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</si>
  <si>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</si>
  <si>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</si>
  <si>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</si>
  <si>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</si>
  <si>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</si>
  <si>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</si>
  <si>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</si>
  <si>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</si>
  <si>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</si>
  <si>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</si>
  <si>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</si>
  <si>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</si>
  <si>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</si>
  <si>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</si>
  <si>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</si>
  <si>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</si>
  <si>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</si>
  <si>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</si>
  <si>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</si>
  <si>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</si>
  <si>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</si>
  <si>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</si>
  <si>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</si>
  <si>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</si>
  <si>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</si>
  <si>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</si>
  <si>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</si>
  <si>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</si>
  <si>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</si>
  <si>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</si>
  <si>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</si>
  <si>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</si>
  <si>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</si>
  <si>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</si>
  <si>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</si>
  <si>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</si>
  <si>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</si>
  <si>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</si>
  <si>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</si>
  <si>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</si>
  <si>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</si>
  <si>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</si>
  <si>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</si>
  <si>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</si>
  <si>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</si>
  <si>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</si>
  <si>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</si>
  <si>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</si>
  <si>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</si>
  <si>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</si>
  <si>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</si>
  <si>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</si>
  <si>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</si>
  <si>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</si>
  <si>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</si>
  <si>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</si>
  <si>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</si>
  <si>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</si>
  <si>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</si>
  <si>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</si>
  <si>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</si>
  <si>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</si>
  <si>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</si>
  <si>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</si>
  <si>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</si>
  <si>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</si>
  <si>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</si>
  <si>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</si>
  <si>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</si>
  <si>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</si>
  <si>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</si>
  <si>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</si>
  <si>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</si>
  <si>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</si>
  <si>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</si>
  <si>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</si>
  <si>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</si>
  <si>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</si>
  <si>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</si>
  <si>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</si>
  <si>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</si>
  <si>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</si>
  <si>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</si>
  <si>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</si>
  <si>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</si>
  <si>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</si>
  <si>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</si>
  <si>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</si>
  <si>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</si>
  <si>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</si>
  <si>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</si>
  <si>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</si>
  <si>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</si>
  <si>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</si>
  <si>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</si>
  <si>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</si>
  <si>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</si>
  <si>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</si>
  <si>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</si>
  <si>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</si>
  <si>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</si>
  <si>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</si>
  <si>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</si>
  <si>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</si>
  <si>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</si>
  <si>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</si>
  <si>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</si>
  <si>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</si>
  <si>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</si>
  <si>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</si>
  <si>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</si>
  <si>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</si>
  <si>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</si>
  <si>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</si>
  <si>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</si>
  <si>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</si>
  <si>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</si>
  <si>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</si>
  <si>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</si>
  <si>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</si>
  <si>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</si>
  <si>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</si>
  <si>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</si>
  <si>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</si>
  <si>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</si>
  <si>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</si>
  <si>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</si>
  <si>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</si>
  <si>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</si>
  <si>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</si>
  <si>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</si>
  <si>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</si>
  <si>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</si>
  <si>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</si>
  <si>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</si>
  <si>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</si>
  <si>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</si>
  <si>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</si>
  <si>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</si>
  <si>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</si>
  <si>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</si>
  <si>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</si>
  <si>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</si>
  <si>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</si>
  <si>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</si>
  <si>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</si>
  <si>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</si>
  <si>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</si>
  <si>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</si>
  <si>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</si>
  <si>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</si>
  <si>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</si>
  <si>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</si>
  <si>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</si>
  <si>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</si>
  <si>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</si>
  <si>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</si>
  <si>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</si>
  <si>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</si>
  <si>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</si>
  <si>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</si>
  <si>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</si>
  <si>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</si>
  <si>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</si>
  <si>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</si>
  <si>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</si>
  <si>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</si>
  <si>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</si>
  <si>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</si>
  <si>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</si>
  <si>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</si>
  <si>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</si>
  <si>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</si>
  <si>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</si>
  <si>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</si>
  <si>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</si>
  <si>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</si>
  <si>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</si>
  <si>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</si>
  <si>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</si>
  <si>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</si>
  <si>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</si>
  <si>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</si>
  <si>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</si>
  <si>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</si>
  <si>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</si>
  <si>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</si>
  <si>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</si>
  <si>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</si>
  <si>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</si>
  <si>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</si>
  <si>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</si>
  <si>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</si>
  <si>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</si>
  <si>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</si>
  <si>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</si>
  <si>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</si>
  <si>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</si>
  <si>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</si>
  <si>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</si>
  <si>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</si>
  <si>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</si>
  <si>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</si>
  <si>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</si>
  <si>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</si>
  <si>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</si>
  <si>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</si>
  <si>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</si>
  <si>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</si>
  <si>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</si>
  <si>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</si>
  <si>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</si>
  <si>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</si>
  <si>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</si>
  <si>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</si>
  <si>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</si>
  <si>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</si>
  <si>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</si>
  <si>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</si>
  <si>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</si>
  <si>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</si>
  <si>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</si>
  <si>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</si>
  <si>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</si>
  <si>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</si>
  <si>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</si>
  <si>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</si>
  <si>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</si>
  <si>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</si>
  <si>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</si>
  <si>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</si>
  <si>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</si>
  <si>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</si>
  <si>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</si>
  <si>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</si>
  <si>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</si>
  <si>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</si>
  <si>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</si>
  <si>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</si>
  <si>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</si>
  <si>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</si>
  <si>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</si>
  <si>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</si>
  <si>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</si>
  <si>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</si>
  <si>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</si>
  <si>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</si>
  <si>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</si>
  <si>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</si>
  <si>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</si>
  <si>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</si>
  <si>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</si>
  <si>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</si>
  <si>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</si>
  <si>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</si>
  <si>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</si>
  <si>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</si>
  <si>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</si>
  <si>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</si>
  <si>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</si>
  <si>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</si>
  <si>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</si>
  <si>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</si>
  <si>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</si>
  <si>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</si>
  <si>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</si>
  <si>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</si>
  <si>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</si>
  <si>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</si>
  <si>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</si>
  <si>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</si>
  <si>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</si>
  <si>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</si>
  <si>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</si>
  <si>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</si>
  <si>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</si>
  <si>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</si>
  <si>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</si>
  <si>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</si>
  <si>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</si>
  <si>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</si>
  <si>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</si>
  <si>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</si>
  <si>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</si>
  <si>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</si>
  <si>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</si>
  <si>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</si>
  <si>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</si>
  <si>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</si>
  <si>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</si>
  <si>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</si>
  <si>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</si>
  <si>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</si>
  <si>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</si>
  <si>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</si>
  <si>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</si>
  <si>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</si>
  <si>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</si>
  <si>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</si>
  <si>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</si>
  <si>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</si>
  <si>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</si>
  <si>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</si>
  <si>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</si>
  <si>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</si>
  <si>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</si>
  <si>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</si>
  <si>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</si>
  <si>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</si>
  <si>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</si>
  <si>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</si>
  <si>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</si>
  <si>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</si>
  <si>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</si>
  <si>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</si>
  <si>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</si>
  <si>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</si>
  <si>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</si>
  <si>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</si>
  <si>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</si>
  <si>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</si>
  <si>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</si>
  <si>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</si>
  <si>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</si>
  <si>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</si>
  <si>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</si>
  <si>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</si>
  <si>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</si>
  <si>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</si>
  <si>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</si>
  <si>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</si>
  <si>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</si>
  <si>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</si>
  <si>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</si>
  <si>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</si>
  <si>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</si>
  <si>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</si>
  <si>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</si>
  <si>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</si>
  <si>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</si>
  <si>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</si>
  <si>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</si>
  <si>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</si>
  <si>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</si>
  <si>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</si>
  <si>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</si>
  <si>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</si>
  <si>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</si>
  <si>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</si>
  <si>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</si>
  <si>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</si>
  <si>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</si>
  <si>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</si>
  <si>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</si>
  <si>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</si>
  <si>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</si>
  <si>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</si>
  <si>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</si>
  <si>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</si>
  <si>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</si>
  <si>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</si>
  <si>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</si>
  <si>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</si>
  <si>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</si>
  <si>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</si>
  <si>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</si>
  <si>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</si>
  <si>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</si>
  <si>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</si>
  <si>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</si>
  <si>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</si>
  <si>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</si>
  <si>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</si>
  <si>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</si>
  <si>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</si>
  <si>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</si>
  <si>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</si>
  <si>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</si>
  <si>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</si>
  <si>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</si>
  <si>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</si>
  <si>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</si>
  <si>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</si>
  <si>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</si>
  <si>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</si>
  <si>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</si>
  <si>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</si>
  <si>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</si>
  <si>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</si>
  <si>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</si>
  <si>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</si>
  <si>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</si>
  <si>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</si>
  <si>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</si>
  <si>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</si>
  <si>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</si>
  <si>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</si>
  <si>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</si>
  <si>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</si>
  <si>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</si>
  <si>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</si>
  <si>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</si>
  <si>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</si>
  <si>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</si>
  <si>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</si>
  <si>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</si>
  <si>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</si>
  <si>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</si>
  <si>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</si>
  <si>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</si>
  <si>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</si>
  <si>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</si>
  <si>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</si>
  <si>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</si>
  <si>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</si>
  <si>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</si>
  <si>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</si>
  <si>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</si>
  <si>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</si>
  <si>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</si>
  <si>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</si>
  <si>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</si>
  <si>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</si>
  <si>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</si>
  <si>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</si>
  <si>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</si>
  <si>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</si>
  <si>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</si>
  <si>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</si>
  <si>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</si>
  <si>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</si>
  <si>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</si>
  <si>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</si>
  <si>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</si>
  <si>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</si>
  <si>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</si>
  <si>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</si>
  <si>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</si>
  <si>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</si>
  <si>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</si>
  <si>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</si>
  <si>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</si>
  <si>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</si>
  <si>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</si>
  <si>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</si>
  <si>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</si>
  <si>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</si>
  <si>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</si>
  <si>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</si>
  <si>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</si>
  <si>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</si>
  <si>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</si>
  <si>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</si>
  <si>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</si>
  <si>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</si>
  <si>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</si>
  <si>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</si>
  <si>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</si>
  <si>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</si>
  <si>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</si>
  <si>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</si>
  <si>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</si>
  <si>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</si>
  <si>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</si>
  <si>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</si>
  <si>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</si>
  <si>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</si>
  <si>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</si>
  <si>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</si>
  <si>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</si>
  <si>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</si>
  <si>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</si>
  <si>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</si>
  <si>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</si>
  <si>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</si>
  <si>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</si>
  <si>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</si>
  <si>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</si>
  <si>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</si>
  <si>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</si>
  <si>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</si>
  <si>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</si>
  <si>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</si>
  <si>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</si>
  <si>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</si>
  <si>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</si>
  <si>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</si>
  <si>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</si>
  <si>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</si>
  <si>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</si>
  <si>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</si>
  <si>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</si>
  <si>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</si>
  <si>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</si>
  <si>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</si>
  <si>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</si>
  <si>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</si>
  <si>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</si>
  <si>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</si>
  <si>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</si>
  <si>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</si>
  <si>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</si>
  <si>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</si>
  <si>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</si>
  <si>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</si>
  <si>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</si>
  <si>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</si>
  <si>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</si>
  <si>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</si>
  <si>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</si>
  <si>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</si>
  <si>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</si>
  <si>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</si>
  <si>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</si>
  <si>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</si>
  <si>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</si>
  <si>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</si>
  <si>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</si>
  <si>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</si>
  <si>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</si>
  <si>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</si>
  <si>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</si>
  <si>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</si>
  <si>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</si>
  <si>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</si>
  <si>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</si>
  <si>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</si>
  <si>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</si>
  <si>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</si>
  <si>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</si>
  <si>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</si>
  <si>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</si>
  <si>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</si>
  <si>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</si>
  <si>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</si>
  <si>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</si>
  <si>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</si>
  <si>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</si>
  <si>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</si>
  <si>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</si>
  <si>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</si>
  <si>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</si>
  <si>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</si>
  <si>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</si>
  <si>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</si>
  <si>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</si>
  <si>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</si>
  <si>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</si>
  <si>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</si>
  <si>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</si>
  <si>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</si>
  <si>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</si>
  <si>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</si>
  <si>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</si>
  <si>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</si>
  <si>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</si>
  <si>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</si>
  <si>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</si>
  <si>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</si>
  <si>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</si>
  <si>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</si>
  <si>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</si>
  <si>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</si>
  <si>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</si>
  <si>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</si>
  <si>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</si>
  <si>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</si>
  <si>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</si>
  <si>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</si>
  <si>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</si>
  <si>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</si>
  <si>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</si>
  <si>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</si>
  <si>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</si>
  <si>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</si>
  <si>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</si>
  <si>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</si>
  <si>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</si>
  <si>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</si>
  <si>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</si>
  <si>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</si>
  <si>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</si>
  <si>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</si>
  <si>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</si>
  <si>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</si>
  <si>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</si>
  <si>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</si>
  <si>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</si>
  <si>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</si>
  <si>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</si>
  <si>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</si>
  <si>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</si>
  <si>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</si>
  <si>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</si>
  <si>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</si>
  <si>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</si>
  <si>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</si>
  <si>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</si>
  <si>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</si>
  <si>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</si>
  <si>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</si>
  <si>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</si>
  <si>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</si>
  <si>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</si>
  <si>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</si>
  <si>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</si>
  <si>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</si>
  <si>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</si>
  <si>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</si>
  <si>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</si>
  <si>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</si>
  <si>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</si>
  <si>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</si>
  <si>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</si>
  <si>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</si>
  <si>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</si>
  <si>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</si>
  <si>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</si>
  <si>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</si>
  <si>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</si>
  <si>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</si>
  <si>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</si>
  <si>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</si>
  <si>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</si>
  <si>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</si>
  <si>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</si>
  <si>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</si>
  <si>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</si>
  <si>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</si>
  <si>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</si>
  <si>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</si>
  <si>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</si>
  <si>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</si>
  <si>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</si>
  <si>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</si>
  <si>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</si>
  <si>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</si>
  <si>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</si>
  <si>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</si>
  <si>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</si>
  <si>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</si>
  <si>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</si>
  <si>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</si>
  <si>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</si>
  <si>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</si>
  <si>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</si>
  <si>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</si>
  <si>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</si>
  <si>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</si>
  <si>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</si>
  <si>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</si>
  <si>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</si>
  <si>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</si>
  <si>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</si>
  <si>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</si>
  <si>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</si>
  <si>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</si>
  <si>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</si>
  <si>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</si>
  <si>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</si>
  <si>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</si>
  <si>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</si>
  <si>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</si>
  <si>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</si>
  <si>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</si>
  <si>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</si>
  <si>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</si>
  <si>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</si>
  <si>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</si>
  <si>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</si>
  <si>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</si>
  <si>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</si>
  <si>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</si>
  <si>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</si>
  <si>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</si>
  <si>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</si>
  <si>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</si>
  <si>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</si>
  <si>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</si>
  <si>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</si>
  <si>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</si>
  <si>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</si>
  <si>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</si>
  <si>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</si>
  <si>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</si>
  <si>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</si>
  <si>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</si>
  <si>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</si>
  <si>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</si>
  <si>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</si>
  <si>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</si>
  <si>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</si>
  <si>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</si>
  <si>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</si>
  <si>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</si>
  <si>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</si>
  <si>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</si>
  <si>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</si>
  <si>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</si>
  <si>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</si>
  <si>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</si>
  <si>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</si>
  <si>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</si>
  <si>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</si>
  <si>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</si>
  <si>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</si>
  <si>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</si>
  <si>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</si>
  <si>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</si>
  <si>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</si>
  <si>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</si>
  <si>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</si>
  <si>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</si>
  <si>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</si>
  <si>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</si>
  <si>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</si>
  <si>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</si>
  <si>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</si>
  <si>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</si>
  <si>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</si>
  <si>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</si>
  <si>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</si>
  <si>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</si>
  <si>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</si>
  <si>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</si>
  <si>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</si>
  <si>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</si>
  <si>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</si>
  <si>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</si>
  <si>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</si>
  <si>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</si>
  <si>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</si>
  <si>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</si>
  <si>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</si>
  <si>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</si>
  <si>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</si>
  <si>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</si>
  <si>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</si>
  <si>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</si>
  <si>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</si>
  <si>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</si>
  <si>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</si>
  <si>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</si>
  <si>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</si>
  <si>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</si>
  <si>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</si>
  <si>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</si>
  <si>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</si>
  <si>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</si>
  <si>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</si>
  <si>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</si>
  <si>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</si>
  <si>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</si>
  <si>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</si>
  <si>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</si>
  <si>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</si>
  <si>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</si>
  <si>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</si>
  <si>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</si>
  <si>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</si>
  <si>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</si>
  <si>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</si>
  <si>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</si>
  <si>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</si>
  <si>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</si>
  <si>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</si>
  <si>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</si>
  <si>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</si>
  <si>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</si>
  <si>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</si>
  <si>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</si>
  <si>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</si>
  <si>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</si>
  <si>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</si>
  <si>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</si>
  <si>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</si>
  <si>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</si>
  <si>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</si>
  <si>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</si>
  <si>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</si>
  <si>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</si>
  <si>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</si>
  <si>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</si>
  <si>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</si>
  <si>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</si>
  <si>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</si>
  <si>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</si>
  <si>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</si>
  <si>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</si>
  <si>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</si>
  <si>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</si>
  <si>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</si>
  <si>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</si>
  <si>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</si>
  <si>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</si>
  <si>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</si>
  <si>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</si>
  <si>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</si>
  <si>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</si>
  <si>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</si>
  <si>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</si>
  <si>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</si>
  <si>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</si>
  <si>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</si>
  <si>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</si>
  <si>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</si>
  <si>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</si>
  <si>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</si>
  <si>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</si>
  <si>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</si>
  <si>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</si>
  <si>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</si>
  <si>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</si>
  <si>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</si>
  <si>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</si>
  <si>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</si>
  <si>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</si>
  <si>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</si>
  <si>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</si>
  <si>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</si>
  <si>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</si>
  <si>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</si>
  <si>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</si>
  <si>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</si>
  <si>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</si>
  <si>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</si>
  <si>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</si>
  <si>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</si>
  <si>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</si>
  <si>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</si>
  <si>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</si>
  <si>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</si>
  <si>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</si>
  <si>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</si>
  <si>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</si>
  <si>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</si>
  <si>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</si>
  <si>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</si>
  <si>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</si>
  <si>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</si>
  <si>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</si>
  <si>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</si>
  <si>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</si>
  <si>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</si>
  <si>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</si>
  <si>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</si>
  <si>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</si>
  <si>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</si>
  <si>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</si>
  <si>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</si>
  <si>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</si>
  <si>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</si>
  <si>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</si>
  <si>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</si>
  <si>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</si>
  <si>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</si>
  <si>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</si>
  <si>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</si>
  <si>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</si>
  <si>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</si>
  <si>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</si>
  <si>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</si>
  <si>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</si>
  <si>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</si>
  <si>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</si>
  <si>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</si>
  <si>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</si>
  <si>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</si>
  <si>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</si>
  <si>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</si>
  <si>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</si>
  <si>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</si>
  <si>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</si>
  <si>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</si>
  <si>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</si>
  <si>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</si>
  <si>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</si>
  <si>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</si>
  <si>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</si>
  <si>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</si>
  <si>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</si>
  <si>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</si>
  <si>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</si>
  <si>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</si>
  <si>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</si>
  <si>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</si>
  <si>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</si>
  <si>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</si>
  <si>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</si>
  <si>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</si>
  <si>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</si>
  <si>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</si>
  <si>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</si>
  <si>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</si>
  <si>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</si>
  <si>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</si>
  <si>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</si>
  <si>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</si>
  <si>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</si>
  <si>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</si>
  <si>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</si>
  <si>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</si>
  <si>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</si>
  <si>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</si>
  <si>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</si>
  <si>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</si>
  <si>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</si>
  <si>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</si>
  <si>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</si>
  <si>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</si>
  <si>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</si>
  <si>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</si>
  <si>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</si>
  <si>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</si>
  <si>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</si>
  <si>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</si>
  <si>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</si>
  <si>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</si>
  <si>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</si>
  <si>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</si>
  <si>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</si>
  <si>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</si>
  <si>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</si>
  <si>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</si>
  <si>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</si>
  <si>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</si>
  <si>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</si>
  <si>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</si>
  <si>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</si>
  <si>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</si>
  <si>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</si>
  <si>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</si>
  <si>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</si>
  <si>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</si>
  <si>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</si>
  <si>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</si>
  <si>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</si>
  <si>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</si>
  <si>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</si>
  <si>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</si>
  <si>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</si>
  <si>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</si>
  <si>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</si>
  <si>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</si>
  <si>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</si>
  <si>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</si>
  <si>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</si>
  <si>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</si>
  <si>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</si>
  <si>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</si>
  <si>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</si>
  <si>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</si>
  <si>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</si>
  <si>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</si>
  <si>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</si>
  <si>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</si>
  <si>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</si>
  <si>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</si>
  <si>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</si>
  <si>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</si>
  <si>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</si>
  <si>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</si>
  <si>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</si>
  <si>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</si>
  <si>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</si>
  <si>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</si>
  <si>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</si>
  <si>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</si>
  <si>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</si>
  <si>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</si>
  <si>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</si>
  <si>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</si>
  <si>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</si>
  <si>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</si>
  <si>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</si>
  <si>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</si>
  <si>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</si>
  <si>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</si>
  <si>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</si>
  <si>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</si>
  <si>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</si>
  <si>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</si>
  <si>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</si>
  <si>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</si>
  <si>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</si>
  <si>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</si>
  <si>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</si>
  <si>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</si>
  <si>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</si>
  <si>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</si>
  <si>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</si>
  <si>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</si>
  <si>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</si>
  <si>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</si>
  <si>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</si>
  <si>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</si>
  <si>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</si>
  <si>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</si>
  <si>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</si>
  <si>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</si>
  <si>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</si>
  <si>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</si>
  <si>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</si>
  <si>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</si>
  <si>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</si>
  <si>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</si>
  <si>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</si>
  <si>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</si>
  <si>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</si>
  <si>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</si>
  <si>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</si>
  <si>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</si>
  <si>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</si>
  <si>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</si>
  <si>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</si>
  <si>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</si>
  <si>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</si>
  <si>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</si>
  <si>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</si>
  <si>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</si>
  <si>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</si>
  <si>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</si>
  <si>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</si>
  <si>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</si>
  <si>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</si>
  <si>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</si>
  <si>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</si>
  <si>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</si>
  <si>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</si>
  <si>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</si>
  <si>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</si>
  <si>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</si>
  <si>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</si>
  <si>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</si>
  <si>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</si>
  <si>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</si>
  <si>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</si>
  <si>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</si>
  <si>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</si>
  <si>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</si>
  <si>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</si>
  <si>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</si>
  <si>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</si>
  <si>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</si>
  <si>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</si>
  <si>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</si>
  <si>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</si>
  <si>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</si>
  <si>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</si>
  <si>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</si>
  <si>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</si>
  <si>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</si>
  <si>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</si>
  <si>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</si>
  <si>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</si>
  <si>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</si>
  <si>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</si>
  <si>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</si>
  <si>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</si>
  <si>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</si>
  <si>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</si>
  <si>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</si>
  <si>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</si>
  <si>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</si>
  <si>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</si>
  <si>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</si>
  <si>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</si>
  <si>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</si>
  <si>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</si>
  <si>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</si>
  <si>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</si>
  <si>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</si>
  <si>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</si>
  <si>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</si>
  <si>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</si>
  <si>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</si>
  <si>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</si>
  <si>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</si>
  <si>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</si>
  <si>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</si>
  <si>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</si>
  <si>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</si>
  <si>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</si>
  <si>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</si>
  <si>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</si>
  <si>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</si>
  <si>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</si>
  <si>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</si>
  <si>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</si>
  <si>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</si>
  <si>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</si>
  <si>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</si>
  <si>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</si>
  <si>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</si>
  <si>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</si>
  <si>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</si>
  <si>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</si>
  <si>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</si>
  <si>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</si>
  <si>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</si>
  <si>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</si>
  <si>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</si>
  <si>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</si>
  <si>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</si>
  <si>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</si>
  <si>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</si>
  <si>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</si>
  <si>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</si>
  <si>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</si>
  <si>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</si>
  <si>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</si>
  <si>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</si>
  <si>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</si>
  <si>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</si>
  <si>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</si>
  <si>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</si>
  <si>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</si>
  <si>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</si>
  <si>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</si>
  <si>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</si>
  <si>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</si>
  <si>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</si>
  <si>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</si>
  <si>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</si>
  <si>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</si>
  <si>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</si>
  <si>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</si>
  <si>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</si>
  <si>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</si>
  <si>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</si>
  <si>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</si>
  <si>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</si>
  <si>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</si>
  <si>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</si>
  <si>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</si>
  <si>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</si>
  <si>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</si>
  <si>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</si>
  <si>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</si>
  <si>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</si>
  <si>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</si>
  <si>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</si>
  <si>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</si>
  <si>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</si>
  <si>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</si>
  <si>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</si>
  <si>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</si>
  <si>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</si>
  <si>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</si>
  <si>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</si>
  <si>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</si>
  <si>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</si>
  <si>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</si>
  <si>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</si>
  <si>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</si>
  <si>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</si>
  <si>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</si>
  <si>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</si>
  <si>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</si>
  <si>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</si>
  <si>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</si>
  <si>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</si>
  <si>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</si>
  <si>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</si>
  <si>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</si>
  <si>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</si>
  <si>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</si>
  <si>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</si>
  <si>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</si>
  <si>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</si>
  <si>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</si>
  <si>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</si>
  <si>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</si>
  <si>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</si>
  <si>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</si>
  <si>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</si>
  <si>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</si>
  <si>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</si>
  <si>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</si>
  <si>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</si>
  <si>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</si>
  <si>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</si>
  <si>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</si>
  <si>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</si>
  <si>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</si>
  <si>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</si>
  <si>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</si>
  <si>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</si>
  <si>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</si>
  <si>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</si>
  <si>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</si>
  <si>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</si>
  <si>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</si>
  <si>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</si>
  <si>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</si>
  <si>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</si>
  <si>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</si>
  <si>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</si>
  <si>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</si>
  <si>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</si>
  <si>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</si>
  <si>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</si>
  <si>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</si>
  <si>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</si>
  <si>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</si>
  <si>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</si>
  <si>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</si>
  <si>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</si>
  <si>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</si>
  <si>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</si>
  <si>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</si>
  <si>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</si>
  <si>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</si>
  <si>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</si>
  <si>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</si>
  <si>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</si>
  <si>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</si>
  <si>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</si>
  <si>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</si>
  <si>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</si>
  <si>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</si>
  <si>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</si>
  <si>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</si>
  <si>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</si>
  <si>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</si>
  <si>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</si>
  <si>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</si>
  <si>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</si>
  <si>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</si>
  <si>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</si>
  <si>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</si>
  <si>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</si>
  <si>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</si>
  <si>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</si>
  <si>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</si>
  <si>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</si>
  <si>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</si>
  <si>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</si>
  <si>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</si>
  <si>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</si>
  <si>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</si>
  <si>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</si>
  <si>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</si>
  <si>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</si>
  <si>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</si>
  <si>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</si>
  <si>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</si>
  <si>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</si>
  <si>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</si>
  <si>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</si>
  <si>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</si>
  <si>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</si>
  <si>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</si>
  <si>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</si>
  <si>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</si>
  <si>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</si>
  <si>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</si>
  <si>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</si>
  <si>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</si>
  <si>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</si>
  <si>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</si>
  <si>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</si>
  <si>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</si>
  <si>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</si>
  <si>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</si>
  <si>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</si>
  <si>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</si>
  <si>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</si>
  <si>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</si>
  <si>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</si>
  <si>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</si>
  <si>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</si>
  <si>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</si>
  <si>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</si>
  <si>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</si>
  <si>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</si>
  <si>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</si>
  <si>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</si>
  <si>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</si>
  <si>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</si>
  <si>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</si>
  <si>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</si>
  <si>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</si>
  <si>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</si>
  <si>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</si>
  <si>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</si>
  <si>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</si>
  <si>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</si>
  <si>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</si>
  <si>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</si>
  <si>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</si>
  <si>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</si>
  <si>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</si>
  <si>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</si>
  <si>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</si>
  <si>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</si>
  <si>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</si>
  <si>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</si>
  <si>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</si>
  <si>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</si>
  <si>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</si>
  <si>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</si>
  <si>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</si>
  <si>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</si>
  <si>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</si>
  <si>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</si>
  <si>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</si>
  <si>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</si>
  <si>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</si>
  <si>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</si>
  <si>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</si>
  <si>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</si>
  <si>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</si>
  <si>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</si>
  <si>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</si>
  <si>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</si>
  <si>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</si>
  <si>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</si>
  <si>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</si>
  <si>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</si>
  <si>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</si>
  <si>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</si>
  <si>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</si>
  <si>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</si>
  <si>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</si>
  <si>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</si>
  <si>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</si>
  <si>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</si>
  <si>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</si>
  <si>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</si>
  <si>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</si>
  <si>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</si>
  <si>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</si>
  <si>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</si>
  <si>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</si>
  <si>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</si>
  <si>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</si>
  <si>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</si>
  <si>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</si>
  <si>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</si>
  <si>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</si>
  <si>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</si>
  <si>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</si>
  <si>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</si>
  <si>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</si>
  <si>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</si>
  <si>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</si>
  <si>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</si>
  <si>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</si>
  <si>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</si>
  <si>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</si>
  <si>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</si>
  <si>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</si>
  <si>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</si>
  <si>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</si>
  <si>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</si>
  <si>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</si>
  <si>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</si>
  <si>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</si>
  <si>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</si>
  <si>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</si>
  <si>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</si>
  <si>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</si>
  <si>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</si>
  <si>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</si>
  <si>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</si>
  <si>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</si>
  <si>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</si>
  <si>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</si>
  <si>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</si>
  <si>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</si>
  <si>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</si>
  <si>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</si>
  <si>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</si>
  <si>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</si>
  <si>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</si>
  <si>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</si>
  <si>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</si>
  <si>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</si>
  <si>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</si>
  <si>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</si>
  <si>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</si>
  <si>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</si>
  <si>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</si>
  <si>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</si>
  <si>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</si>
  <si>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</si>
  <si>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</si>
  <si>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</si>
  <si>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</si>
  <si>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</si>
  <si>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</si>
  <si>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</si>
  <si>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</si>
  <si>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</si>
  <si>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</si>
  <si>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</si>
  <si>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</si>
  <si>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</si>
  <si>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</si>
  <si>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</si>
  <si>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</si>
  <si>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</si>
  <si>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</si>
  <si>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</si>
  <si>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</si>
  <si>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</si>
  <si>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</si>
  <si>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</si>
  <si>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</si>
  <si>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</si>
  <si>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</si>
  <si>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</si>
  <si>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</si>
  <si>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</si>
  <si>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</si>
  <si>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</si>
  <si>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</si>
  <si>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</si>
  <si>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</si>
  <si>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</si>
  <si>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</si>
  <si>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</si>
  <si>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</si>
  <si>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</si>
  <si>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</si>
  <si>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</si>
  <si>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</si>
  <si>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</si>
  <si>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</si>
  <si>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</si>
  <si>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</si>
  <si>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</si>
  <si>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</si>
  <si>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</si>
  <si>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</si>
  <si>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</si>
  <si>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</si>
  <si>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</si>
  <si>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</si>
  <si>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</si>
  <si>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</si>
  <si>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</si>
  <si>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</si>
  <si>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</si>
  <si>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</si>
  <si>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</si>
  <si>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</si>
  <si>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</si>
  <si>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</si>
  <si>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</si>
  <si>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</si>
  <si>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</si>
  <si>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</si>
  <si>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</si>
  <si>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</si>
  <si>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</si>
  <si>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</si>
  <si>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</si>
  <si>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</si>
  <si>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</si>
  <si>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</si>
  <si>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</si>
  <si>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</si>
  <si>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</si>
  <si>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</si>
  <si>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</si>
  <si>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</si>
  <si>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</si>
  <si>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</si>
  <si>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</si>
  <si>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</si>
  <si>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</si>
  <si>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</si>
  <si>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</si>
  <si>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</si>
  <si>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</si>
  <si>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</si>
  <si>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</si>
  <si>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</si>
  <si>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</si>
  <si>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</si>
  <si>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</si>
  <si>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</si>
  <si>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</si>
  <si>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</si>
  <si>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</si>
  <si>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</si>
  <si>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</si>
  <si>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</si>
  <si>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</si>
  <si>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</si>
  <si>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</si>
  <si>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</si>
  <si>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</si>
  <si>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</si>
  <si>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</si>
  <si>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</si>
  <si>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</si>
  <si>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</si>
  <si>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</si>
  <si>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</si>
  <si>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</si>
  <si>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</si>
  <si>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</si>
  <si>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</si>
  <si>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</si>
  <si>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</si>
  <si>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</si>
  <si>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</si>
  <si>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</si>
  <si>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</si>
  <si>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</si>
  <si>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</si>
  <si>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</si>
  <si>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</si>
  <si>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</si>
  <si>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</si>
  <si>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</si>
  <si>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</si>
  <si>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</si>
  <si>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</si>
  <si>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</si>
  <si>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</si>
  <si>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</si>
  <si>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</si>
  <si>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</si>
  <si>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</si>
  <si>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</si>
  <si>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</si>
  <si>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</si>
  <si>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</si>
  <si>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</si>
  <si>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</si>
  <si>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</si>
  <si>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</si>
  <si>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</si>
  <si>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</si>
  <si>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</si>
  <si>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</si>
  <si>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</si>
  <si>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</si>
  <si>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</si>
  <si>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</si>
  <si>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</si>
  <si>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</si>
  <si>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</si>
  <si>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</si>
  <si>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</si>
  <si>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</si>
  <si>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</si>
  <si>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</si>
  <si>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</si>
  <si>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</si>
  <si>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</si>
  <si>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</si>
  <si>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</si>
  <si>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</si>
  <si>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</si>
  <si>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</si>
  <si>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</si>
  <si>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</si>
  <si>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</si>
  <si>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</si>
  <si>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</si>
  <si>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</si>
  <si>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</si>
  <si>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</si>
  <si>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</si>
  <si>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</si>
  <si>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</si>
  <si>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</si>
  <si>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</si>
  <si>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</si>
  <si>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</si>
  <si>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</si>
  <si>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</si>
  <si>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</si>
  <si>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</si>
  <si>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</si>
  <si>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</si>
  <si>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</si>
  <si>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</si>
  <si>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</si>
  <si>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</si>
  <si>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</si>
  <si>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</si>
  <si>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</si>
  <si>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</si>
  <si>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</si>
  <si>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</si>
  <si>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</si>
  <si>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</si>
  <si>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</si>
  <si>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</si>
  <si>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</si>
  <si>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</si>
  <si>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</si>
  <si>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</si>
  <si>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</si>
  <si>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</si>
  <si>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</si>
  <si>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</si>
  <si>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</si>
  <si>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</si>
  <si>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</si>
  <si>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</si>
  <si>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</si>
  <si>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</si>
  <si>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</si>
  <si>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</si>
  <si>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</si>
  <si>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</si>
  <si>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</si>
  <si>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</si>
  <si>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</si>
  <si>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</si>
  <si>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</si>
  <si>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</si>
  <si>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</si>
  <si>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</si>
  <si>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</si>
  <si>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</si>
  <si>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</si>
  <si>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</si>
  <si>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</si>
  <si>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</si>
  <si>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</si>
  <si>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</si>
  <si>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</si>
  <si>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</si>
  <si>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</si>
  <si>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</si>
  <si>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</si>
  <si>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</si>
  <si>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</si>
  <si>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</si>
  <si>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</si>
  <si>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</si>
  <si>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</si>
  <si>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</si>
  <si>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</si>
  <si>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</si>
  <si>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</si>
  <si>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</si>
  <si>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</si>
  <si>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</si>
  <si>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</si>
  <si>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</si>
  <si>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</si>
  <si>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</si>
  <si>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</si>
  <si>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</si>
  <si>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</si>
  <si>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</si>
  <si>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</si>
  <si>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</si>
  <si>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</si>
  <si>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</si>
  <si>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</si>
  <si>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</si>
  <si>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</si>
  <si>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</si>
  <si>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</si>
  <si>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</si>
  <si>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</si>
  <si>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</si>
  <si>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</si>
  <si>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</si>
  <si>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</si>
  <si>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</si>
  <si>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</si>
  <si>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</si>
  <si>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</si>
  <si>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</si>
  <si>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</si>
  <si>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</si>
  <si>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</si>
  <si>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</si>
  <si>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</si>
  <si>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</si>
  <si>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</si>
  <si>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</si>
  <si>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</si>
  <si>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</si>
  <si>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</si>
  <si>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</si>
  <si>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</si>
  <si>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</si>
  <si>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</si>
  <si>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</si>
  <si>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</si>
  <si>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</si>
  <si>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</si>
  <si>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</si>
  <si>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</si>
  <si>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</si>
  <si>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</si>
  <si>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</si>
  <si>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</si>
  <si>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</si>
  <si>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</si>
  <si>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</si>
  <si>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</si>
  <si>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</si>
  <si>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</si>
  <si>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</si>
  <si>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</si>
  <si>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</si>
  <si>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</si>
  <si>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</si>
  <si>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</si>
  <si>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</si>
  <si>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</si>
  <si>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</si>
  <si>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</si>
  <si>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</si>
  <si>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</si>
  <si>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</si>
  <si>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</si>
  <si>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</si>
  <si>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</si>
  <si>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</si>
  <si>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</si>
  <si>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</si>
  <si>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</si>
  <si>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</si>
  <si>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</si>
  <si>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</si>
  <si>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</si>
  <si>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</si>
  <si>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</si>
  <si>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</si>
  <si>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</si>
  <si>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</si>
  <si>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</si>
  <si>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</si>
  <si>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</si>
  <si>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</si>
  <si>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</si>
  <si>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</si>
  <si>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</si>
  <si>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</si>
  <si>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</si>
  <si>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</si>
  <si>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</si>
  <si>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</si>
  <si>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</si>
  <si>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</si>
  <si>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</si>
  <si>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</si>
  <si>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</si>
  <si>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</si>
  <si>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</si>
  <si>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</si>
  <si>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</si>
  <si>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</si>
  <si>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</si>
  <si>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</si>
  <si>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</si>
  <si>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</si>
  <si>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</si>
  <si>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</si>
  <si>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</si>
  <si>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</si>
  <si>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</si>
  <si>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</si>
  <si>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</si>
  <si>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</si>
  <si>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</si>
  <si>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</si>
  <si>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</si>
  <si>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</si>
  <si>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</si>
  <si>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</si>
  <si>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</si>
  <si>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</si>
  <si>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</si>
  <si>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</si>
  <si>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</si>
  <si>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</si>
  <si>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</si>
  <si>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</si>
  <si>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</si>
  <si>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</si>
  <si>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</si>
  <si>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</si>
  <si>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</si>
  <si>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</si>
  <si>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</si>
  <si>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</si>
  <si>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</si>
  <si>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</si>
  <si>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</si>
  <si>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</si>
  <si>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</si>
  <si>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</si>
  <si>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</si>
  <si>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</si>
  <si>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</si>
  <si>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</si>
  <si>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</si>
  <si>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</si>
  <si>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</si>
  <si>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</si>
  <si>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</si>
  <si>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</si>
  <si>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</si>
  <si>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</si>
  <si>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</si>
  <si>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</si>
  <si>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</si>
  <si>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</si>
  <si>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</si>
  <si>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</si>
  <si>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</si>
  <si>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</si>
  <si>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</si>
  <si>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</si>
  <si>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</si>
  <si>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</si>
  <si>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</si>
  <si>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</si>
  <si>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</si>
  <si>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</si>
  <si>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</si>
  <si>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</si>
  <si>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</si>
  <si>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</si>
  <si>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</si>
  <si>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</si>
  <si>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</si>
  <si>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</si>
  <si>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</si>
  <si>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</si>
  <si>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</si>
  <si>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</si>
  <si>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</si>
  <si>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</si>
  <si>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</si>
  <si>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</si>
  <si>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</si>
  <si>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</si>
  <si>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</si>
  <si>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</si>
  <si>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</si>
  <si>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</si>
  <si>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</si>
  <si>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</si>
  <si>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</si>
  <si>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</si>
  <si>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</si>
  <si>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</si>
  <si>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</si>
  <si>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</si>
  <si>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</si>
  <si>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</si>
  <si>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</si>
  <si>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</si>
  <si>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</si>
  <si>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</si>
  <si>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</si>
  <si>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</si>
  <si>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</si>
  <si>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</si>
  <si>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</si>
  <si>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</si>
  <si>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</si>
  <si>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</si>
  <si>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</si>
  <si>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</si>
  <si>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</si>
  <si>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</si>
  <si>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</si>
  <si>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</si>
  <si>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</si>
  <si>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</si>
  <si>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</si>
  <si>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</si>
  <si>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</si>
  <si>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</si>
  <si>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</si>
  <si>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</si>
  <si>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</si>
  <si>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</si>
  <si>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</si>
  <si>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</si>
  <si>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</si>
  <si>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</si>
  <si>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</si>
  <si>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</si>
  <si>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</si>
  <si>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</si>
  <si>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</si>
  <si>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</si>
  <si>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</si>
  <si>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</si>
  <si>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</si>
  <si>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</si>
  <si>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</si>
  <si>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</si>
  <si>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</si>
  <si>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</si>
  <si>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</si>
  <si>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</si>
  <si>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</si>
  <si>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</si>
  <si>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</si>
  <si>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</si>
  <si>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</si>
  <si>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</si>
  <si>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</si>
  <si>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</si>
  <si>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</si>
  <si>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</si>
  <si>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</si>
  <si>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</si>
  <si>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</si>
  <si>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</si>
  <si>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</si>
  <si>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</si>
  <si>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</si>
  <si>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</si>
  <si>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</si>
  <si>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</si>
  <si>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</si>
  <si>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</si>
  <si>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</si>
  <si>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</si>
  <si>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</si>
  <si>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</si>
  <si>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</si>
  <si>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</si>
  <si>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</si>
  <si>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</si>
  <si>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</si>
  <si>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</si>
  <si>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</si>
  <si>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</si>
  <si>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</si>
  <si>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</si>
  <si>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</si>
  <si>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</si>
  <si>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</si>
  <si>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</si>
  <si>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</si>
  <si>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</si>
  <si>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</si>
  <si>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</si>
  <si>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</si>
  <si>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</si>
  <si>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</si>
  <si>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</si>
  <si>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</si>
  <si>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</si>
  <si>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</si>
  <si>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</si>
  <si>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</si>
  <si>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</si>
  <si>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</si>
  <si>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</si>
  <si>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</si>
  <si>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</si>
  <si>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</si>
  <si>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</si>
  <si>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</si>
  <si>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</si>
  <si>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</si>
  <si>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</si>
  <si>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</si>
  <si>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</si>
  <si>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</si>
  <si>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</si>
  <si>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</si>
  <si>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</si>
  <si>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</si>
  <si>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</si>
  <si>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</si>
  <si>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</si>
  <si>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</si>
  <si>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</si>
  <si>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</si>
  <si>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</si>
  <si>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</si>
  <si>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</si>
  <si>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</si>
  <si>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</si>
  <si>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</si>
  <si>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</si>
  <si>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</si>
  <si>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</si>
  <si>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</si>
  <si>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</si>
  <si>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</si>
  <si>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</si>
  <si>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</si>
  <si>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</si>
  <si>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</si>
  <si>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</si>
  <si>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</si>
  <si>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</si>
  <si>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</si>
  <si>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</si>
  <si>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</si>
  <si>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</si>
  <si>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</si>
  <si>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</si>
  <si>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</si>
  <si>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</si>
  <si>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</si>
  <si>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</si>
  <si>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</si>
  <si>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</si>
  <si>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</si>
  <si>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</si>
  <si>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</si>
  <si>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</si>
  <si>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</si>
  <si>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</si>
  <si>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</si>
  <si>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</si>
  <si>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</si>
  <si>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</si>
  <si>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</si>
  <si>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</si>
  <si>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</si>
  <si>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</si>
  <si>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</si>
  <si>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</si>
  <si>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</si>
  <si>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</si>
  <si>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</si>
  <si>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</si>
  <si>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</si>
  <si>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</si>
  <si>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</si>
  <si>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</si>
  <si>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</si>
  <si>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</si>
  <si>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</si>
  <si>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</si>
  <si>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</si>
  <si>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</si>
  <si>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</si>
  <si>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</si>
  <si>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</si>
  <si>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</si>
  <si>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</si>
  <si>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</si>
  <si>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</si>
  <si>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</si>
  <si>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</si>
  <si>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</si>
  <si>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</si>
  <si>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</si>
  <si>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</si>
  <si>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</si>
  <si>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</si>
  <si>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</si>
  <si>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</si>
  <si>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</si>
  <si>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</si>
  <si>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</si>
  <si>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</si>
  <si>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</si>
  <si>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</si>
  <si>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</si>
  <si>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</si>
  <si>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</si>
  <si>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</si>
  <si>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</si>
  <si>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</si>
  <si>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</si>
  <si>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</si>
  <si>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</si>
  <si>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</si>
  <si>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</si>
  <si>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</si>
  <si>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</si>
  <si>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</si>
  <si>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</si>
  <si>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</si>
  <si>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</si>
  <si>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</si>
  <si>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</si>
  <si>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</si>
  <si>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</si>
  <si>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</si>
  <si>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</si>
  <si>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</si>
  <si>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</si>
  <si>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</si>
  <si>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</si>
  <si>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</si>
  <si>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</si>
  <si>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</si>
  <si>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</si>
  <si>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</si>
  <si>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</si>
  <si>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</si>
  <si>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</si>
  <si>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</si>
  <si>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</si>
  <si>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</si>
  <si>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</si>
  <si>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</si>
  <si>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</si>
  <si>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</si>
  <si>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</si>
  <si>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</si>
  <si>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</si>
  <si>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</si>
  <si>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</si>
  <si>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</si>
  <si>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</si>
  <si>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</si>
  <si>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</si>
  <si>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</si>
  <si>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</si>
  <si>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</si>
  <si>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</si>
  <si>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</si>
  <si>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</si>
  <si>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</si>
  <si>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</si>
  <si>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</si>
  <si>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</si>
  <si>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</si>
  <si>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</si>
  <si>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</si>
  <si>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</si>
  <si>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</si>
  <si>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</si>
  <si>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</si>
  <si>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</si>
  <si>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</si>
  <si>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</si>
  <si>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</si>
  <si>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</si>
  <si>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</si>
  <si>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</si>
  <si>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</si>
  <si>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</si>
  <si>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</si>
  <si>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</si>
  <si>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</si>
  <si>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</si>
  <si>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</si>
  <si>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</si>
  <si>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</si>
  <si>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</si>
  <si>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</si>
  <si>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</si>
  <si>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</si>
  <si>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</si>
  <si>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</si>
  <si>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</si>
  <si>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</si>
  <si>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</si>
  <si>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</si>
  <si>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</si>
  <si>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</si>
  <si>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</si>
  <si>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</si>
  <si>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</si>
  <si>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</si>
  <si>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</si>
  <si>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</si>
  <si>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</si>
  <si>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</si>
  <si>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</si>
  <si>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</si>
  <si>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</si>
  <si>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</si>
  <si>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</si>
  <si>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</si>
  <si>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</si>
  <si>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</si>
  <si>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</si>
  <si>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</si>
  <si>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</si>
  <si>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</si>
  <si>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</si>
  <si>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</si>
  <si>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</si>
  <si>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</si>
  <si>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</si>
  <si>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</si>
  <si>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</si>
  <si>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</si>
  <si>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</si>
  <si>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</si>
  <si>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</si>
  <si>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</si>
  <si>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</si>
  <si>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</si>
  <si>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</si>
  <si>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</si>
  <si>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</si>
  <si>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</si>
  <si>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</si>
  <si>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</si>
  <si>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</si>
  <si>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</si>
  <si>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</si>
  <si>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</si>
  <si>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</si>
  <si>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</si>
  <si>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</si>
  <si>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</si>
  <si>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</si>
  <si>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</si>
  <si>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</si>
  <si>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</si>
  <si>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</si>
  <si>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</si>
  <si>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</si>
  <si>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</si>
  <si>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</si>
  <si>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</si>
  <si>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</si>
  <si>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</si>
  <si>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</si>
  <si>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</si>
  <si>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</si>
  <si>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</si>
  <si>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</si>
  <si>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</si>
  <si>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</si>
  <si>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</si>
  <si>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</si>
  <si>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</si>
  <si>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</si>
  <si>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</si>
  <si>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</si>
  <si>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</si>
  <si>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</si>
  <si>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</si>
  <si>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</si>
  <si>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</si>
  <si>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</si>
  <si>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</si>
  <si>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</si>
  <si>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</si>
  <si>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</si>
  <si>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</si>
  <si>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</si>
  <si>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</si>
  <si>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</si>
  <si>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</si>
  <si>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</si>
  <si>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</si>
  <si>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</si>
  <si>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</si>
  <si>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</si>
  <si>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</si>
  <si>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</si>
  <si>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</si>
  <si>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</si>
  <si>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</si>
  <si>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</si>
  <si>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</si>
  <si>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</si>
  <si>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</si>
  <si>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</si>
  <si>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</si>
  <si>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</si>
  <si>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</si>
  <si>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</si>
  <si>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</si>
  <si>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</si>
  <si>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</si>
  <si>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</si>
  <si>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</si>
  <si>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</si>
  <si>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</si>
  <si>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</si>
  <si>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</si>
  <si>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</si>
  <si>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</si>
  <si>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</si>
  <si>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</si>
  <si>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</si>
  <si>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</si>
  <si>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</si>
  <si>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</si>
  <si>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</si>
  <si>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</si>
  <si>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</si>
  <si>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</si>
  <si>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</si>
  <si>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</si>
  <si>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</si>
  <si>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</si>
  <si>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</si>
  <si>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</si>
  <si>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</si>
  <si>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</si>
  <si>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</si>
  <si>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</si>
  <si>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</si>
  <si>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</si>
  <si>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</si>
  <si>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</si>
  <si>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</si>
  <si>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</si>
  <si>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</si>
  <si>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</si>
  <si>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</si>
  <si>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</si>
  <si>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</si>
  <si>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</si>
  <si>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</si>
  <si>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</si>
  <si>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</si>
  <si>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</si>
  <si>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</si>
  <si>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</si>
  <si>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</si>
  <si>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</si>
  <si>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</si>
  <si>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</si>
  <si>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</si>
  <si>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</si>
  <si>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</si>
  <si>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</si>
  <si>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</si>
  <si>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</si>
  <si>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</si>
  <si>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</si>
  <si>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</si>
  <si>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</si>
  <si>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</si>
  <si>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</si>
  <si>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</si>
  <si>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</si>
  <si>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</si>
  <si>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</si>
  <si>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</si>
  <si>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</si>
  <si>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</si>
  <si>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</si>
  <si>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</si>
  <si>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</si>
  <si>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</si>
  <si>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</si>
  <si>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</si>
  <si>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</si>
  <si>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</si>
  <si>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</si>
  <si>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</si>
  <si>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</si>
  <si>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</si>
  <si>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</si>
  <si>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</si>
  <si>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</si>
  <si>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</si>
  <si>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</si>
  <si>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</si>
  <si>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</si>
  <si>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</si>
  <si>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</si>
  <si>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</si>
  <si>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</si>
  <si>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</si>
  <si>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</si>
  <si>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</si>
  <si>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</si>
  <si>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</si>
  <si>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</si>
  <si>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</si>
  <si>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</si>
  <si>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</si>
  <si>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</si>
  <si>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</si>
  <si>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</si>
  <si>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</si>
  <si>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</si>
  <si>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</si>
  <si>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</si>
  <si>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</si>
  <si>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</si>
  <si>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</si>
  <si>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</si>
  <si>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</si>
  <si>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</si>
  <si>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</si>
  <si>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</si>
  <si>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</si>
  <si>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</si>
  <si>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</si>
  <si>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</si>
  <si>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</si>
  <si>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</si>
  <si>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</si>
  <si>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</si>
  <si>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</si>
  <si>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</si>
  <si>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</si>
  <si>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</si>
  <si>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</si>
  <si>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</si>
  <si>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</si>
  <si>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</si>
  <si>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</si>
  <si>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</si>
  <si>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</si>
  <si>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</si>
  <si>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</si>
  <si>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</si>
  <si>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</si>
  <si>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</si>
  <si>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</si>
  <si>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</si>
  <si>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</si>
  <si>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</si>
  <si>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</si>
  <si>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</si>
  <si>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</si>
  <si>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</si>
  <si>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</si>
  <si>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</si>
  <si>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</si>
  <si>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</si>
  <si>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</si>
  <si>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</si>
  <si>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</si>
  <si>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</si>
  <si>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</si>
  <si>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</si>
  <si>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</si>
  <si>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</si>
  <si>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</si>
  <si>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</si>
  <si>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</si>
  <si>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</si>
  <si>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</si>
  <si>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</si>
  <si>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</si>
  <si>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</si>
  <si>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</si>
  <si>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</si>
  <si>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</si>
  <si>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</si>
  <si>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</si>
  <si>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</si>
  <si>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</si>
  <si>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</si>
  <si>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</si>
  <si>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</si>
  <si>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</si>
  <si>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</si>
  <si>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</si>
  <si>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</si>
  <si>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</si>
  <si>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</si>
  <si>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</si>
  <si>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</si>
  <si>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</si>
  <si>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</si>
  <si>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</si>
  <si>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</si>
  <si>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</si>
  <si>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</si>
  <si>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</si>
  <si>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</si>
  <si>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</si>
  <si>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</si>
  <si>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</si>
  <si>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</si>
  <si>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</si>
  <si>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</si>
  <si>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</si>
  <si>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</si>
  <si>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</si>
  <si>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</si>
  <si>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</si>
  <si>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</si>
  <si>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</si>
  <si>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</si>
  <si>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</si>
  <si>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</si>
  <si>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</si>
  <si>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</si>
  <si>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</si>
  <si>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</si>
  <si>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</si>
  <si>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</si>
  <si>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</si>
  <si>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</si>
  <si>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</si>
  <si>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</si>
  <si>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</si>
  <si>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</si>
  <si>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</si>
  <si>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</si>
  <si>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</si>
  <si>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</si>
  <si>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</si>
  <si>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</si>
  <si>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</si>
  <si>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</si>
  <si>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</si>
  <si>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</si>
  <si>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</si>
  <si>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</si>
  <si>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</si>
  <si>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</si>
  <si>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</si>
  <si>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</si>
  <si>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</si>
  <si>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</si>
  <si>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</si>
  <si>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</si>
  <si>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</si>
  <si>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</si>
  <si>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</si>
  <si>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</si>
  <si>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</si>
  <si>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</si>
  <si>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</si>
  <si>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</si>
  <si>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</si>
  <si>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</si>
  <si>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</si>
  <si>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</si>
  <si>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</si>
  <si>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</si>
  <si>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</si>
  <si>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</si>
  <si>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</si>
  <si>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</si>
  <si>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</si>
  <si>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</si>
  <si>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</si>
  <si>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</si>
  <si>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</si>
  <si>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</si>
  <si>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</si>
  <si>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</si>
  <si>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</si>
  <si>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</si>
  <si>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</si>
  <si>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</si>
  <si>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</si>
  <si>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</si>
  <si>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</si>
  <si>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</si>
  <si>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</si>
  <si>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</si>
  <si>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</si>
  <si>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</si>
  <si>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</si>
  <si>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</si>
  <si>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</si>
  <si>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</si>
  <si>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</si>
  <si>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</si>
  <si>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</si>
  <si>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</si>
  <si>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</si>
  <si>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</si>
  <si>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</si>
  <si>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</si>
  <si>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</si>
  <si>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</si>
  <si>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</si>
  <si>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</si>
  <si>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</si>
  <si>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</si>
  <si>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</si>
  <si>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</si>
  <si>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</si>
  <si>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</si>
  <si>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</si>
  <si>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</si>
  <si>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</si>
  <si>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</si>
  <si>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</si>
  <si>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</si>
  <si>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</si>
  <si>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</si>
  <si>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</si>
  <si>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</si>
  <si>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</si>
  <si>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</si>
  <si>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</si>
  <si>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</si>
  <si>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</si>
  <si>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</si>
  <si>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</si>
  <si>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</si>
  <si>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</si>
  <si>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</si>
  <si>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</si>
  <si>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</si>
  <si>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</si>
  <si>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</si>
  <si>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</si>
  <si>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</si>
  <si>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</si>
  <si>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</si>
  <si>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</si>
  <si>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</si>
  <si>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</si>
  <si>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</si>
  <si>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</si>
  <si>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</si>
  <si>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</si>
  <si>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</si>
  <si>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</si>
  <si>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</si>
  <si>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</si>
  <si>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</si>
  <si>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</si>
  <si>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</si>
  <si>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</si>
  <si>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</si>
  <si>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</si>
  <si>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</si>
  <si>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</si>
  <si>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</si>
  <si>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</si>
  <si>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</si>
  <si>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</si>
  <si>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</si>
  <si>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</si>
  <si>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</si>
  <si>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</si>
  <si>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</si>
  <si>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</si>
  <si>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</si>
  <si>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</si>
  <si>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</si>
  <si>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</si>
  <si>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</si>
  <si>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</si>
  <si>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</si>
  <si>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</si>
  <si>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</si>
  <si>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</si>
  <si>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</si>
  <si>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</si>
  <si>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</si>
  <si>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</si>
  <si>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</si>
  <si>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</si>
  <si>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</si>
  <si>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</si>
  <si>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</si>
  <si>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</si>
  <si>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</si>
  <si>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</si>
  <si>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</si>
  <si>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</si>
  <si>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</si>
  <si>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</si>
  <si>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</si>
  <si>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</si>
  <si>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</si>
  <si>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</si>
  <si>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</si>
  <si>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</si>
  <si>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</si>
  <si>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</si>
  <si>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</si>
  <si>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</si>
  <si>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</si>
  <si>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</si>
  <si>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</si>
  <si>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</si>
  <si>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</si>
  <si>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</si>
  <si>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</si>
  <si>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</si>
  <si>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</si>
  <si>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</si>
  <si>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</si>
  <si>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</si>
  <si>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</si>
  <si>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</si>
  <si>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</si>
  <si>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</si>
  <si>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</si>
  <si>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</si>
  <si>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</si>
  <si>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</si>
  <si>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</si>
  <si>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</si>
  <si>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</si>
  <si>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</si>
  <si>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</si>
  <si>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</si>
  <si>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</si>
  <si>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</si>
  <si>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</si>
  <si>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</si>
  <si>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</si>
  <si>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</si>
  <si>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</si>
  <si>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</si>
  <si>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</si>
  <si>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</si>
  <si>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</si>
  <si>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</si>
  <si>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</si>
  <si>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</si>
  <si>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</si>
  <si>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</si>
  <si>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</si>
  <si>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</si>
  <si>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</si>
  <si>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</si>
  <si>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</si>
  <si>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</si>
  <si>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</si>
  <si>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</si>
  <si>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</si>
  <si>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</si>
  <si>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</si>
  <si>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</si>
  <si>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</si>
  <si>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</si>
  <si>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</si>
  <si>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</si>
  <si>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</si>
  <si>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</si>
  <si>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</si>
  <si>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</si>
  <si>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</si>
  <si>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</si>
  <si>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</si>
  <si>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</si>
  <si>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</si>
  <si>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</si>
  <si>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</si>
  <si>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</si>
  <si>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</si>
  <si>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</si>
  <si>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</si>
  <si>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</si>
  <si>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</si>
  <si>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</si>
  <si>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</si>
  <si>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</si>
  <si>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</si>
  <si>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</si>
  <si>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</si>
  <si>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</si>
  <si>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</si>
  <si>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</si>
  <si>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</si>
  <si>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</si>
  <si>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</si>
  <si>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</si>
  <si>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</si>
  <si>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</si>
  <si>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</si>
  <si>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</si>
  <si>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</si>
  <si>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</si>
  <si>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</si>
  <si>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</si>
  <si>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</si>
  <si>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</si>
  <si>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</si>
  <si>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</si>
  <si>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</si>
  <si>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</si>
  <si>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</si>
  <si>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</si>
  <si>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</si>
  <si>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</si>
  <si>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</si>
  <si>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</si>
  <si>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</si>
  <si>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</si>
  <si>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</si>
  <si>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</si>
  <si>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</si>
  <si>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</si>
  <si>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</si>
  <si>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</si>
  <si>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</si>
  <si>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</si>
  <si>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</si>
  <si>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</si>
  <si>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</si>
  <si>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</si>
  <si>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</si>
  <si>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</si>
  <si>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</si>
  <si>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</si>
  <si>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</si>
  <si>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</si>
  <si>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</si>
  <si>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</si>
  <si>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</si>
  <si>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</si>
  <si>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</si>
  <si>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</si>
  <si>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</si>
  <si>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</si>
  <si>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</si>
  <si>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</si>
  <si>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</si>
  <si>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</si>
  <si>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</si>
  <si>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</si>
  <si>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</si>
  <si>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</si>
  <si>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</si>
  <si>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</si>
  <si>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</si>
  <si>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</si>
  <si>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</si>
  <si>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</si>
  <si>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</si>
  <si>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</si>
  <si>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</si>
  <si>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</si>
  <si>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</si>
  <si>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</si>
  <si>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</si>
  <si>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</si>
  <si>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</si>
  <si>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</si>
  <si>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</si>
  <si>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</si>
  <si>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</si>
  <si>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</si>
  <si>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</si>
  <si>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</si>
  <si>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</si>
  <si>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</si>
  <si>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</si>
  <si>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</si>
  <si>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</si>
  <si>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</si>
  <si>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</si>
  <si>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</si>
  <si>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</si>
  <si>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</si>
  <si>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</si>
  <si>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</si>
  <si>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</si>
  <si>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</si>
  <si>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</si>
  <si>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</si>
  <si>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</si>
  <si>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</si>
  <si>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</si>
  <si>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</si>
  <si>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</si>
  <si>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</si>
  <si>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</si>
  <si>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</si>
  <si>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</si>
  <si>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</si>
  <si>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</si>
  <si>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</si>
  <si>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</si>
  <si>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</si>
  <si>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</si>
  <si>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</si>
  <si>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</si>
  <si>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</si>
  <si>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</si>
  <si>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</si>
  <si>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</si>
  <si>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</si>
  <si>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</si>
  <si>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</si>
  <si>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</si>
  <si>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</si>
  <si>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</si>
  <si>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</si>
  <si>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</si>
  <si>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</si>
  <si>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</si>
  <si>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</si>
  <si>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</si>
  <si>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</si>
  <si>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</si>
  <si>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</si>
  <si>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</si>
  <si>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</si>
  <si>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</si>
  <si>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</si>
  <si>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</si>
  <si>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</si>
  <si>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</si>
  <si>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</si>
  <si>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</si>
  <si>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</si>
  <si>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</si>
  <si>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</si>
  <si>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</si>
  <si>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</si>
  <si>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</si>
  <si>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</si>
  <si>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</si>
  <si>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</si>
  <si>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</si>
  <si>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</si>
  <si>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</si>
  <si>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</si>
  <si>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</si>
  <si>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</si>
  <si>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</si>
  <si>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</si>
  <si>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</si>
  <si>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</si>
  <si>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</si>
  <si>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</si>
  <si>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</si>
  <si>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</si>
  <si>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</si>
  <si>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</si>
  <si>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</si>
  <si>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</si>
  <si>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</si>
  <si>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</si>
  <si>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</si>
  <si>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</si>
  <si>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</si>
  <si>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</si>
  <si>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</si>
  <si>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</si>
  <si>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</si>
  <si>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</si>
  <si>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</si>
  <si>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</si>
  <si>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</si>
  <si>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</si>
  <si>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</si>
  <si>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</si>
  <si>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</si>
  <si>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</si>
  <si>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</si>
  <si>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</si>
  <si>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</si>
  <si>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</si>
  <si>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</si>
  <si>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</si>
  <si>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</si>
  <si>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</si>
  <si>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</si>
  <si>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</si>
  <si>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</si>
  <si>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</si>
  <si>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</si>
  <si>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</si>
  <si>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</si>
  <si>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</si>
  <si>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</si>
  <si>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</si>
  <si>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</si>
  <si>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</si>
  <si>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</si>
  <si>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</si>
  <si>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</si>
  <si>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</si>
  <si>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</si>
  <si>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</si>
  <si>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</si>
  <si>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</si>
  <si>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</si>
  <si>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</si>
  <si>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</si>
  <si>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</si>
  <si>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</si>
  <si>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</si>
  <si>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</si>
  <si>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</si>
  <si>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</si>
  <si>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</si>
  <si>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</si>
  <si>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</si>
  <si>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</si>
  <si>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</si>
  <si>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</si>
  <si>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</si>
  <si>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</si>
  <si>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</si>
  <si>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</si>
  <si>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</si>
  <si>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</si>
  <si>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</si>
  <si>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</si>
  <si>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</si>
  <si>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</si>
  <si>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</si>
  <si>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</si>
  <si>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</si>
  <si>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</si>
  <si>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</si>
  <si>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</si>
  <si>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</si>
  <si>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</si>
  <si>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</si>
  <si>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</si>
  <si>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</si>
  <si>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</si>
  <si>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</si>
  <si>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</si>
  <si>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</si>
  <si>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</si>
  <si>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</si>
  <si>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</si>
  <si>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</si>
  <si>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</si>
  <si>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</si>
  <si>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</si>
  <si>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</si>
  <si>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</si>
  <si>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</si>
  <si>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</si>
  <si>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</si>
  <si>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</si>
  <si>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</si>
  <si>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</si>
  <si>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</si>
  <si>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</si>
  <si>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</si>
  <si>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</si>
  <si>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</si>
  <si>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</si>
  <si>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</si>
  <si>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</si>
  <si>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</si>
  <si>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</si>
  <si>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</si>
  <si>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</si>
  <si>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</si>
  <si>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</si>
  <si>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</si>
  <si>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</si>
  <si>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</si>
  <si>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</si>
  <si>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</si>
  <si>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</si>
  <si>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</si>
  <si>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</si>
  <si>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</si>
  <si>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</si>
  <si>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</si>
  <si>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</si>
  <si>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</si>
  <si>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</si>
  <si>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</si>
  <si>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</si>
  <si>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</si>
  <si>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</si>
  <si>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</si>
  <si>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</si>
  <si>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</si>
  <si>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</si>
  <si>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</si>
  <si>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</si>
  <si>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</si>
  <si>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</si>
  <si>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</si>
  <si>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</si>
  <si>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</si>
  <si>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</si>
  <si>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</si>
  <si>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</si>
  <si>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</si>
  <si>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</si>
  <si>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</si>
  <si>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</si>
  <si>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</si>
  <si>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</si>
  <si>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</si>
  <si>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</si>
  <si>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</si>
  <si>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</si>
  <si>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</si>
  <si>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</si>
  <si>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</si>
  <si>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</si>
  <si>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</si>
  <si>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</si>
  <si>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</si>
  <si>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</si>
  <si>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</si>
  <si>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</si>
  <si>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</si>
  <si>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</si>
  <si>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</si>
  <si>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</si>
  <si>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</si>
  <si>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</si>
  <si>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</si>
  <si>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</si>
  <si>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</si>
  <si>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</si>
  <si>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</si>
  <si>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</si>
  <si>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</si>
  <si>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</si>
  <si>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</si>
  <si>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</si>
  <si>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</si>
  <si>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</si>
  <si>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</si>
  <si>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</si>
  <si>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</si>
  <si>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</si>
  <si>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</si>
  <si>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</si>
  <si>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</si>
  <si>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</si>
  <si>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</si>
  <si>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</si>
  <si>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</si>
  <si>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</si>
  <si>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</si>
  <si>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</si>
  <si>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</si>
  <si>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</si>
  <si>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</si>
  <si>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</si>
  <si>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</si>
  <si>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</si>
  <si>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</si>
  <si>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</si>
  <si>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</si>
  <si>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</si>
  <si>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</si>
  <si>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</si>
  <si>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</si>
  <si>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</si>
  <si>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</si>
  <si>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</si>
  <si>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</si>
  <si>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</si>
  <si>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</si>
  <si>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</si>
  <si>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</si>
  <si>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</si>
  <si>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</si>
  <si>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</si>
  <si>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</si>
  <si>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</si>
  <si>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</si>
  <si>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</si>
  <si>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</si>
  <si>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</si>
  <si>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</si>
  <si>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</si>
  <si>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</si>
  <si>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</si>
  <si>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</si>
  <si>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</si>
  <si>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</si>
  <si>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</si>
  <si>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</si>
  <si>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</si>
  <si>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</si>
  <si>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</si>
  <si>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</si>
  <si>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</si>
  <si>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</si>
  <si>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</si>
  <si>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</si>
  <si>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</si>
  <si>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</si>
  <si>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</si>
  <si>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</si>
  <si>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</si>
  <si>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</si>
  <si>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</si>
  <si>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</si>
  <si>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</si>
  <si>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</si>
  <si>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</si>
  <si>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</si>
  <si>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</si>
  <si>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</si>
  <si>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</si>
  <si>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</si>
  <si>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</si>
  <si>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</si>
  <si>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</si>
  <si>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</si>
  <si>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</si>
  <si>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</si>
  <si>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</si>
  <si>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</si>
  <si>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</si>
  <si>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</si>
  <si>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</si>
  <si>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</si>
  <si>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</si>
  <si>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</si>
  <si>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</si>
  <si>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</si>
  <si>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</si>
  <si>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</si>
  <si>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</si>
  <si>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</si>
  <si>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</si>
  <si>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</si>
  <si>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</si>
  <si>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</si>
  <si>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</si>
  <si>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</si>
  <si>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</si>
  <si>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</si>
  <si>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</si>
  <si>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</si>
  <si>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</si>
  <si>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</si>
  <si>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</si>
  <si>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</si>
  <si>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</si>
  <si>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</si>
  <si>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</si>
  <si>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</si>
  <si>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</si>
  <si>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</si>
  <si>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</si>
  <si>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</si>
  <si>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</si>
  <si>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</si>
  <si>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</si>
  <si>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</si>
  <si>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</si>
  <si>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</si>
  <si>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</si>
  <si>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</si>
  <si>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</si>
  <si>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</si>
  <si>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</si>
  <si>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</si>
  <si>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</si>
  <si>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</si>
  <si>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</si>
  <si>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</si>
  <si>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</si>
  <si>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</si>
  <si>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</si>
  <si>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</si>
  <si>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</si>
  <si>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</si>
  <si>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</si>
  <si>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</si>
  <si>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</si>
  <si>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</si>
  <si>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</si>
  <si>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</si>
  <si>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</si>
  <si>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</si>
  <si>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</si>
  <si>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</si>
  <si>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</si>
  <si>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</si>
  <si>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</si>
  <si>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</si>
  <si>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</si>
  <si>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</si>
  <si>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</si>
  <si>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</si>
  <si>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</si>
  <si>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</si>
  <si>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</si>
  <si>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</si>
  <si>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</si>
  <si>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</si>
  <si>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</si>
  <si>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</si>
  <si>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</si>
  <si>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</si>
  <si>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</si>
  <si>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</si>
  <si>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</si>
  <si>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</si>
  <si>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</si>
  <si>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</si>
  <si>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</si>
  <si>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</si>
  <si>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</si>
  <si>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</si>
  <si>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</si>
  <si>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</si>
  <si>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</si>
  <si>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</si>
  <si>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</si>
  <si>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</si>
  <si>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</si>
  <si>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</si>
  <si>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</si>
  <si>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</si>
  <si>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</si>
  <si>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</si>
  <si>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</si>
  <si>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</si>
  <si>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</si>
  <si>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</si>
  <si>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</si>
  <si>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</si>
  <si>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</si>
  <si>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</si>
  <si>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</si>
  <si>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</si>
  <si>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</si>
  <si>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</si>
  <si>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</si>
  <si>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</si>
  <si>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</si>
  <si>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</si>
  <si>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</si>
  <si>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</si>
  <si>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</si>
  <si>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</si>
  <si>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</si>
  <si>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</si>
  <si>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</si>
  <si>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</si>
  <si>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</si>
  <si>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</si>
  <si>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</si>
  <si>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</si>
  <si>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</si>
  <si>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</si>
  <si>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</si>
  <si>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</si>
  <si>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</si>
  <si>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</si>
  <si>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</si>
  <si>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</si>
  <si>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</si>
  <si>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</si>
  <si>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</si>
  <si>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</si>
  <si>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</si>
  <si>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</si>
  <si>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</si>
  <si>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</si>
  <si>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</si>
  <si>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</si>
  <si>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</si>
  <si>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</si>
  <si>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</si>
  <si>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</si>
  <si>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</si>
  <si>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</si>
  <si>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</si>
  <si>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</si>
  <si>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</si>
  <si>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</si>
  <si>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</si>
  <si>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</si>
  <si>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</si>
  <si>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</si>
  <si>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</si>
  <si>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</si>
  <si>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</si>
  <si>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</si>
  <si>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</si>
  <si>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</si>
  <si>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</si>
  <si>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</si>
  <si>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</si>
  <si>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</si>
  <si>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</si>
  <si>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</si>
  <si>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</si>
  <si>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</si>
  <si>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</si>
  <si>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</si>
  <si>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</si>
  <si>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</si>
  <si>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</si>
  <si>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</si>
  <si>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</si>
  <si>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</si>
  <si>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</si>
  <si>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</si>
  <si>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</si>
  <si>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</si>
  <si>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</si>
  <si>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</si>
  <si>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</si>
  <si>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</si>
  <si>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</si>
  <si>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</si>
  <si>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</si>
  <si>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</si>
  <si>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</si>
  <si>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</si>
  <si>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</si>
  <si>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</si>
  <si>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</si>
  <si>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</si>
  <si>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</si>
  <si>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</si>
  <si>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</si>
  <si>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</si>
  <si>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</si>
  <si>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</si>
  <si>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</si>
  <si>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</si>
  <si>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</si>
  <si>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</si>
  <si>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</si>
  <si>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</si>
  <si>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</si>
  <si>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</si>
  <si>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</si>
  <si>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</si>
  <si>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</si>
  <si>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</si>
  <si>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</si>
  <si>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</si>
  <si>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</si>
  <si>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</si>
  <si>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</si>
  <si>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</si>
  <si>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</si>
  <si>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</si>
  <si>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</si>
  <si>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</si>
  <si>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</si>
  <si>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</si>
  <si>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</si>
  <si>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</si>
  <si>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</si>
  <si>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</si>
  <si>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</si>
  <si>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</si>
  <si>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</si>
  <si>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</si>
  <si>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</si>
  <si>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</si>
  <si>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</si>
  <si>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</si>
  <si>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</si>
  <si>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</si>
  <si>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</si>
  <si>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</si>
  <si>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</si>
  <si>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</si>
  <si>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</si>
  <si>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</si>
  <si>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</si>
  <si>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</si>
  <si>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</si>
  <si>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</si>
  <si>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</si>
  <si>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</si>
  <si>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</si>
  <si>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</si>
  <si>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</si>
  <si>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</si>
  <si>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</si>
  <si>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</si>
  <si>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</si>
  <si>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</si>
  <si>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</si>
  <si>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</si>
  <si>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</si>
  <si>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</si>
  <si>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</si>
  <si>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</si>
  <si>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</si>
  <si>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</si>
  <si>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</si>
  <si>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</si>
  <si>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</si>
  <si>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</si>
  <si>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</si>
  <si>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</si>
  <si>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</si>
  <si>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</si>
  <si>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</si>
  <si>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</si>
  <si>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</si>
  <si>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</si>
  <si>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</si>
  <si>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</si>
  <si>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</si>
  <si>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</si>
  <si>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</si>
  <si>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</si>
  <si>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</si>
  <si>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</si>
  <si>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</si>
  <si>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</si>
  <si>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</si>
  <si>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</si>
  <si>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</si>
  <si>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</si>
  <si>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</si>
  <si>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</si>
  <si>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</si>
  <si>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</si>
  <si>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</si>
  <si>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</si>
  <si>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</si>
  <si>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</si>
  <si>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</si>
  <si>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</si>
  <si>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</si>
  <si>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</si>
  <si>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</si>
  <si>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</si>
  <si>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</si>
  <si>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</si>
  <si>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</si>
  <si>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</si>
  <si>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</si>
  <si>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</si>
  <si>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</si>
  <si>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</si>
  <si>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</si>
  <si>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</si>
  <si>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</si>
  <si>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</si>
  <si>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</si>
  <si>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</si>
  <si>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</si>
  <si>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</si>
  <si>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</si>
  <si>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</si>
  <si>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</si>
  <si>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</si>
  <si>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</si>
  <si>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</si>
  <si>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</si>
  <si>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</si>
  <si>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</si>
  <si>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</si>
  <si>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</si>
  <si>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</si>
  <si>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</si>
  <si>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</si>
  <si>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</si>
  <si>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</si>
  <si>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</si>
  <si>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</si>
  <si>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</si>
  <si>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</si>
  <si>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</si>
  <si>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</si>
  <si>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</si>
  <si>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</si>
  <si>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</si>
  <si>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</si>
  <si>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</si>
  <si>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</si>
  <si>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</si>
  <si>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</si>
  <si>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</si>
  <si>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</si>
  <si>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</si>
  <si>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</si>
  <si>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</si>
  <si>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</si>
  <si>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</si>
  <si>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</si>
  <si>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</si>
  <si>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</si>
  <si>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</si>
  <si>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</si>
  <si>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</si>
  <si>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</si>
  <si>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</si>
  <si>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</si>
  <si>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</si>
  <si>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</si>
  <si>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</si>
  <si>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</si>
  <si>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</si>
  <si>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</si>
  <si>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</si>
  <si>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</si>
  <si>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</si>
  <si>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</si>
  <si>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</si>
  <si>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</si>
  <si>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</si>
  <si>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</si>
  <si>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</si>
  <si>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</si>
  <si>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</si>
  <si>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</si>
  <si>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</si>
  <si>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</si>
  <si>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</si>
  <si>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</si>
  <si>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</si>
  <si>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</si>
  <si>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</si>
  <si>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</si>
  <si>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</si>
  <si>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</si>
  <si>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</si>
  <si>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</si>
  <si>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</si>
  <si>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</si>
  <si>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</si>
  <si>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</si>
  <si>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</si>
  <si>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</si>
  <si>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</si>
  <si>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</si>
  <si>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</si>
  <si>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</si>
  <si>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</si>
  <si>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</si>
  <si>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</si>
  <si>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</si>
  <si>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</si>
  <si>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</si>
  <si>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</si>
  <si>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</si>
  <si>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</si>
  <si>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</si>
  <si>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</si>
  <si>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</si>
  <si>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</si>
  <si>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</si>
  <si>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</si>
  <si>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</si>
  <si>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</si>
  <si>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</si>
  <si>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</si>
  <si>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</si>
  <si>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</si>
  <si>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</si>
  <si>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</si>
  <si>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</si>
  <si>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</si>
  <si>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</si>
  <si>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</si>
  <si>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</si>
  <si>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</si>
  <si>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</si>
  <si>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</si>
  <si>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</si>
  <si>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</si>
  <si>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</si>
  <si>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</si>
  <si>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</si>
  <si>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</si>
  <si>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</si>
  <si>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</si>
  <si>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</si>
  <si>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</si>
  <si>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</si>
  <si>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</si>
  <si>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</si>
  <si>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</si>
  <si>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</si>
  <si>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</si>
  <si>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</si>
  <si>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</si>
  <si>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</si>
  <si>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</si>
  <si>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</si>
  <si>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</si>
  <si>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</si>
  <si>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</si>
  <si>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</si>
  <si>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</si>
  <si>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</si>
  <si>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</si>
  <si>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</si>
  <si>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</si>
  <si>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</si>
  <si>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</si>
  <si>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</si>
  <si>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</si>
  <si>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</si>
  <si>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</si>
  <si>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</si>
  <si>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</si>
  <si>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</si>
  <si>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</si>
  <si>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</si>
  <si>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</si>
  <si>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</si>
  <si>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</si>
  <si>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</si>
  <si>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</si>
  <si>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</si>
  <si>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</si>
  <si>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</si>
  <si>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</si>
  <si>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</si>
  <si>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</si>
  <si>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</si>
  <si>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</si>
  <si>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</si>
  <si>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</si>
  <si>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</si>
  <si>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</si>
  <si>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</si>
  <si>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</si>
  <si>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</si>
  <si>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</si>
  <si>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</si>
  <si>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</si>
  <si>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</si>
  <si>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</si>
  <si>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</si>
  <si>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</si>
  <si>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</si>
  <si>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</si>
  <si>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</si>
  <si>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</si>
  <si>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</si>
  <si>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</si>
  <si>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</si>
  <si>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</si>
  <si>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</si>
  <si>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</si>
  <si>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</si>
  <si>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</si>
  <si>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</si>
  <si>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</si>
  <si>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</si>
  <si>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</si>
  <si>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</si>
  <si>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</si>
  <si>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</si>
  <si>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</si>
  <si>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</si>
  <si>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</si>
  <si>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</si>
  <si>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</si>
  <si>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</si>
  <si>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</si>
  <si>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</si>
  <si>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</si>
  <si>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</si>
  <si>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</si>
  <si>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</si>
  <si>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</si>
  <si>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</si>
  <si>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</si>
  <si>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</si>
  <si>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</si>
  <si>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</si>
  <si>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</si>
  <si>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</si>
  <si>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</si>
  <si>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</si>
  <si>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</si>
  <si>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</si>
  <si>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</si>
  <si>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</si>
  <si>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</si>
  <si>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</si>
  <si>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</si>
  <si>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</si>
  <si>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</si>
  <si>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</si>
  <si>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</si>
  <si>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</si>
  <si>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</si>
  <si>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</si>
  <si>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</si>
  <si>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</si>
  <si>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</si>
  <si>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</si>
  <si>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</si>
  <si>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</si>
  <si>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</si>
  <si>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</si>
  <si>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</si>
  <si>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</si>
  <si>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</si>
  <si>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</si>
  <si>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</si>
  <si>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</si>
  <si>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</si>
  <si>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</si>
  <si>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</si>
  <si>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</si>
  <si>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</si>
  <si>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</si>
  <si>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</si>
  <si>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</si>
  <si>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</si>
  <si>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</si>
  <si>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</si>
  <si>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</si>
  <si>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</si>
  <si>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</si>
  <si>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</si>
  <si>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</si>
  <si>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</si>
  <si>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</si>
  <si>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</si>
  <si>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</si>
  <si>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</si>
  <si>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</si>
  <si>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</si>
  <si>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</si>
  <si>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</si>
  <si>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</si>
  <si>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</si>
  <si>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</si>
  <si>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</si>
  <si>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</si>
  <si>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</si>
  <si>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</si>
  <si>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</si>
  <si>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</si>
  <si>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</si>
  <si>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</si>
  <si>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</si>
  <si>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</si>
  <si>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</si>
  <si>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</si>
  <si>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</si>
  <si>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</si>
  <si>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</si>
  <si>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</si>
  <si>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</si>
  <si>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</si>
  <si>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</si>
  <si>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</si>
  <si>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</si>
  <si>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</si>
  <si>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</si>
  <si>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</si>
  <si>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</si>
  <si>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</si>
  <si>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</si>
  <si>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</si>
  <si>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</si>
  <si>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</si>
  <si>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</si>
  <si>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</si>
  <si>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</si>
  <si>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</si>
  <si>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</si>
  <si>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</si>
  <si>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</si>
  <si>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</si>
  <si>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</si>
  <si>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</si>
  <si>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</si>
  <si>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</si>
  <si>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</si>
  <si>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</si>
  <si>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</si>
  <si>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</si>
  <si>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</si>
  <si>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</si>
  <si>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</si>
  <si>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</si>
  <si>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</si>
  <si>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</si>
  <si>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</si>
  <si>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</si>
  <si>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</si>
  <si>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</si>
  <si>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</si>
  <si>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</si>
  <si>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</si>
  <si>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</si>
  <si>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</si>
  <si>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</si>
  <si>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</si>
  <si>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</si>
  <si>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</si>
  <si>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</si>
  <si>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</si>
  <si>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</si>
  <si>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</si>
  <si>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</si>
  <si>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</si>
  <si>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</si>
  <si>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</si>
  <si>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</si>
  <si>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</si>
  <si>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</si>
  <si>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</si>
  <si>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</si>
  <si>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</si>
  <si>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</si>
  <si>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</si>
  <si>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</si>
  <si>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</si>
  <si>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</si>
  <si>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</si>
  <si>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</si>
  <si>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</si>
  <si>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</si>
  <si>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</si>
  <si>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</si>
  <si>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</si>
  <si>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</si>
  <si>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</si>
  <si>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</si>
  <si>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</si>
  <si>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</si>
  <si>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</si>
  <si>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</si>
  <si>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</si>
  <si>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</si>
  <si>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</si>
  <si>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</si>
  <si>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</si>
  <si>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</si>
  <si>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</si>
  <si>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</si>
  <si>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</si>
  <si>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</si>
  <si>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</si>
  <si>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</si>
  <si>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</si>
  <si>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</si>
  <si>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</si>
  <si>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</si>
  <si>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</si>
  <si>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</si>
  <si>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</si>
  <si>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</si>
  <si>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</si>
  <si>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</si>
  <si>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</si>
  <si>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</si>
  <si>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</si>
  <si>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</si>
  <si>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</si>
  <si>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</si>
  <si>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</si>
  <si>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</si>
  <si>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</si>
  <si>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</si>
  <si>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</si>
  <si>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</si>
  <si>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</si>
  <si>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</si>
  <si>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</si>
  <si>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</si>
  <si>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</si>
  <si>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</si>
  <si>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</si>
  <si>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</si>
  <si>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</si>
  <si>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</si>
  <si>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</si>
  <si>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</si>
  <si>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</si>
  <si>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</si>
  <si>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</si>
  <si>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</si>
  <si>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</si>
  <si>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</si>
  <si>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</si>
  <si>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</si>
  <si>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</si>
  <si>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</si>
  <si>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</si>
  <si>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</si>
  <si>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</si>
  <si>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</si>
  <si>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</si>
  <si>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</si>
  <si>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</si>
  <si>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</si>
  <si>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</si>
  <si>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</si>
  <si>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</si>
  <si>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</si>
  <si>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</si>
  <si>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</si>
  <si>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</si>
  <si>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</si>
  <si>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</si>
  <si>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</si>
  <si>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</si>
  <si>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</si>
  <si>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</si>
  <si>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</si>
  <si>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</si>
  <si>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</si>
  <si>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</si>
  <si>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</si>
  <si>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</si>
  <si>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</si>
  <si>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</si>
  <si>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</si>
  <si>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</si>
  <si>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</si>
  <si>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</si>
  <si>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</si>
  <si>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</si>
  <si>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</si>
  <si>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</si>
  <si>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</si>
  <si>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</si>
  <si>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</si>
  <si>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</si>
  <si>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</si>
  <si>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</si>
  <si>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</si>
  <si>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</si>
  <si>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</si>
  <si>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</si>
  <si>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</si>
  <si>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</si>
  <si>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</si>
  <si>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</si>
  <si>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</si>
  <si>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</si>
  <si>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</si>
  <si>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</si>
  <si>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</si>
  <si>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</si>
  <si>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</si>
  <si>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</si>
  <si>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</si>
  <si>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</si>
  <si>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</si>
  <si>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</si>
  <si>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</si>
  <si>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</si>
  <si>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</si>
  <si>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</si>
  <si>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</si>
  <si>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</si>
  <si>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</si>
  <si>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</si>
  <si>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</si>
  <si>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</si>
  <si>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</si>
  <si>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</si>
  <si>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</si>
  <si>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</si>
  <si>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</si>
  <si>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</si>
  <si>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</si>
  <si>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</si>
  <si>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</si>
  <si>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</si>
  <si>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</si>
  <si>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</si>
  <si>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</si>
  <si>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</si>
  <si>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</si>
  <si>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</si>
  <si>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</si>
  <si>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</si>
  <si>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</si>
  <si>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</si>
  <si>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</si>
  <si>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</si>
  <si>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</si>
  <si>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</si>
  <si>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</si>
  <si>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</si>
  <si>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</si>
  <si>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</si>
  <si>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</si>
  <si>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</si>
  <si>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</si>
  <si>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</si>
  <si>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</si>
  <si>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</si>
  <si>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</si>
  <si>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</si>
  <si>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</si>
  <si>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</si>
  <si>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</si>
  <si>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</si>
  <si>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</si>
  <si>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</si>
  <si>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</si>
  <si>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</si>
  <si>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</si>
  <si>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</si>
  <si>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</si>
  <si>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</si>
  <si>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</si>
  <si>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</si>
  <si>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</si>
  <si>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</si>
  <si>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</si>
  <si>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</si>
  <si>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</si>
  <si>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</si>
  <si>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</si>
  <si>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</si>
  <si>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</si>
  <si>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</si>
  <si>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</si>
  <si>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</si>
  <si>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</si>
  <si>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</si>
  <si>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</si>
  <si>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</si>
  <si>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</si>
  <si>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</si>
  <si>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</si>
  <si>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</si>
  <si>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</si>
  <si>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</si>
  <si>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</si>
  <si>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</si>
  <si>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</si>
  <si>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</si>
  <si>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</si>
  <si>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</si>
  <si>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</si>
  <si>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</si>
  <si>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</si>
  <si>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</si>
  <si>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</si>
  <si>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</si>
  <si>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</si>
  <si>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</si>
  <si>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</si>
  <si>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</si>
  <si>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</si>
  <si>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</si>
  <si>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</si>
  <si>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</si>
  <si>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</si>
  <si>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</si>
  <si>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</si>
  <si>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</si>
  <si>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</si>
  <si>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</si>
  <si>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</si>
  <si>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</si>
  <si>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</si>
  <si>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</si>
  <si>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</si>
  <si>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</si>
  <si>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</si>
  <si>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</si>
  <si>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</si>
  <si>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</si>
  <si>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</si>
  <si>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</si>
  <si>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</si>
  <si>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</si>
  <si>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</si>
  <si>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</si>
  <si>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</si>
  <si>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</si>
  <si>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</si>
  <si>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</si>
  <si>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</si>
  <si>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</si>
  <si>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</si>
  <si>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</si>
  <si>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</si>
  <si>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</si>
  <si>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</si>
  <si>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</si>
  <si>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</si>
  <si>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</si>
  <si>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</si>
  <si>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</si>
  <si>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</si>
  <si>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</si>
  <si>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</si>
  <si>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</si>
  <si>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</si>
  <si>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</si>
  <si>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</si>
  <si>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</si>
  <si>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</si>
  <si>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</si>
  <si>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</si>
  <si>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</si>
  <si>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</si>
  <si>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</si>
  <si>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</si>
  <si>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</si>
  <si>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</si>
  <si>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</si>
  <si>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</si>
  <si>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</si>
  <si>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</si>
  <si>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</si>
  <si>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</si>
  <si>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</si>
  <si>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</si>
  <si>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</si>
  <si>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</si>
  <si>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</si>
  <si>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</si>
  <si>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</si>
  <si>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</si>
  <si>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</si>
  <si>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</si>
  <si>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</si>
  <si>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</si>
  <si>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</si>
  <si>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</si>
  <si>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</si>
  <si>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</si>
  <si>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</si>
  <si>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</si>
  <si>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</si>
  <si>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</si>
  <si>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</si>
  <si>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</si>
  <si>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</si>
  <si>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</si>
  <si>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</si>
  <si>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</si>
  <si>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</si>
  <si>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</si>
  <si>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</si>
  <si>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</si>
  <si>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</si>
  <si>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</si>
  <si>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</si>
  <si>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</si>
  <si>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</si>
  <si>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</si>
  <si>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</si>
  <si>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</si>
  <si>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</si>
  <si>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</si>
  <si>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</si>
  <si>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</si>
  <si>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</si>
  <si>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</si>
  <si>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</si>
  <si>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</si>
  <si>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</si>
  <si>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</si>
  <si>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</si>
  <si>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</si>
  <si>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</si>
  <si>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</si>
  <si>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</si>
  <si>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</si>
  <si>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</si>
  <si>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</si>
  <si>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</si>
  <si>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</si>
  <si>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</si>
  <si>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</si>
  <si>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</si>
  <si>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</si>
  <si>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</si>
  <si>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</si>
  <si>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</si>
  <si>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</si>
  <si>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</si>
  <si>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</si>
  <si>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</si>
  <si>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</si>
  <si>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</si>
  <si>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</si>
  <si>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</si>
  <si>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</si>
  <si>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</si>
  <si>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</si>
  <si>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</si>
  <si>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</si>
  <si>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</si>
  <si>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</si>
  <si>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</si>
  <si>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</si>
  <si>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</si>
  <si>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</si>
  <si>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</si>
  <si>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</si>
  <si>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</si>
  <si>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</si>
  <si>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</si>
  <si>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</si>
  <si>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</si>
  <si>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</si>
  <si>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</si>
  <si>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</si>
  <si>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</si>
  <si>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</si>
  <si>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</si>
  <si>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</si>
  <si>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</si>
  <si>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</si>
  <si>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</si>
  <si>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</si>
  <si>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</si>
  <si>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</si>
  <si>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</si>
  <si>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</si>
  <si>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</si>
  <si>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</si>
  <si>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</si>
  <si>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</si>
  <si>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</si>
  <si>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</si>
  <si>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</si>
  <si>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</si>
  <si>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</si>
  <si>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</si>
  <si>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</si>
  <si>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</si>
  <si>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</si>
  <si>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</si>
  <si>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</si>
  <si>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</si>
  <si>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</si>
  <si>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</si>
  <si>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</si>
  <si>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</si>
  <si>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</si>
  <si>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</si>
  <si>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</si>
  <si>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</si>
  <si>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</si>
  <si>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</si>
  <si>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</si>
  <si>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</si>
  <si>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</si>
  <si>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</si>
  <si>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</si>
  <si>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</si>
  <si>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</si>
  <si>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</si>
  <si>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</si>
  <si>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</si>
  <si>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</si>
  <si>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</si>
  <si>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</si>
  <si>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</si>
  <si>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</si>
  <si>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</si>
  <si>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</si>
  <si>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</si>
  <si>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</si>
  <si>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</si>
  <si>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</si>
  <si>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</si>
  <si>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</si>
  <si>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</si>
  <si>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</si>
  <si>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</si>
  <si>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</si>
  <si>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</si>
  <si>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</si>
  <si>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</si>
  <si>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</si>
  <si>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</si>
  <si>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</si>
  <si>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</si>
  <si>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</si>
  <si>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</si>
  <si>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</si>
  <si>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</si>
  <si>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</si>
  <si>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</si>
  <si>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</si>
  <si>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</si>
  <si>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</si>
  <si>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</si>
  <si>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</si>
  <si>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</si>
  <si>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</si>
  <si>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</si>
  <si>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</si>
  <si>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</si>
  <si>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</si>
  <si>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</si>
  <si>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</si>
  <si>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</si>
  <si>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</si>
  <si>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</si>
  <si>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</si>
  <si>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</si>
  <si>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</si>
  <si>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</si>
  <si>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</si>
  <si>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</si>
  <si>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</si>
  <si>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</si>
  <si>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</si>
  <si>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</si>
  <si>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</si>
  <si>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</si>
  <si>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</si>
  <si>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</si>
  <si>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</si>
  <si>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</si>
  <si>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</si>
  <si>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</si>
  <si>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</si>
  <si>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</si>
  <si>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</si>
  <si>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</si>
  <si>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</si>
  <si>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</si>
  <si>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</si>
  <si>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</si>
  <si>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</si>
  <si>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</si>
  <si>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</si>
  <si>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</si>
  <si>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</si>
  <si>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</si>
  <si>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</si>
  <si>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</si>
  <si>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</si>
  <si>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</si>
  <si>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</si>
  <si>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</si>
  <si>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</si>
  <si>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</si>
  <si>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</si>
  <si>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</si>
  <si>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</si>
  <si>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</si>
  <si>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</si>
  <si>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</si>
  <si>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</si>
  <si>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</si>
  <si>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</si>
  <si>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</si>
  <si>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</si>
  <si>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</si>
  <si>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</si>
  <si>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</si>
  <si>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</si>
  <si>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</si>
  <si>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</si>
  <si>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</si>
  <si>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</si>
  <si>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</si>
  <si>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</si>
  <si>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</si>
  <si>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</si>
  <si>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</si>
  <si>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</si>
  <si>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</si>
  <si>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</si>
  <si>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</si>
  <si>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</si>
  <si>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</si>
  <si>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</si>
  <si>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</si>
  <si>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</si>
  <si>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</si>
  <si>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</si>
  <si>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</si>
  <si>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</si>
  <si>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</si>
  <si>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</si>
  <si>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</si>
  <si>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</si>
  <si>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</si>
  <si>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</si>
  <si>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</si>
  <si>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</si>
  <si>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</si>
  <si>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</si>
  <si>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</si>
  <si>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</si>
  <si>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</si>
  <si>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</si>
  <si>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</si>
  <si>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</si>
  <si>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</si>
  <si>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</si>
  <si>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</si>
  <si>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</si>
  <si>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</si>
  <si>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</si>
  <si>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</si>
  <si>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</si>
  <si>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</si>
  <si>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</si>
  <si>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</si>
  <si>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</si>
  <si>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</si>
  <si>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</si>
  <si>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</si>
  <si>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</si>
  <si>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</si>
  <si>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</si>
  <si>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</si>
  <si>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</si>
  <si>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</si>
  <si>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</si>
  <si>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</si>
  <si>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</si>
  <si>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</si>
  <si>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</si>
  <si>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</si>
  <si>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</si>
  <si>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</si>
  <si>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</si>
  <si>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</si>
  <si>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</si>
  <si>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</si>
  <si>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</si>
  <si>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</si>
  <si>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</si>
  <si>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</si>
  <si>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</si>
  <si>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</si>
  <si>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</si>
  <si>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</si>
  <si>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</si>
  <si>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</si>
  <si>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</si>
  <si>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</si>
  <si>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</si>
  <si>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</si>
  <si>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</si>
  <si>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</si>
  <si>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</si>
  <si>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</si>
  <si>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</si>
  <si>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</si>
  <si>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</si>
  <si>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</si>
  <si>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</si>
  <si>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</si>
  <si>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</si>
  <si>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</si>
  <si>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</si>
  <si>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</si>
  <si>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</si>
  <si>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</si>
  <si>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</si>
  <si>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</si>
  <si>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</si>
  <si>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</si>
  <si>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</si>
  <si>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</si>
  <si>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</si>
  <si>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</si>
  <si>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</si>
  <si>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</si>
  <si>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</si>
  <si>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</si>
  <si>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</si>
  <si>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</si>
  <si>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</si>
  <si>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</si>
  <si>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</si>
  <si>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</si>
  <si>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</si>
  <si>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</si>
  <si>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</si>
  <si>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</si>
  <si>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</si>
  <si>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</si>
  <si>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</si>
  <si>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</si>
  <si>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</si>
  <si>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</si>
  <si>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</si>
  <si>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</si>
  <si>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</si>
  <si>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</si>
  <si>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</si>
  <si>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</si>
  <si>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</si>
  <si>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</si>
  <si>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</si>
  <si>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</si>
  <si>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</si>
  <si>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</si>
  <si>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</si>
  <si>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</si>
  <si>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</si>
  <si>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</si>
  <si>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</si>
  <si>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</si>
  <si>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</si>
  <si>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</si>
  <si>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</si>
  <si>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</si>
  <si>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</si>
  <si>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</si>
  <si>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</si>
  <si>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</si>
  <si>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</si>
  <si>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</si>
  <si>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</si>
  <si>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</si>
  <si>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</si>
  <si>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</si>
  <si>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</si>
  <si>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</si>
  <si>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</si>
  <si>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</si>
  <si>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</si>
  <si>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</si>
  <si>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</si>
  <si>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</si>
  <si>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</si>
  <si>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</si>
  <si>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</si>
  <si>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</si>
  <si>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</si>
  <si>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</si>
  <si>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</si>
  <si>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</si>
  <si>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</si>
  <si>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</si>
  <si>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</si>
  <si>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</si>
  <si>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</si>
  <si>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</si>
  <si>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</si>
  <si>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</si>
  <si>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</si>
  <si>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</si>
  <si>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</si>
  <si>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</si>
  <si>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</si>
  <si>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</si>
  <si>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</si>
  <si>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</si>
  <si>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</si>
  <si>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</si>
  <si>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</si>
  <si>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</si>
  <si>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</si>
  <si>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</si>
  <si>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</si>
  <si>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</si>
  <si>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</si>
  <si>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</si>
  <si>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</si>
  <si>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</si>
  <si>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</si>
  <si>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</si>
  <si>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</si>
  <si>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</si>
  <si>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</si>
  <si>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</si>
  <si>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</si>
  <si>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</si>
  <si>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</si>
  <si>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</si>
  <si>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</si>
  <si>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</si>
  <si>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</si>
  <si>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</si>
  <si>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</si>
  <si>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</si>
  <si>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</si>
  <si>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</si>
  <si>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</si>
  <si>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</si>
  <si>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</si>
  <si>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</si>
  <si>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</si>
  <si>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</si>
  <si>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</si>
  <si>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</si>
  <si>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</si>
  <si>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</si>
  <si>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</si>
  <si>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</si>
  <si>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</si>
  <si>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</si>
  <si>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</si>
  <si>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</si>
  <si>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</si>
  <si>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</si>
  <si>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</si>
  <si>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</si>
  <si>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</si>
  <si>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</si>
  <si>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</si>
  <si>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</si>
  <si>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</si>
  <si>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</si>
  <si>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</si>
  <si>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</si>
  <si>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</si>
  <si>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</si>
  <si>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</si>
  <si>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</si>
  <si>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</si>
  <si>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</si>
  <si>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</si>
  <si>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</si>
  <si>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</si>
  <si>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</si>
  <si>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</si>
  <si>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</si>
  <si>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</si>
  <si>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</si>
  <si>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</si>
  <si>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</si>
  <si>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</si>
  <si>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</si>
  <si>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</si>
  <si>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</si>
  <si>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</si>
  <si>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</si>
  <si>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</si>
  <si>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</si>
  <si>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</si>
  <si>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</si>
  <si>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</si>
  <si>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</si>
  <si>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</si>
  <si>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</si>
  <si>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</si>
  <si>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</si>
  <si>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</si>
  <si>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</si>
  <si>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</si>
  <si>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</si>
  <si>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</si>
  <si>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</si>
  <si>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</si>
  <si>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</si>
  <si>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</si>
  <si>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</si>
  <si>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</si>
  <si>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</si>
  <si>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</si>
  <si>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</si>
  <si>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</si>
  <si>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</si>
  <si>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</si>
  <si>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</si>
  <si>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</si>
  <si>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</si>
  <si>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</si>
  <si>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</si>
  <si>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</si>
  <si>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</si>
  <si>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</si>
  <si>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</si>
  <si>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</si>
  <si>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</si>
  <si>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</si>
  <si>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</si>
  <si>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</si>
  <si>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</si>
  <si>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</si>
  <si>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</si>
  <si>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</si>
  <si>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</si>
  <si>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</si>
  <si>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</si>
  <si>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</si>
  <si>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</si>
  <si>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</si>
  <si>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</si>
  <si>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</si>
  <si>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</si>
  <si>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</si>
  <si>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</si>
  <si>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</si>
  <si>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</si>
  <si>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</si>
  <si>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</si>
  <si>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</si>
  <si>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</si>
  <si>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</si>
  <si>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</si>
  <si>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</si>
  <si>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</si>
  <si>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</si>
  <si>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</si>
  <si>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</si>
  <si>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</si>
  <si>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</si>
  <si>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</si>
  <si>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</si>
  <si>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</si>
  <si>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</si>
  <si>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</si>
  <si>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</si>
  <si>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</si>
  <si>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</si>
  <si>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</si>
  <si>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</si>
  <si>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</si>
  <si>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</si>
  <si>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</si>
  <si>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</si>
  <si>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</si>
  <si>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</si>
  <si>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</si>
  <si>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</si>
  <si>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</si>
  <si>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</si>
  <si>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</si>
  <si>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</si>
  <si>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</si>
  <si>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</si>
  <si>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</si>
  <si>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</si>
  <si>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</si>
  <si>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</si>
  <si>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</si>
  <si>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</si>
  <si>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</si>
  <si>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</si>
  <si>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</si>
  <si>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</si>
  <si>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</si>
  <si>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</si>
  <si>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</si>
  <si>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</si>
  <si>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</si>
  <si>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</si>
  <si>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</si>
  <si>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</si>
  <si>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</si>
  <si>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</si>
  <si>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</si>
  <si>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</si>
  <si>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</si>
  <si>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</si>
  <si>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</si>
  <si>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</si>
  <si>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</si>
  <si>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</si>
  <si>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</si>
  <si>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</si>
  <si>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</si>
  <si>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</si>
  <si>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</si>
  <si>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</si>
  <si>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</si>
  <si>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</si>
  <si>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</si>
  <si>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</si>
  <si>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</si>
  <si>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</si>
  <si>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</si>
  <si>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</si>
  <si>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</si>
  <si>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</si>
  <si>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</si>
  <si>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</si>
  <si>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</si>
  <si>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</si>
  <si>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</si>
  <si>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</si>
  <si>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</si>
  <si>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</si>
  <si>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</si>
  <si>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</si>
  <si>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</si>
  <si>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</si>
  <si>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</si>
  <si>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</si>
  <si>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</si>
  <si>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</si>
  <si>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</si>
  <si>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</si>
  <si>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</si>
  <si>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</si>
  <si>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</si>
  <si>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</si>
  <si>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</si>
  <si>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</si>
  <si>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</si>
  <si>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</si>
  <si>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</si>
  <si>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</si>
  <si>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</si>
  <si>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</si>
  <si>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</si>
  <si>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</si>
  <si>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</si>
  <si>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</si>
  <si>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</si>
  <si>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</si>
  <si>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</si>
  <si>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</si>
  <si>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</si>
  <si>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</si>
  <si>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</si>
  <si>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</si>
  <si>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</si>
  <si>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</si>
  <si>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</si>
  <si>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</si>
  <si>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</si>
  <si>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</si>
  <si>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</si>
  <si>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</si>
  <si>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</si>
  <si>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</si>
  <si>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</si>
  <si>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</si>
  <si>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</si>
  <si>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</si>
  <si>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</si>
  <si>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</si>
  <si>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</si>
  <si>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</si>
  <si>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</si>
  <si>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</si>
  <si>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</si>
  <si>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</si>
  <si>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</si>
  <si>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</si>
  <si>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</si>
  <si>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</si>
  <si>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</si>
  <si>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</si>
  <si>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</si>
  <si>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</si>
  <si>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</si>
  <si>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</si>
  <si>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</si>
  <si>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</si>
  <si>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</si>
  <si>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</si>
  <si>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</si>
  <si>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</si>
  <si>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</si>
  <si>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</si>
  <si>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</si>
  <si>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</si>
  <si>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</si>
  <si>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</si>
  <si>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</si>
  <si>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</si>
  <si>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</si>
  <si>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</si>
  <si>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</si>
  <si>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</si>
  <si>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</si>
  <si>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</si>
  <si>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</si>
  <si>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</si>
  <si>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</si>
  <si>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</si>
  <si>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</si>
  <si>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</si>
  <si>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</si>
  <si>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</si>
  <si>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</si>
  <si>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</si>
  <si>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</si>
  <si>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</si>
  <si>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</si>
  <si>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</si>
  <si>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</si>
  <si>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</si>
  <si>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</si>
  <si>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</si>
  <si>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</si>
  <si>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</si>
  <si>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</si>
  <si>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</si>
  <si>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</si>
  <si>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</si>
  <si>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</si>
  <si>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</si>
  <si>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</si>
  <si>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</si>
  <si>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</si>
  <si>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</si>
  <si>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</si>
  <si>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</si>
  <si>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</si>
  <si>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</si>
  <si>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</si>
  <si>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</si>
  <si>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</si>
  <si>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</si>
  <si>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</si>
  <si>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</si>
  <si>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</si>
  <si>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</si>
  <si>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</si>
  <si>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</si>
  <si>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</si>
  <si>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</si>
  <si>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</si>
  <si>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</si>
  <si>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</si>
  <si>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</si>
  <si>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</si>
  <si>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</si>
  <si>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</si>
  <si>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</si>
  <si>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</si>
  <si>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</si>
  <si>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</si>
  <si>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</si>
  <si>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</si>
  <si>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</si>
  <si>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</si>
  <si>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</si>
  <si>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</si>
  <si>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</si>
  <si>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</si>
  <si>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</si>
  <si>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</si>
  <si>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</si>
  <si>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</si>
  <si>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</si>
  <si>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</si>
  <si>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</si>
  <si>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</si>
  <si>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</si>
  <si>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</si>
  <si>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</si>
  <si>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</si>
  <si>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</si>
  <si>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</si>
  <si>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</si>
  <si>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</si>
  <si>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</si>
  <si>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</si>
  <si>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</si>
  <si>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</si>
  <si>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</si>
  <si>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</si>
  <si>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</si>
  <si>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</si>
  <si>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</si>
  <si>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</si>
  <si>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</si>
  <si>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</si>
  <si>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</si>
  <si>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</si>
  <si>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</si>
  <si>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</si>
  <si>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</si>
  <si>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</si>
  <si>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</si>
  <si>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</si>
  <si>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</si>
  <si>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</si>
  <si>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</si>
  <si>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</si>
  <si>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</si>
  <si>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</si>
  <si>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</si>
  <si>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</si>
  <si>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</si>
  <si>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</si>
  <si>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</si>
  <si>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</si>
  <si>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</si>
  <si>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</si>
  <si>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</si>
  <si>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</si>
  <si>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</si>
  <si>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</si>
  <si>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</si>
  <si>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</si>
  <si>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</si>
  <si>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</si>
  <si>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</si>
  <si>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</si>
  <si>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</si>
  <si>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</si>
  <si>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</si>
  <si>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</si>
  <si>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</si>
  <si>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</si>
  <si>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</si>
  <si>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</si>
  <si>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</si>
  <si>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</si>
  <si>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</si>
  <si>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</si>
  <si>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</si>
  <si>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</si>
  <si>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</si>
  <si>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</si>
  <si>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</si>
  <si>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</si>
  <si>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</si>
  <si>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</si>
  <si>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</si>
  <si>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</si>
  <si>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</si>
  <si>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</si>
  <si>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</si>
  <si>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</si>
  <si>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</si>
  <si>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</si>
  <si>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</si>
  <si>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</si>
  <si>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</si>
  <si>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</si>
  <si>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</si>
  <si>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</si>
  <si>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</si>
  <si>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</si>
  <si>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</si>
  <si>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</si>
  <si>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</si>
  <si>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</si>
  <si>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</si>
  <si>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</si>
  <si>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</si>
  <si>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</si>
  <si>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</si>
  <si>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</si>
  <si>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</si>
  <si>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</si>
  <si>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</si>
  <si>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</si>
  <si>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</si>
  <si>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</si>
  <si>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</si>
  <si>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</si>
  <si>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</si>
  <si>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</si>
  <si>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</si>
  <si>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</si>
  <si>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</si>
  <si>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</si>
  <si>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</si>
  <si>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</si>
  <si>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</si>
  <si>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</si>
  <si>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</si>
  <si>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</si>
  <si>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</si>
  <si>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</si>
  <si>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</si>
  <si>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</si>
  <si>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</si>
  <si>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</si>
  <si>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</si>
  <si>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</si>
  <si>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</si>
  <si>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</si>
  <si>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</si>
  <si>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</si>
  <si>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</si>
  <si>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</si>
  <si>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</si>
  <si>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</si>
  <si>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</si>
  <si>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</si>
  <si>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</si>
  <si>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</si>
  <si>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</si>
  <si>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</si>
  <si>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</si>
  <si>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</si>
  <si>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</si>
  <si>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</si>
  <si>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</si>
  <si>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</si>
  <si>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</si>
  <si>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</si>
  <si>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</si>
  <si>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</si>
  <si>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</si>
  <si>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</si>
  <si>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</si>
  <si>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</si>
  <si>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</si>
  <si>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</si>
  <si>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</si>
  <si>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</si>
  <si>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</si>
  <si>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</si>
  <si>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</si>
  <si>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</si>
  <si>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</si>
  <si>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</si>
  <si>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</si>
  <si>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</si>
  <si>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</si>
  <si>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</si>
  <si>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</si>
  <si>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</si>
  <si>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</si>
  <si>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</si>
  <si>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</si>
  <si>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</si>
  <si>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</si>
  <si>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</si>
  <si>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</si>
  <si>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</si>
  <si>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</si>
  <si>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</si>
  <si>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</si>
  <si>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</si>
  <si>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</si>
  <si>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</si>
  <si>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</si>
  <si>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</si>
  <si>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</si>
  <si>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</si>
  <si>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</si>
  <si>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</si>
  <si>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</si>
  <si>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</si>
  <si>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</si>
  <si>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</si>
  <si>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</si>
  <si>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</si>
  <si>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</si>
  <si>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</si>
  <si>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</si>
  <si>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</si>
  <si>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</si>
  <si>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</si>
  <si>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</si>
  <si>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</si>
  <si>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</si>
  <si>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</si>
  <si>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</si>
  <si>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</si>
  <si>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</si>
  <si>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</si>
  <si>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</si>
  <si>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</si>
  <si>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</si>
  <si>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</si>
  <si>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</si>
  <si>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</si>
  <si>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</si>
  <si>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</si>
  <si>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</si>
  <si>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</si>
  <si>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</si>
  <si>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</si>
  <si>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</si>
  <si>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</si>
  <si>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</si>
  <si>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</si>
  <si>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</si>
  <si>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</si>
  <si>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</si>
  <si>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</si>
  <si>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</si>
  <si>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</si>
  <si>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</si>
  <si>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</si>
  <si>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</si>
  <si>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</si>
  <si>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</si>
  <si>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</si>
  <si>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</si>
  <si>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</si>
  <si>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</si>
  <si>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</si>
  <si>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</si>
  <si>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</si>
  <si>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</si>
  <si>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</si>
  <si>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</si>
  <si>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</si>
  <si>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</si>
  <si>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</si>
  <si>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</si>
  <si>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</si>
  <si>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</si>
  <si>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</si>
  <si>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</si>
  <si>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</si>
  <si>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</si>
  <si>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</si>
  <si>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</si>
  <si>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</si>
  <si>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</si>
  <si>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</si>
  <si>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</si>
  <si>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</si>
  <si>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</si>
  <si>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</si>
  <si>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</si>
  <si>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</si>
  <si>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</si>
  <si>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</si>
  <si>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</si>
  <si>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</si>
  <si>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</si>
  <si>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</si>
  <si>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</si>
  <si>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</si>
  <si>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</si>
  <si>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</si>
  <si>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</si>
  <si>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</si>
  <si>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</si>
  <si>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</si>
  <si>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</si>
  <si>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</si>
  <si>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</si>
  <si>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</si>
  <si>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</si>
  <si>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</si>
  <si>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</si>
  <si>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</si>
  <si>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</si>
  <si>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</si>
  <si>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</si>
  <si>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</si>
  <si>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</si>
  <si>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</si>
  <si>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</si>
  <si>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</si>
  <si>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</si>
  <si>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</si>
  <si>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</si>
  <si>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</si>
  <si>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</si>
  <si>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</si>
  <si>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</si>
  <si>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</si>
  <si>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</si>
  <si>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</si>
  <si>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</si>
  <si>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</si>
  <si>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</si>
  <si>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</si>
  <si>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</si>
  <si>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</si>
  <si>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</si>
  <si>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</si>
  <si>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</si>
  <si>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</si>
  <si>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</si>
  <si>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</si>
  <si>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</si>
  <si>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</si>
  <si>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</si>
  <si>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</si>
  <si>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</si>
  <si>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</si>
  <si>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</si>
  <si>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</si>
  <si>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</si>
  <si>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</si>
  <si>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</si>
  <si>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</si>
  <si>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</si>
  <si>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</si>
  <si>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</si>
  <si>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</si>
  <si>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</si>
  <si>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</si>
  <si>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</si>
  <si>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</si>
  <si>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</si>
  <si>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</si>
  <si>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</si>
  <si>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</si>
  <si>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</si>
  <si>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</si>
  <si>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</si>
  <si>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</si>
  <si>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</si>
  <si>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</si>
  <si>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</si>
  <si>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</si>
  <si>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</si>
  <si>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</si>
  <si>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</si>
  <si>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</si>
  <si>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</si>
  <si>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</si>
  <si>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</si>
  <si>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</si>
  <si>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</si>
  <si>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</si>
  <si>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</si>
  <si>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</si>
  <si>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</si>
  <si>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</si>
  <si>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</si>
  <si>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</si>
  <si>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</si>
  <si>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</si>
  <si>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</si>
  <si>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</si>
  <si>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</si>
  <si>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</si>
  <si>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</si>
  <si>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</si>
  <si>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</si>
  <si>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</si>
  <si>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</si>
  <si>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</si>
  <si>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</si>
  <si>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</si>
  <si>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</si>
  <si>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</si>
  <si>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</si>
  <si>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</si>
  <si>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</si>
  <si>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</si>
  <si>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</si>
  <si>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</si>
  <si>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</si>
  <si>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</si>
  <si>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</si>
  <si>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</si>
  <si>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</si>
  <si>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</si>
  <si>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</si>
  <si>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</si>
  <si>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</si>
  <si>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</si>
  <si>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</si>
  <si>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</si>
  <si>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</si>
  <si>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</si>
  <si>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</si>
  <si>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</si>
  <si>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</si>
  <si>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</si>
  <si>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</si>
  <si>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</si>
  <si>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</si>
  <si>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</si>
  <si>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</si>
  <si>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</si>
  <si>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</si>
  <si>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</si>
  <si>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</si>
  <si>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</si>
  <si>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</si>
  <si>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</si>
  <si>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</si>
  <si>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</si>
  <si>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</si>
  <si>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</si>
  <si>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</si>
  <si>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</si>
  <si>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</si>
  <si>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</si>
  <si>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</si>
  <si>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</si>
  <si>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</si>
  <si>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</si>
  <si>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</si>
  <si>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</si>
  <si>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</si>
  <si>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</si>
  <si>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</si>
  <si>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</si>
  <si>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</si>
  <si>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</si>
  <si>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</si>
  <si>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</si>
  <si>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</si>
  <si>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</si>
  <si>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</si>
  <si>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</si>
  <si>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</si>
  <si>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</si>
  <si>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</si>
  <si>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</si>
  <si>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</si>
  <si>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</si>
  <si>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</si>
  <si>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</si>
  <si>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</si>
  <si>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</si>
  <si>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</si>
  <si>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</si>
  <si>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</si>
  <si>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</si>
  <si>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</si>
  <si>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</si>
  <si>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</si>
  <si>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</si>
  <si>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</si>
  <si>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</si>
  <si>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</si>
  <si>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</si>
  <si>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</si>
  <si>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</si>
  <si>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</si>
  <si>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</si>
  <si>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</si>
  <si>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</si>
  <si>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</si>
  <si>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</si>
  <si>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</si>
  <si>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</si>
  <si>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</si>
  <si>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</si>
  <si>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</si>
  <si>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</si>
  <si>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</si>
  <si>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</si>
  <si>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</si>
  <si>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</si>
  <si>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</si>
  <si>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</si>
  <si>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</si>
  <si>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</si>
  <si>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</si>
  <si>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</si>
  <si>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</si>
  <si>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</si>
  <si>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</si>
  <si>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</si>
  <si>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</si>
  <si>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</si>
  <si>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</si>
  <si>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</si>
  <si>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</si>
  <si>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</si>
  <si>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</si>
  <si>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</si>
  <si>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</si>
  <si>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</si>
  <si>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</si>
  <si>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</si>
  <si>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</si>
  <si>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</si>
  <si>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</si>
  <si>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</si>
  <si>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</si>
  <si>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</si>
  <si>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</si>
  <si>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</si>
  <si>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</si>
  <si>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</si>
  <si>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</si>
  <si>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</si>
  <si>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</si>
  <si>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</si>
  <si>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</si>
  <si>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</si>
  <si>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</si>
  <si>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</si>
  <si>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</si>
  <si>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</si>
  <si>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</si>
  <si>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</si>
  <si>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</si>
  <si>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</si>
  <si>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</si>
  <si>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</si>
  <si>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</si>
  <si>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</si>
  <si>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</si>
  <si>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</si>
  <si>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</si>
  <si>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</si>
  <si>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</si>
  <si>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</si>
  <si>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</si>
  <si>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</si>
  <si>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</si>
  <si>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</si>
  <si>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</si>
  <si>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</si>
  <si>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</si>
  <si>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</si>
  <si>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</si>
  <si>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</si>
  <si>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</si>
  <si>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</si>
  <si>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</si>
  <si>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</si>
  <si>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</si>
  <si>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</si>
  <si>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</si>
  <si>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</si>
  <si>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</si>
  <si>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</si>
  <si>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</si>
  <si>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</si>
  <si>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</si>
  <si>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</si>
  <si>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</si>
  <si>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</si>
  <si>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</si>
  <si>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</si>
  <si>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</si>
  <si>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</si>
  <si>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</si>
  <si>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</si>
  <si>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</si>
  <si>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</si>
  <si>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</si>
  <si>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</si>
  <si>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</si>
  <si>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</si>
  <si>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</si>
  <si>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</si>
  <si>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</si>
  <si>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</si>
  <si>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</si>
  <si>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</si>
  <si>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</si>
  <si>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</si>
  <si>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</si>
  <si>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</si>
  <si>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</si>
  <si>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</si>
  <si>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</si>
  <si>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</si>
  <si>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</si>
  <si>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</si>
  <si>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</si>
  <si>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</si>
  <si>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</si>
  <si>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</si>
  <si>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</si>
  <si>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</si>
  <si>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</si>
  <si>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</si>
  <si>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</si>
  <si>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</si>
  <si>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</si>
  <si>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</si>
  <si>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</si>
  <si>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</si>
  <si>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</si>
  <si>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</si>
  <si>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</si>
  <si>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</si>
  <si>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</si>
  <si>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</si>
  <si>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</si>
  <si>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</si>
  <si>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</si>
  <si>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</si>
  <si>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</si>
  <si>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</si>
  <si>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</si>
  <si>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</si>
  <si>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</si>
  <si>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</si>
  <si>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</si>
  <si>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</si>
  <si>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</si>
  <si>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</si>
  <si>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</si>
  <si>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</si>
  <si>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</si>
  <si>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</si>
  <si>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</si>
  <si>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</si>
  <si>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</si>
  <si>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</si>
  <si>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</si>
  <si>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</si>
  <si>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</si>
  <si>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</si>
  <si>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</si>
  <si>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</si>
  <si>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</si>
  <si>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</si>
  <si>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</si>
  <si>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</si>
  <si>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</si>
  <si>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</si>
  <si>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</si>
  <si>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</si>
  <si>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</si>
  <si>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</si>
  <si>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</si>
  <si>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</si>
  <si>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</si>
  <si>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</si>
  <si>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</si>
  <si>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</si>
  <si>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</si>
  <si>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</si>
  <si>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</si>
  <si>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</si>
  <si>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</si>
  <si>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</si>
  <si>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</si>
  <si>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</si>
  <si>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</si>
  <si>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</si>
  <si>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</si>
  <si>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</si>
  <si>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</si>
  <si>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</si>
  <si>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</si>
  <si>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</si>
  <si>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</si>
  <si>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</si>
  <si>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</si>
  <si>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</si>
  <si>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</si>
  <si>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</si>
  <si>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</si>
  <si>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</si>
  <si>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</si>
  <si>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</si>
  <si>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</si>
  <si>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</si>
  <si>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</si>
  <si>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</si>
  <si>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</si>
  <si>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</si>
  <si>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</si>
  <si>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</si>
  <si>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</si>
  <si>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</si>
  <si>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</si>
  <si>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</si>
  <si>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</si>
  <si>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</si>
  <si>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</si>
  <si>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</si>
  <si>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</si>
  <si>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</si>
  <si>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</si>
  <si>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</si>
  <si>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</si>
  <si>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</si>
  <si>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</si>
  <si>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</si>
  <si>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</si>
  <si>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</si>
  <si>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</si>
  <si>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</si>
  <si>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</si>
  <si>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</si>
  <si>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</si>
  <si>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</si>
  <si>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</si>
  <si>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</si>
  <si>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</si>
  <si>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</si>
  <si>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</si>
  <si>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</si>
  <si>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</si>
  <si>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</si>
  <si>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</si>
  <si>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</si>
  <si>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</si>
  <si>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</si>
  <si>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</si>
  <si>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</si>
  <si>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</si>
  <si>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</si>
  <si>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</si>
  <si>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</si>
  <si>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</si>
  <si>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</si>
  <si>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</si>
  <si>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</si>
  <si>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</si>
  <si>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</si>
  <si>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</si>
  <si>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</si>
  <si>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</si>
  <si>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</si>
  <si>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</si>
  <si>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</si>
  <si>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</si>
  <si>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</si>
  <si>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</si>
  <si>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</si>
  <si>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</si>
  <si>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</si>
  <si>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</si>
  <si>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</si>
  <si>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</si>
  <si>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</si>
  <si>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</si>
  <si>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</si>
  <si>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</si>
  <si>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</si>
  <si>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</si>
  <si>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</si>
  <si>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</si>
  <si>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</si>
  <si>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</si>
  <si>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</si>
  <si>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</si>
  <si>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</si>
  <si>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</si>
  <si>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</si>
  <si>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</si>
  <si>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</si>
  <si>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</si>
  <si>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</si>
  <si>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</si>
  <si>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</si>
  <si>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</si>
  <si>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</si>
  <si>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</si>
  <si>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</si>
  <si>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</si>
  <si>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</si>
  <si>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</si>
  <si>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</si>
  <si>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</si>
  <si>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</si>
  <si>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</si>
  <si>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</si>
  <si>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</si>
  <si>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</si>
  <si>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</si>
  <si>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</si>
  <si>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</si>
  <si>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</si>
  <si>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</si>
  <si>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</si>
  <si>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</si>
  <si>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</si>
  <si>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</si>
  <si>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</si>
  <si>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</si>
  <si>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</si>
  <si>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</si>
  <si>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</si>
  <si>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</si>
  <si>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</si>
  <si>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</si>
  <si>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</si>
  <si>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</si>
  <si>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</si>
  <si>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</si>
  <si>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</si>
  <si>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</si>
  <si>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</si>
  <si>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</si>
  <si>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</si>
  <si>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</si>
  <si>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</si>
  <si>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</si>
  <si>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</si>
  <si>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</si>
  <si>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</si>
  <si>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</si>
  <si>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</si>
  <si>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</si>
  <si>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</si>
  <si>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</si>
  <si>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</si>
  <si>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</si>
  <si>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</si>
  <si>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</si>
  <si>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</si>
  <si>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</si>
  <si>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</si>
  <si>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</si>
  <si>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</si>
  <si>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</si>
  <si>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</si>
  <si>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</si>
  <si>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</si>
  <si>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</si>
  <si>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</si>
  <si>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</si>
  <si>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</si>
  <si>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</si>
  <si>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</si>
  <si>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</si>
  <si>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</si>
  <si>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</si>
  <si>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</si>
  <si>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</si>
  <si>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</si>
  <si>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</si>
  <si>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</si>
  <si>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</si>
  <si>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</si>
  <si>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</si>
  <si>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</si>
  <si>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</si>
  <si>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</si>
  <si>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</si>
  <si>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</si>
  <si>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</si>
  <si>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</si>
  <si>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</si>
  <si>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</si>
  <si>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</si>
  <si>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</si>
  <si>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</si>
  <si>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</si>
  <si>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</si>
  <si>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</si>
  <si>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</si>
  <si>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</si>
  <si>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</si>
  <si>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</si>
  <si>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</si>
  <si>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</si>
  <si>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</si>
  <si>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</si>
  <si>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</si>
  <si>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</si>
  <si>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</si>
  <si>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</si>
  <si>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</si>
  <si>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</si>
  <si>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</si>
  <si>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</si>
  <si>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</si>
  <si>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</si>
  <si>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</si>
  <si>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</si>
  <si>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</si>
  <si>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</si>
  <si>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</si>
  <si>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</si>
  <si>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</si>
  <si>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</si>
  <si>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</si>
  <si>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</si>
  <si>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</si>
  <si>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</si>
  <si>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</si>
  <si>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</si>
  <si>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</si>
  <si>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</si>
  <si>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</si>
  <si>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</si>
  <si>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</si>
  <si>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</si>
  <si>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</si>
  <si>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</si>
  <si>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</si>
  <si>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</si>
  <si>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</si>
  <si>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</si>
  <si>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</si>
  <si>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</si>
  <si>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</si>
  <si>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</si>
  <si>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</si>
  <si>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</si>
  <si>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</si>
  <si>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</si>
  <si>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</si>
  <si>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</si>
  <si>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</si>
  <si>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</si>
  <si>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</si>
  <si>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</si>
  <si>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</si>
  <si>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</si>
  <si>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</si>
  <si>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</si>
  <si>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</si>
  <si>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</si>
  <si>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</si>
  <si>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</si>
  <si>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</si>
  <si>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</si>
  <si>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</si>
  <si>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</si>
  <si>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</si>
  <si>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</si>
  <si>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</si>
  <si>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</si>
  <si>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</si>
  <si>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</si>
  <si>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</si>
  <si>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</si>
  <si>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</si>
  <si>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</si>
  <si>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</si>
  <si>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</si>
  <si>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</si>
  <si>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</si>
  <si>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</si>
  <si>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</si>
  <si>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</si>
  <si>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</si>
  <si>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</si>
  <si>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</si>
  <si>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</si>
  <si>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</si>
  <si>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</si>
  <si>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</si>
  <si>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</si>
  <si>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</si>
  <si>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</si>
  <si>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</si>
  <si>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</si>
  <si>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</si>
  <si>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</si>
  <si>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</si>
  <si>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</si>
  <si>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</si>
  <si>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</si>
  <si>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</si>
  <si>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</si>
  <si>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</si>
  <si>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</si>
  <si>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</si>
  <si>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</si>
  <si>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</si>
  <si>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</si>
  <si>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</si>
  <si>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</si>
  <si>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</si>
  <si>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</si>
  <si>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</si>
  <si>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</si>
  <si>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</si>
  <si>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</si>
  <si>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</si>
  <si>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</si>
  <si>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</si>
  <si>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</si>
  <si>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</si>
  <si>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</si>
  <si>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</si>
  <si>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</si>
  <si>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</si>
  <si>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</si>
  <si>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</si>
  <si>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</si>
  <si>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</si>
  <si>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</si>
  <si>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</si>
  <si>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</si>
  <si>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</si>
  <si>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</si>
  <si>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</si>
  <si>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</si>
  <si>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</si>
  <si>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</si>
  <si>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</si>
  <si>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</si>
  <si>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</si>
  <si>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</si>
  <si>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</si>
  <si>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</si>
  <si>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</si>
  <si>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</si>
  <si>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</si>
  <si>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</si>
  <si>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</si>
  <si>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</si>
  <si>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</si>
  <si>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</si>
  <si>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</si>
  <si>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</si>
  <si>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</si>
  <si>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</si>
  <si>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</si>
  <si>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</si>
  <si>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</si>
  <si>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</si>
  <si>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</si>
  <si>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</si>
  <si>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</si>
  <si>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</si>
  <si>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</si>
  <si>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</si>
  <si>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</si>
  <si>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</si>
  <si>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</si>
  <si>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</si>
  <si>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</si>
  <si>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</si>
  <si>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</si>
  <si>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</si>
  <si>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</si>
  <si>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</si>
  <si>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</si>
  <si>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</si>
  <si>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</si>
  <si>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</si>
  <si>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</si>
  <si>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</si>
  <si>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</si>
  <si>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</si>
  <si>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</si>
  <si>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</si>
  <si>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</si>
  <si>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</si>
  <si>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</si>
  <si>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</si>
  <si>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</si>
  <si>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</si>
  <si>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</si>
  <si>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</si>
  <si>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</si>
  <si>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</si>
  <si>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</si>
  <si>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</si>
  <si>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</si>
  <si>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</si>
  <si>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</si>
  <si>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</si>
  <si>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</si>
  <si>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</si>
  <si>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</si>
  <si>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</si>
  <si>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</si>
  <si>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</si>
  <si>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</si>
  <si>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</si>
  <si>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</si>
  <si>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</si>
  <si>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</si>
  <si>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</si>
  <si>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</si>
  <si>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</si>
  <si>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</si>
  <si>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</si>
  <si>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</si>
  <si>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</si>
  <si>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</si>
  <si>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</si>
  <si>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</si>
  <si>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</si>
  <si>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</si>
  <si>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</si>
  <si>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</si>
  <si>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</si>
  <si>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</si>
  <si>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</si>
  <si>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</si>
  <si>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</si>
  <si>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</si>
  <si>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</si>
  <si>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</si>
  <si>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</si>
  <si>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</si>
  <si>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</si>
  <si>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</si>
  <si>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</si>
  <si>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</si>
  <si>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</si>
  <si>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</si>
  <si>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</si>
  <si>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</si>
  <si>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</si>
  <si>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</si>
  <si>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</si>
  <si>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</si>
  <si>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</si>
  <si>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</si>
  <si>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</si>
  <si>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</si>
  <si>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</si>
  <si>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</si>
  <si>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</si>
  <si>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</si>
  <si>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</si>
  <si>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</si>
  <si>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</si>
  <si>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</si>
  <si>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</si>
  <si>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</si>
  <si>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</si>
  <si>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</si>
  <si>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</si>
  <si>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</si>
  <si>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</si>
  <si>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</si>
  <si>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</si>
  <si>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</si>
  <si>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</si>
  <si>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</si>
  <si>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</si>
  <si>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</si>
  <si>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</si>
  <si>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</si>
  <si>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</si>
  <si>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</si>
  <si>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</si>
  <si>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</si>
  <si>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</si>
  <si>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</si>
  <si>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</si>
  <si>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</si>
  <si>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</si>
  <si>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</si>
  <si>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</si>
  <si>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</si>
  <si>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</si>
  <si>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</si>
  <si>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</si>
  <si>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</si>
  <si>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</si>
  <si>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</si>
  <si>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</si>
  <si>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</si>
  <si>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</si>
  <si>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</si>
  <si>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</si>
  <si>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</si>
  <si>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</si>
  <si>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</si>
  <si>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</si>
  <si>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</si>
  <si>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</si>
  <si>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</si>
  <si>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</si>
  <si>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</si>
  <si>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</si>
  <si>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</si>
  <si>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</si>
  <si>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</si>
  <si>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</si>
  <si>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</si>
  <si>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</si>
  <si>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</si>
  <si>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</si>
  <si>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</si>
  <si>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</si>
  <si>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</si>
  <si>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</si>
  <si>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</si>
  <si>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</si>
  <si>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</si>
  <si>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</si>
  <si>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</si>
  <si>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</si>
  <si>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</si>
  <si>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</si>
  <si>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</si>
  <si>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</si>
  <si>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</si>
  <si>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</si>
  <si>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</si>
  <si>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</si>
  <si>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</si>
  <si>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</si>
  <si>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</si>
  <si>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</si>
  <si>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</si>
  <si>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</si>
  <si>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</si>
  <si>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</si>
  <si>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</si>
  <si>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</si>
  <si>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</si>
  <si>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</si>
  <si>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</si>
  <si>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</si>
  <si>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</si>
  <si>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</si>
  <si>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</si>
  <si>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</si>
  <si>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</si>
  <si>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</si>
  <si>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</si>
  <si>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</si>
  <si>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</si>
  <si>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</si>
  <si>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</si>
  <si>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</si>
  <si>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</si>
  <si>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</si>
  <si>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</si>
  <si>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</si>
  <si>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</si>
  <si>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</si>
  <si>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</si>
  <si>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</si>
  <si>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</si>
  <si>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</si>
  <si>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</si>
  <si>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</si>
  <si>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</si>
  <si>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</si>
  <si>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</si>
  <si>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</si>
  <si>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</si>
  <si>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</si>
  <si>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</si>
  <si>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</si>
  <si>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</si>
  <si>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</si>
  <si>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</si>
  <si>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</si>
  <si>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</si>
  <si>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</si>
  <si>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</si>
  <si>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</si>
  <si>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</si>
  <si>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</si>
  <si>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</si>
  <si>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</si>
  <si>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</si>
  <si>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</si>
  <si>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</si>
  <si>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</si>
  <si>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</si>
  <si>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</si>
  <si>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</si>
  <si>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</si>
  <si>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</si>
  <si>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</si>
  <si>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</si>
  <si>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</si>
  <si>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</si>
  <si>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</si>
  <si>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</si>
  <si>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</si>
  <si>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</si>
  <si>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</si>
  <si>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</si>
  <si>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</si>
  <si>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</si>
  <si>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</si>
  <si>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</si>
  <si>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</si>
  <si>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</si>
  <si>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</si>
  <si>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</si>
  <si>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</si>
  <si>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</si>
  <si>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</si>
  <si>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</si>
  <si>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</si>
  <si>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</si>
  <si>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</si>
  <si>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</si>
  <si>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</si>
  <si>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</si>
  <si>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</si>
  <si>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</si>
  <si>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</si>
  <si>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</si>
  <si>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</si>
  <si>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</si>
  <si>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</si>
  <si>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</si>
  <si>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</si>
  <si>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</si>
  <si>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</si>
  <si>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</si>
  <si>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</si>
  <si>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</si>
  <si>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</si>
  <si>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</si>
  <si>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</si>
  <si>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</si>
  <si>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</si>
  <si>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</si>
  <si>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</si>
  <si>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</si>
  <si>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</si>
  <si>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</si>
  <si>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</si>
  <si>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</si>
  <si>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</si>
  <si>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</si>
  <si>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</si>
  <si>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</si>
  <si>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</si>
  <si>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</si>
  <si>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</si>
  <si>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</si>
  <si>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</si>
  <si>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</si>
  <si>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</si>
  <si>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</si>
  <si>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</si>
  <si>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</si>
  <si>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</si>
  <si>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</si>
  <si>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</si>
  <si>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</si>
  <si>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</si>
  <si>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</si>
  <si>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</si>
  <si>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</si>
  <si>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</si>
  <si>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</si>
  <si>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</si>
  <si>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</si>
  <si>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</si>
  <si>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</si>
  <si>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</si>
  <si>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</si>
  <si>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</si>
  <si>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</si>
  <si>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</si>
  <si>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</si>
  <si>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</si>
  <si>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</si>
  <si>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</si>
  <si>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</si>
  <si>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</si>
  <si>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</si>
  <si>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</si>
  <si>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</si>
  <si>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</si>
  <si>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</si>
  <si>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</si>
  <si>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</si>
  <si>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</si>
  <si>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</si>
  <si>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</si>
  <si>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</si>
  <si>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</si>
  <si>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</si>
  <si>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</si>
  <si>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</si>
  <si>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</si>
  <si>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</si>
  <si>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</si>
  <si>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</si>
  <si>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</si>
  <si>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</si>
  <si>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</si>
  <si>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</si>
  <si>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</si>
  <si>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</si>
  <si>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</si>
  <si>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</si>
  <si>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</si>
  <si>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</si>
  <si>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</si>
  <si>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</si>
  <si>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</si>
  <si>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</si>
  <si>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</si>
  <si>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</si>
  <si>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</si>
  <si>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</si>
  <si>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</si>
  <si>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</si>
  <si>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</si>
  <si>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</si>
  <si>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</si>
  <si>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</si>
  <si>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</si>
  <si>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</si>
  <si>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</si>
  <si>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</si>
  <si>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</si>
  <si>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</si>
  <si>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</si>
  <si>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</si>
  <si>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</si>
  <si>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</si>
  <si>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</si>
  <si>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</si>
  <si>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</si>
  <si>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</si>
  <si>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</si>
  <si>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</si>
  <si>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</si>
  <si>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</si>
  <si>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</si>
  <si>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</si>
  <si>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</si>
  <si>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</si>
  <si>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</si>
  <si>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</si>
  <si>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</si>
  <si>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</si>
  <si>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</si>
  <si>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</si>
  <si>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</si>
  <si>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</si>
  <si>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</si>
  <si>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</si>
  <si>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</si>
  <si>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</si>
  <si>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</si>
  <si>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</si>
  <si>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</si>
  <si>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</si>
  <si>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</si>
  <si>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</si>
  <si>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</si>
  <si>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</si>
  <si>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</si>
  <si>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</si>
  <si>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</si>
  <si>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</si>
  <si>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</si>
  <si>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</si>
  <si>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</si>
  <si>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</si>
  <si>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</si>
  <si>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</si>
  <si>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</si>
  <si>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</si>
  <si>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</si>
  <si>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</si>
  <si>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</si>
  <si>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</si>
  <si>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</si>
  <si>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</si>
  <si>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</si>
  <si>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</si>
  <si>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</si>
  <si>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</si>
  <si>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</si>
  <si>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</si>
  <si>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</si>
  <si>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</si>
  <si>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</si>
  <si>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</si>
  <si>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</si>
  <si>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</si>
  <si>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</si>
  <si>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</si>
  <si>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</si>
  <si>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</si>
  <si>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</si>
  <si>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</si>
  <si>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</si>
  <si>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</si>
  <si>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</si>
  <si>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</si>
  <si>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</si>
  <si>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</si>
  <si>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</si>
  <si>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</si>
  <si>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</si>
  <si>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</si>
  <si>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</si>
  <si>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</si>
  <si>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</si>
  <si>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</si>
  <si>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</si>
  <si>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</si>
  <si>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</si>
  <si>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</si>
  <si>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</si>
  <si>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</si>
  <si>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</si>
  <si>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</si>
  <si>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</si>
  <si>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</si>
  <si>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</si>
  <si>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</si>
  <si>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</si>
  <si>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</si>
  <si>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</si>
  <si>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</si>
  <si>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</si>
  <si>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</si>
  <si>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</si>
  <si>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</si>
  <si>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</si>
  <si>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</si>
  <si>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</si>
  <si>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</si>
  <si>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</si>
  <si>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</si>
  <si>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</si>
  <si>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</si>
  <si>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</si>
  <si>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</si>
  <si>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</si>
  <si>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</si>
  <si>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</si>
  <si>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</si>
  <si>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</si>
  <si>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</si>
  <si>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</si>
  <si>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</si>
  <si>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</si>
  <si>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</si>
  <si>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</si>
  <si>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</si>
  <si>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</si>
  <si>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</si>
  <si>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</si>
  <si>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</si>
  <si>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</si>
  <si>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</si>
  <si>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</si>
  <si>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</si>
  <si>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</si>
  <si>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</si>
  <si>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</si>
  <si>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</si>
  <si>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</si>
  <si>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</si>
  <si>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</si>
  <si>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</si>
  <si>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</si>
  <si>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</si>
  <si>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</si>
  <si>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</si>
  <si>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</si>
  <si>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</si>
  <si>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</si>
  <si>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</si>
  <si>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</si>
  <si>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</si>
  <si>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</si>
  <si>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</si>
  <si>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</si>
  <si>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</si>
  <si>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</si>
  <si>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</si>
  <si>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</si>
  <si>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</si>
  <si>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</si>
  <si>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</si>
  <si>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</si>
  <si>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</si>
  <si>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</si>
  <si>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</si>
  <si>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</si>
  <si>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</si>
  <si>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</si>
  <si>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</si>
  <si>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</si>
  <si>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</si>
  <si>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</si>
  <si>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</si>
  <si>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</si>
  <si>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</si>
  <si>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</si>
  <si>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</si>
  <si>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</si>
  <si>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</si>
  <si>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</si>
  <si>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</si>
  <si>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</si>
  <si>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</si>
  <si>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</si>
  <si>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</si>
  <si>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</si>
  <si>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</si>
  <si>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</si>
  <si>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</si>
  <si>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</si>
  <si>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</si>
  <si>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</si>
  <si>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</si>
  <si>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</si>
  <si>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</si>
  <si>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</si>
  <si>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</si>
  <si>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</si>
  <si>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</si>
  <si>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</si>
  <si>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</si>
  <si>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</si>
  <si>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</si>
  <si>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</si>
  <si>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</si>
  <si>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</si>
  <si>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</si>
  <si>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</si>
  <si>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</si>
  <si>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</si>
  <si>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</si>
  <si>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</si>
  <si>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</si>
  <si>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</si>
  <si>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</si>
  <si>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</si>
  <si>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</si>
  <si>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</si>
  <si>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</si>
  <si>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</si>
  <si>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</si>
  <si>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</si>
  <si>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</si>
  <si>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</si>
  <si>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</si>
  <si>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</si>
  <si>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</si>
  <si>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</si>
  <si>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</si>
  <si>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</si>
  <si>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</si>
  <si>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</si>
  <si>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</si>
  <si>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</si>
  <si>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</si>
  <si>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</si>
  <si>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</si>
  <si>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</si>
  <si>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</si>
  <si>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</si>
  <si>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</si>
  <si>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</si>
  <si>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</si>
  <si>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</si>
  <si>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</si>
  <si>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</si>
  <si>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</si>
  <si>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</si>
  <si>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</si>
  <si>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</si>
  <si>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</si>
  <si>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</si>
  <si>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</si>
  <si>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</si>
  <si>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</si>
  <si>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</si>
  <si>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</si>
  <si>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</si>
  <si>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</si>
  <si>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</si>
  <si>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</si>
  <si>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</si>
  <si>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</si>
  <si>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</si>
  <si>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</si>
  <si>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</si>
  <si>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</si>
  <si>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</si>
  <si>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</si>
  <si>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</si>
  <si>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</si>
  <si>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</si>
  <si>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</si>
  <si>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</si>
  <si>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</si>
  <si>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</si>
  <si>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</si>
  <si>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</si>
  <si>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</si>
  <si>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</si>
  <si>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</si>
  <si>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</si>
  <si>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</si>
  <si>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</si>
  <si>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</si>
  <si>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</si>
  <si>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</si>
  <si>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</si>
  <si>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</si>
  <si>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</si>
  <si>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</si>
  <si>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</si>
  <si>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</si>
  <si>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</si>
  <si>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</si>
  <si>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</si>
  <si>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</si>
  <si>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</si>
  <si>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</si>
  <si>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</si>
  <si>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</si>
  <si>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</si>
  <si>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</si>
  <si>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</si>
  <si>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</si>
  <si>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</si>
  <si>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</si>
  <si>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</si>
  <si>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</si>
  <si>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</si>
  <si>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</si>
  <si>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</si>
  <si>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</si>
  <si>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</si>
  <si>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</si>
  <si>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</si>
  <si>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</si>
  <si>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</si>
  <si>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</si>
  <si>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</si>
  <si>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</si>
  <si>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</si>
  <si>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</si>
  <si>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</si>
  <si>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</si>
  <si>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</si>
  <si>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</si>
  <si>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</si>
  <si>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</si>
  <si>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</si>
  <si>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</si>
  <si>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</si>
  <si>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</si>
  <si>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</si>
  <si>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</si>
  <si>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</si>
  <si>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</si>
  <si>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</si>
  <si>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</si>
  <si>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</si>
  <si>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</si>
  <si>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</si>
  <si>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</si>
  <si>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</si>
  <si>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</si>
  <si>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</si>
  <si>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</si>
  <si>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</si>
  <si>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</si>
  <si>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</si>
  <si>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</si>
  <si>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</si>
  <si>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</si>
  <si>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</si>
  <si>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</si>
  <si>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</si>
  <si>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</si>
  <si>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</si>
  <si>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</si>
  <si>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</si>
  <si>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</si>
  <si>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</si>
  <si>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</si>
  <si>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</si>
  <si>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</si>
  <si>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</si>
  <si>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</si>
  <si>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</si>
  <si>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</si>
  <si>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</si>
  <si>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</si>
  <si>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</si>
  <si>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</si>
  <si>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</si>
  <si>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</si>
  <si>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</si>
  <si>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</si>
  <si>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</si>
  <si>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</si>
  <si>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</si>
  <si>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</si>
  <si>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</si>
  <si>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</si>
  <si>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</si>
  <si>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</si>
  <si>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</si>
  <si>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</si>
  <si>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</si>
  <si>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</si>
  <si>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</si>
  <si>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</si>
  <si>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</si>
  <si>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</si>
  <si>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</si>
  <si>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</si>
  <si>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</si>
  <si>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</si>
  <si>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</si>
  <si>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</si>
  <si>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</si>
  <si>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</si>
  <si>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</si>
  <si>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</si>
  <si>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</si>
  <si>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</si>
  <si>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</si>
  <si>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</si>
  <si>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</si>
  <si>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</si>
  <si>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</si>
  <si>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</si>
  <si>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</si>
  <si>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</si>
  <si>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</si>
  <si>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</si>
  <si>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</si>
  <si>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</si>
  <si>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</si>
  <si>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</si>
  <si>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</si>
  <si>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</si>
  <si>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</si>
  <si>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</si>
  <si>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</si>
  <si>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</si>
  <si>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</si>
  <si>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</si>
  <si>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</si>
  <si>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</si>
  <si>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</si>
  <si>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</si>
  <si>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</si>
  <si>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</si>
  <si>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</si>
  <si>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</si>
  <si>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</si>
  <si>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</si>
  <si>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</si>
  <si>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</si>
  <si>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</si>
  <si>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</si>
  <si>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</si>
  <si>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</si>
  <si>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</si>
  <si>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</si>
  <si>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</si>
  <si>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</si>
  <si>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</si>
  <si>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</si>
  <si>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</si>
  <si>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</si>
  <si>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</si>
  <si>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</si>
  <si>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</si>
  <si>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</si>
  <si>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</si>
  <si>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</si>
  <si>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</si>
  <si>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</si>
  <si>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</si>
  <si>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</si>
  <si>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</si>
  <si>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</si>
  <si>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</si>
  <si>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</si>
  <si>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</si>
  <si>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</si>
  <si>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</si>
  <si>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</si>
  <si>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</si>
  <si>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</si>
  <si>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</si>
  <si>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</si>
  <si>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</si>
  <si>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</si>
  <si>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</si>
  <si>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</si>
  <si>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</si>
  <si>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</si>
  <si>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</si>
  <si>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</si>
  <si>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</si>
  <si>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</si>
  <si>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</si>
  <si>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</si>
  <si>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</si>
  <si>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</si>
  <si>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</si>
  <si>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</si>
  <si>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</si>
  <si>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</si>
  <si>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</si>
  <si>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</si>
  <si>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</si>
  <si>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</si>
  <si>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</si>
  <si>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</si>
  <si>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</si>
  <si>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</si>
  <si>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</si>
  <si>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</si>
  <si>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</si>
  <si>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</si>
  <si>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</si>
  <si>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</si>
  <si>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</si>
  <si>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</si>
  <si>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</si>
  <si>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</si>
  <si>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</si>
  <si>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</si>
  <si>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</si>
  <si>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</si>
  <si>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</si>
  <si>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</si>
  <si>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</si>
  <si>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</si>
  <si>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</si>
  <si>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</si>
  <si>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</si>
  <si>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</si>
  <si>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</si>
  <si>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</si>
  <si>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</si>
  <si>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</si>
  <si>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</si>
  <si>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</si>
  <si>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</si>
  <si>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</si>
  <si>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</si>
  <si>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</si>
  <si>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</si>
  <si>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</si>
  <si>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</si>
  <si>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</si>
  <si>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</si>
  <si>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</si>
  <si>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</si>
  <si>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</si>
  <si>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</si>
  <si>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</si>
  <si>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</si>
  <si>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</si>
  <si>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</si>
  <si>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</si>
  <si>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</si>
  <si>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</si>
  <si>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</si>
  <si>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</si>
  <si>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</si>
  <si>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</si>
  <si>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</si>
  <si>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</si>
  <si>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</si>
  <si>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</si>
  <si>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</si>
  <si>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</si>
  <si>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</si>
  <si>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</si>
  <si>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</si>
  <si>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</si>
  <si>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</si>
  <si>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</si>
  <si>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</si>
  <si>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</si>
  <si>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</si>
  <si>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</si>
  <si>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</si>
  <si>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</si>
  <si>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</si>
  <si>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</si>
  <si>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</si>
  <si>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</si>
  <si>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</si>
  <si>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</si>
  <si>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</si>
  <si>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</si>
  <si>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</si>
  <si>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</si>
  <si>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</si>
  <si>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</si>
  <si>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</si>
  <si>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</si>
  <si>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</si>
  <si>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</si>
  <si>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</si>
  <si>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</si>
  <si>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</si>
  <si>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</si>
  <si>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</si>
  <si>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</si>
  <si>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</si>
  <si>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</si>
  <si>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</si>
  <si>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</si>
  <si>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</si>
  <si>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</si>
  <si>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</si>
  <si>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</si>
  <si>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</si>
  <si>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</si>
  <si>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</si>
  <si>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</si>
  <si>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</si>
  <si>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</si>
  <si>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</si>
  <si>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</si>
  <si>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</si>
  <si>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</si>
  <si>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</si>
  <si>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</si>
  <si>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</si>
  <si>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</si>
  <si>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</si>
  <si>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</si>
  <si>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</si>
  <si>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</si>
  <si>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</si>
  <si>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</si>
  <si>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</si>
  <si>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</si>
  <si>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</si>
  <si>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</si>
  <si>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</si>
  <si>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</si>
  <si>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</si>
  <si>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</si>
  <si>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</si>
  <si>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</si>
  <si>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</si>
  <si>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</si>
  <si>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</si>
  <si>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</si>
  <si>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</si>
  <si>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</si>
  <si>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</si>
  <si>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</si>
  <si>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</si>
  <si>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</si>
  <si>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</si>
  <si>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</si>
  <si>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</si>
  <si>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</si>
  <si>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</si>
  <si>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</si>
  <si>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</si>
  <si>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</si>
  <si>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</si>
  <si>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</si>
  <si>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</si>
  <si>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</si>
  <si>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</si>
  <si>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</si>
  <si>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</si>
  <si>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</si>
  <si>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</si>
  <si>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</si>
  <si>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</si>
  <si>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</si>
  <si>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</si>
  <si>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</si>
  <si>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</si>
  <si>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</si>
  <si>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</si>
  <si>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</si>
  <si>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</si>
  <si>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</si>
  <si>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</si>
  <si>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</si>
  <si>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</si>
  <si>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</si>
  <si>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</si>
  <si>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</si>
  <si>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</si>
  <si>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</si>
  <si>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</si>
  <si>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</si>
  <si>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</si>
  <si>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</si>
  <si>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</si>
  <si>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</si>
  <si>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</si>
  <si>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</si>
  <si>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</si>
  <si>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</si>
  <si>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</si>
  <si>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</si>
  <si>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</si>
  <si>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</si>
  <si>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</si>
  <si>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</si>
  <si>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</si>
  <si>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</si>
  <si>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</si>
  <si>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</si>
  <si>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</si>
  <si>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</si>
  <si>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</si>
  <si>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</si>
  <si>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</si>
  <si>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</si>
  <si>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</si>
  <si>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</si>
  <si>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</si>
  <si>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</si>
  <si>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</si>
  <si>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</si>
  <si>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</si>
  <si>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</si>
  <si>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</si>
  <si>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</si>
  <si>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</si>
  <si>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</si>
  <si>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</si>
  <si>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</si>
  <si>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</si>
  <si>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</si>
  <si>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</si>
  <si>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</si>
  <si>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</si>
  <si>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</si>
  <si>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</si>
  <si>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</si>
  <si>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</si>
  <si>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</si>
  <si>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</si>
  <si>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</si>
  <si>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</si>
  <si>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</si>
  <si>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</si>
  <si>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</si>
  <si>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</si>
  <si>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</si>
  <si>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</si>
  <si>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</si>
  <si>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</si>
  <si>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</si>
  <si>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</si>
  <si>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</si>
  <si>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</si>
  <si>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</si>
  <si>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</si>
  <si>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</si>
  <si>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</si>
  <si>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</si>
  <si>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</si>
  <si>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</si>
  <si>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</si>
  <si>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</si>
  <si>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</si>
  <si>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</si>
  <si>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</si>
  <si>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</si>
  <si>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</si>
  <si>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</si>
  <si>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</si>
  <si>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</si>
  <si>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</si>
  <si>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</si>
  <si>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</si>
  <si>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</si>
  <si>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</si>
  <si>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</si>
  <si>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</si>
  <si>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</si>
  <si>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</si>
  <si>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</si>
  <si>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</si>
  <si>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</si>
  <si>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</si>
  <si>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</si>
  <si>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</si>
  <si>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</si>
  <si>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</si>
  <si>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</si>
  <si>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</si>
  <si>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</si>
  <si>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</si>
  <si>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</si>
  <si>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</si>
  <si>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</si>
  <si>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</si>
  <si>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</si>
  <si>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</si>
  <si>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</si>
  <si>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</si>
  <si>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</si>
  <si>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</si>
  <si>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</si>
  <si>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</si>
  <si>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</si>
  <si>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</si>
  <si>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</si>
  <si>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</si>
  <si>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</si>
  <si>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</si>
  <si>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</si>
  <si>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</si>
  <si>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</si>
  <si>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</si>
  <si>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</si>
  <si>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</si>
  <si>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</si>
  <si>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</si>
  <si>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</si>
  <si>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</si>
  <si>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</si>
  <si>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</si>
  <si>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</si>
  <si>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</si>
  <si>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</si>
  <si>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</si>
  <si>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</si>
  <si>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</si>
  <si>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</si>
  <si>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</si>
  <si>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</si>
  <si>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</si>
  <si>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</si>
  <si>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</si>
  <si>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</si>
  <si>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</si>
  <si>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</si>
  <si>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</si>
  <si>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</si>
  <si>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</si>
  <si>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</si>
  <si>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</si>
  <si>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</si>
  <si>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</si>
  <si>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</si>
  <si>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</si>
  <si>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</si>
  <si>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</si>
  <si>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</si>
  <si>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</si>
  <si>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</si>
  <si>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</si>
  <si>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</si>
  <si>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</si>
  <si>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</si>
  <si>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</si>
  <si>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</si>
  <si>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</si>
  <si>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</si>
  <si>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</si>
  <si>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</si>
  <si>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</si>
  <si>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</si>
  <si>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</si>
  <si>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</si>
  <si>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</si>
  <si>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</si>
  <si>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</si>
  <si>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</si>
  <si>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</si>
  <si>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</si>
  <si>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</si>
  <si>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</si>
  <si>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</si>
  <si>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</si>
  <si>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</si>
  <si>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</si>
  <si>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</si>
  <si>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</si>
  <si>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</si>
  <si>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</si>
  <si>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</si>
  <si>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</si>
  <si>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</si>
  <si>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</si>
  <si>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</si>
  <si>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</si>
  <si>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</si>
  <si>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</si>
  <si>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</si>
  <si>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</si>
  <si>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</si>
  <si>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</si>
  <si>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</si>
  <si>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</si>
  <si>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</si>
  <si>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</si>
  <si>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</si>
  <si>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</si>
  <si>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</si>
  <si>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</si>
  <si>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</si>
  <si>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</si>
  <si>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</si>
  <si>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</si>
  <si>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</si>
  <si>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</si>
  <si>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</si>
  <si>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</si>
  <si>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</si>
  <si>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</si>
  <si>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</si>
  <si>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</si>
  <si>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</si>
  <si>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</si>
  <si>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</si>
  <si>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</si>
  <si>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</si>
  <si>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</si>
  <si>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</si>
  <si>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</si>
  <si>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</si>
  <si>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</si>
  <si>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</si>
  <si>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</si>
  <si>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</si>
  <si>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</si>
  <si>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</si>
  <si>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</si>
  <si>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</si>
  <si>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</si>
  <si>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</si>
  <si>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</si>
  <si>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</si>
  <si>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</si>
  <si>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</si>
  <si>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</si>
  <si>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</si>
  <si>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</si>
  <si>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</si>
  <si>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</si>
  <si>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</si>
  <si>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</si>
  <si>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</si>
  <si>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</si>
  <si>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</si>
  <si>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</si>
  <si>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</si>
  <si>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</si>
  <si>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</si>
  <si>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</si>
  <si>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</si>
  <si>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</si>
  <si>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</si>
  <si>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</si>
  <si>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</si>
  <si>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</si>
  <si>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</si>
  <si>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</si>
  <si>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</si>
  <si>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</si>
  <si>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</si>
  <si>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</si>
  <si>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</si>
  <si>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</si>
  <si>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</si>
  <si>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</si>
  <si>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</si>
  <si>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</si>
  <si>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</si>
  <si>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</si>
  <si>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</si>
  <si>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</si>
  <si>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</si>
  <si>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</si>
  <si>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</si>
  <si>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</si>
  <si>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</si>
  <si>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</si>
  <si>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</si>
  <si>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</si>
  <si>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</si>
  <si>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</si>
  <si>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</si>
  <si>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</si>
  <si>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</si>
  <si>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</si>
  <si>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</si>
  <si>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</si>
  <si>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</si>
  <si>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</si>
  <si>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</si>
  <si>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</si>
  <si>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</si>
  <si>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</si>
  <si>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</si>
  <si>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</si>
  <si>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</si>
  <si>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</si>
  <si>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</si>
  <si>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</si>
  <si>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</si>
  <si>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</si>
  <si>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</si>
  <si>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</si>
  <si>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</si>
  <si>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</si>
  <si>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</si>
  <si>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</si>
  <si>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</si>
  <si>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</si>
  <si>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</si>
  <si>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</si>
  <si>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</si>
  <si>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</si>
  <si>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</si>
  <si>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</si>
  <si>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</si>
  <si>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</si>
  <si>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</si>
  <si>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</si>
  <si>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</si>
  <si>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</si>
  <si>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</si>
  <si>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</si>
  <si>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</si>
  <si>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</si>
  <si>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</si>
  <si>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</si>
  <si>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</si>
  <si>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</si>
  <si>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</si>
  <si>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</si>
  <si>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</si>
  <si>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</si>
  <si>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</si>
  <si>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</si>
  <si>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</si>
  <si>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</si>
  <si>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</si>
  <si>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</si>
  <si>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</si>
  <si>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</si>
  <si>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</si>
  <si>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</si>
  <si>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</si>
  <si>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</si>
  <si>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</si>
  <si>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</si>
  <si>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</si>
  <si>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</si>
  <si>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</si>
  <si>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</si>
  <si>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</si>
  <si>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</si>
  <si>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</si>
  <si>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</si>
  <si>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</si>
  <si>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</si>
  <si>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</si>
  <si>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</si>
  <si>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</si>
  <si>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</si>
  <si>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</si>
  <si>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</si>
  <si>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</si>
  <si>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</si>
  <si>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</si>
  <si>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</si>
  <si>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</si>
  <si>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</si>
  <si>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</si>
  <si>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</si>
  <si>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</si>
  <si>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</si>
  <si>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</si>
  <si>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</si>
  <si>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</si>
  <si>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</si>
  <si>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</si>
  <si>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</si>
  <si>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</si>
  <si>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</si>
  <si>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</si>
  <si>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</si>
  <si>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</si>
  <si>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</si>
  <si>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</si>
  <si>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</si>
  <si>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</si>
  <si>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</si>
  <si>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</si>
  <si>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</si>
  <si>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</si>
  <si>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</si>
  <si>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</si>
  <si>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</si>
  <si>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</si>
  <si>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</si>
  <si>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</si>
  <si>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</si>
  <si>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</si>
  <si>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</si>
  <si>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</si>
  <si>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</si>
  <si>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</si>
  <si>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</si>
  <si>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</si>
  <si>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</si>
  <si>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</si>
  <si>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</si>
  <si>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</si>
  <si>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</si>
  <si>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</si>
  <si>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</si>
  <si>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</si>
  <si>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</si>
  <si>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</si>
  <si>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</si>
  <si>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</si>
  <si>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</si>
  <si>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</si>
  <si>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</si>
  <si>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</si>
  <si>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</si>
  <si>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</si>
  <si>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</si>
  <si>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</si>
  <si>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</si>
  <si>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</si>
  <si>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</si>
  <si>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</si>
  <si>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</si>
  <si>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</si>
  <si>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</si>
  <si>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</si>
  <si>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</si>
  <si>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</si>
  <si>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</si>
  <si>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</si>
  <si>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</si>
  <si>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</si>
  <si>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</si>
  <si>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</si>
  <si>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</si>
  <si>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</si>
  <si>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</si>
  <si>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</si>
  <si>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</si>
  <si>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</si>
  <si>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</si>
  <si>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</si>
  <si>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</si>
  <si>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</si>
  <si>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</si>
  <si>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</si>
  <si>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</si>
  <si>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</si>
  <si>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</si>
  <si>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</si>
  <si>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</si>
  <si>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</si>
  <si>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</si>
  <si>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</si>
  <si>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</si>
  <si>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</si>
  <si>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</si>
  <si>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</si>
  <si>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</si>
  <si>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</si>
  <si>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</si>
  <si>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</si>
  <si>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</si>
  <si>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</si>
  <si>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</si>
  <si>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</si>
  <si>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</si>
  <si>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</si>
  <si>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</si>
  <si>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</si>
  <si>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</si>
  <si>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</si>
  <si>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</si>
  <si>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</si>
  <si>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</si>
  <si>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</si>
  <si>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</si>
  <si>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</si>
  <si>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</si>
  <si>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</si>
  <si>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</si>
  <si>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</si>
  <si>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</si>
  <si>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</si>
  <si>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</si>
  <si>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</si>
  <si>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</si>
  <si>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</si>
  <si>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</si>
  <si>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</si>
  <si>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</si>
  <si>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</si>
  <si>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</si>
  <si>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</si>
  <si>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</si>
  <si>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</si>
  <si>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</si>
  <si>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</si>
  <si>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</si>
  <si>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</si>
  <si>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</si>
  <si>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</si>
  <si>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</si>
  <si>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</si>
  <si>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</si>
  <si>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</si>
  <si>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</si>
  <si>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</si>
  <si>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</si>
  <si>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</si>
  <si>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</si>
  <si>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</si>
  <si>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</si>
  <si>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</si>
  <si>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</si>
  <si>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</si>
  <si>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</si>
  <si>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</si>
  <si>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</si>
  <si>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</si>
  <si>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</si>
  <si>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</si>
  <si>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</si>
  <si>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</si>
  <si>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</si>
  <si>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</si>
  <si>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</si>
  <si>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</si>
  <si>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</si>
  <si>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</si>
  <si>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</si>
  <si>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</si>
  <si>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</si>
  <si>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</si>
  <si>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</si>
  <si>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</si>
  <si>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</si>
  <si>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</si>
  <si>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</si>
  <si>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</si>
  <si>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</si>
  <si>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</si>
  <si>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</si>
  <si>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</si>
  <si>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</si>
  <si>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</si>
  <si>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</si>
  <si>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</si>
  <si>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</si>
  <si>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</si>
  <si>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</si>
  <si>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</si>
  <si>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</si>
  <si>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</si>
  <si>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</si>
  <si>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</si>
  <si>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</si>
  <si>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</si>
  <si>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</si>
  <si>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</si>
  <si>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</si>
  <si>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</si>
  <si>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</si>
  <si>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</si>
  <si>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</si>
  <si>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</si>
  <si>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</si>
  <si>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</si>
  <si>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</si>
  <si>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</si>
  <si>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</si>
  <si>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</si>
  <si>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</si>
  <si>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</si>
  <si>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</si>
  <si>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</si>
  <si>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</si>
  <si>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</si>
  <si>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</si>
  <si>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</si>
  <si>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</si>
  <si>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</si>
  <si>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</si>
  <si>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</si>
  <si>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</si>
  <si>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</si>
  <si>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</si>
  <si>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</si>
  <si>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</si>
  <si>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</si>
  <si>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</si>
  <si>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</si>
  <si>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</si>
  <si>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</si>
  <si>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</si>
  <si>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</si>
  <si>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</si>
  <si>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</si>
  <si>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</si>
  <si>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</si>
  <si>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</si>
  <si>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</si>
  <si>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</si>
  <si>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</si>
  <si>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</si>
  <si>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</si>
  <si>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</si>
  <si>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</si>
  <si>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</si>
  <si>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</si>
  <si>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</si>
  <si>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</si>
  <si>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</si>
  <si>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</si>
  <si>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</si>
  <si>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</si>
  <si>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</si>
  <si>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</si>
  <si>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</si>
  <si>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</si>
  <si>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</si>
  <si>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</si>
  <si>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</si>
  <si>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</si>
  <si>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</si>
  <si>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</si>
  <si>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</si>
  <si>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</si>
  <si>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</si>
  <si>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</si>
  <si>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</si>
  <si>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</si>
  <si>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</si>
  <si>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</si>
  <si>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</si>
  <si>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</si>
  <si>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</si>
  <si>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</si>
  <si>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</si>
  <si>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</si>
  <si>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</si>
  <si>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</si>
  <si>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</si>
  <si>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</si>
  <si>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</si>
  <si>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</si>
  <si>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</si>
  <si>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</si>
  <si>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</si>
  <si>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</si>
  <si>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</si>
  <si>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</si>
  <si>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</si>
  <si>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</si>
  <si>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</si>
  <si>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</si>
  <si>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</si>
  <si>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</si>
  <si>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</si>
  <si>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</si>
  <si>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</si>
  <si>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</si>
  <si>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</si>
  <si>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</si>
  <si>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</si>
  <si>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</si>
  <si>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</si>
  <si>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</si>
  <si>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</si>
  <si>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</si>
  <si>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</si>
  <si>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</si>
  <si>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</si>
  <si>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</si>
  <si>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</si>
  <si>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</si>
  <si>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</si>
  <si>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</si>
  <si>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</si>
  <si>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</si>
  <si>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</si>
  <si>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</si>
  <si>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</si>
  <si>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</si>
  <si>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</si>
  <si>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</si>
  <si>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</si>
  <si>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</si>
  <si>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</si>
  <si>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</si>
  <si>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</si>
  <si>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</si>
  <si>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</si>
  <si>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</si>
  <si>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</si>
  <si>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</si>
  <si>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</si>
  <si>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</si>
  <si>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</si>
  <si>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</si>
  <si>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</si>
  <si>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</si>
  <si>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</si>
  <si>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</si>
  <si>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</si>
  <si>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</si>
  <si>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</si>
  <si>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</si>
  <si>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</si>
  <si>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</si>
  <si>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</si>
  <si>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</si>
  <si>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</si>
  <si>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</si>
  <si>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</si>
  <si>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</si>
  <si>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</si>
  <si>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</si>
  <si>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</si>
  <si>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</si>
  <si>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</si>
  <si>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</si>
  <si>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</si>
  <si>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</si>
  <si>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</si>
  <si>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</si>
  <si>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</si>
  <si>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</si>
  <si>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</si>
  <si>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</si>
  <si>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</si>
  <si>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</si>
  <si>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</si>
  <si>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</si>
  <si>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</si>
  <si>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</si>
  <si>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</si>
  <si>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</si>
  <si>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</si>
  <si>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</si>
  <si>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</si>
  <si>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</si>
  <si>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</si>
  <si>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</si>
  <si>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</si>
  <si>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</si>
  <si>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</si>
  <si>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</si>
  <si>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</si>
  <si>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</si>
  <si>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</si>
  <si>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</si>
  <si>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</si>
  <si>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</si>
  <si>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</si>
  <si>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</si>
  <si>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</si>
  <si>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</si>
  <si>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</si>
  <si>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</si>
  <si>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</si>
  <si>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</si>
  <si>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</si>
  <si>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</si>
  <si>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</si>
  <si>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</si>
  <si>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</si>
  <si>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</si>
  <si>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</si>
  <si>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</si>
  <si>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</si>
  <si>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</si>
  <si>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</si>
  <si>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</si>
  <si>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</si>
  <si>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</si>
  <si>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</si>
  <si>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</si>
  <si>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</si>
  <si>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</si>
  <si>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</si>
  <si>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</si>
  <si>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</si>
  <si>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</si>
  <si>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</si>
  <si>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</si>
  <si>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</si>
  <si>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</si>
  <si>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</si>
  <si>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</si>
  <si>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</si>
  <si>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</si>
  <si>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</si>
  <si>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</si>
  <si>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</si>
  <si>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</si>
  <si>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</si>
  <si>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</si>
  <si>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</si>
  <si>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</si>
  <si>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</si>
  <si>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</si>
  <si>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</si>
  <si>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</si>
  <si>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</si>
  <si>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</si>
  <si>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</si>
  <si>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</si>
  <si>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</si>
  <si>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</si>
  <si>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</si>
  <si>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</si>
  <si>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</si>
  <si>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</si>
  <si>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</si>
  <si>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</si>
  <si>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</si>
  <si>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</si>
  <si>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</si>
  <si>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</si>
  <si>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</si>
  <si>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</si>
  <si>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</si>
  <si>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</si>
  <si>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</si>
  <si>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</si>
  <si>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</si>
  <si>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</si>
  <si>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</si>
  <si>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</si>
  <si>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</si>
  <si>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</si>
  <si>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</si>
  <si>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</si>
  <si>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</si>
  <si>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</si>
  <si>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</si>
  <si>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</si>
  <si>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</si>
  <si>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</si>
  <si>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</si>
  <si>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</si>
  <si>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</si>
  <si>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</si>
  <si>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</si>
  <si>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</si>
  <si>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</si>
  <si>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</si>
  <si>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</si>
  <si>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</si>
  <si>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</si>
  <si>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</si>
  <si>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</si>
  <si>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</si>
  <si>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</si>
  <si>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</si>
  <si>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</si>
  <si>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</si>
  <si>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</si>
  <si>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</si>
  <si>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</si>
  <si>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</si>
  <si>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</si>
  <si>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</si>
  <si>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</si>
  <si>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</si>
  <si>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</si>
  <si>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</si>
  <si>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</si>
  <si>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</si>
  <si>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</si>
  <si>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</si>
  <si>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</si>
  <si>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</si>
  <si>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</si>
  <si>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</si>
  <si>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</si>
  <si>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</si>
  <si>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</si>
  <si>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</si>
  <si>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</si>
  <si>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</si>
  <si>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</si>
  <si>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</si>
  <si>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</si>
  <si>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</si>
  <si>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</si>
  <si>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</si>
  <si>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</si>
  <si>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</si>
  <si>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</si>
  <si>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</si>
  <si>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</si>
  <si>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</si>
  <si>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</si>
  <si>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</si>
  <si>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</si>
  <si>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</si>
  <si>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</si>
  <si>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</si>
  <si>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</si>
  <si>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</si>
  <si>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</si>
  <si>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</si>
  <si>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</si>
  <si>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</si>
  <si>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</si>
  <si>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</si>
  <si>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</si>
  <si>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</si>
  <si>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</si>
  <si>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</si>
  <si>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</si>
  <si>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</si>
  <si>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</si>
  <si>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</si>
  <si>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</si>
  <si>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</si>
  <si>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</si>
  <si>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</si>
  <si>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</si>
  <si>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</si>
  <si>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</si>
  <si>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</si>
  <si>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</si>
  <si>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</si>
  <si>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</si>
  <si>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</si>
  <si>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</si>
  <si>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</si>
  <si>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</si>
  <si>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</si>
  <si>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</si>
  <si>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</si>
  <si>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</si>
  <si>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</si>
  <si>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</si>
  <si>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</si>
  <si>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</si>
  <si>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</si>
  <si>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</si>
  <si>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</si>
  <si>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</si>
  <si>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</si>
  <si>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</si>
  <si>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</si>
  <si>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</si>
  <si>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</si>
  <si>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</si>
  <si>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</si>
  <si>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</si>
  <si>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</si>
  <si>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</si>
  <si>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</si>
  <si>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</si>
  <si>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</si>
  <si>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</si>
  <si>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</si>
  <si>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</si>
  <si>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</si>
  <si>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</si>
  <si>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</si>
  <si>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</si>
  <si>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</si>
  <si>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</si>
  <si>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</si>
  <si>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</si>
  <si>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</si>
  <si>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</si>
  <si>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</si>
  <si>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</si>
  <si>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</si>
  <si>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</si>
  <si>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</si>
  <si>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</si>
  <si>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</si>
  <si>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</si>
  <si>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</si>
  <si>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</si>
  <si>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</si>
  <si>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</si>
  <si>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</si>
  <si>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</si>
  <si>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</si>
  <si>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</si>
  <si>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</si>
  <si>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</si>
  <si>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</si>
  <si>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</si>
  <si>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</si>
  <si>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</si>
  <si>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</si>
  <si>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</si>
  <si>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</si>
  <si>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</si>
  <si>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</si>
  <si>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</si>
  <si>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</si>
  <si>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</si>
  <si>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</si>
  <si>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</si>
  <si>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</si>
  <si>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</si>
  <si>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</si>
  <si>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</si>
  <si>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</si>
  <si>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</si>
  <si>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</si>
  <si>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</si>
  <si>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</si>
  <si>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</si>
  <si>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</si>
  <si>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</si>
  <si>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</si>
  <si>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</si>
  <si>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</si>
  <si>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</si>
  <si>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</si>
  <si>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</si>
  <si>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</si>
  <si>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</si>
  <si>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</si>
  <si>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</si>
  <si>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</si>
  <si>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</si>
  <si>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</si>
  <si>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</si>
  <si>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</si>
  <si>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</si>
  <si>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</si>
  <si>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</si>
  <si>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</si>
  <si>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</si>
  <si>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</si>
  <si>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</si>
  <si>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</si>
  <si>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</si>
  <si>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</si>
  <si>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</si>
  <si>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</si>
  <si>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</si>
  <si>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</si>
  <si>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</si>
  <si>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</si>
  <si>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</si>
  <si>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</si>
  <si>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</si>
  <si>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</si>
  <si>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</si>
  <si>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</si>
  <si>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</si>
  <si>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</si>
  <si>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</si>
  <si>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</si>
  <si>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</si>
  <si>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</si>
  <si>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</si>
  <si>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</si>
  <si>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</si>
  <si>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</si>
  <si>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</si>
  <si>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</si>
  <si>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</si>
  <si>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</si>
  <si>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</si>
  <si>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</si>
  <si>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</si>
  <si>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</si>
  <si>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</si>
  <si>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</si>
  <si>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</si>
  <si>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</si>
  <si>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</si>
  <si>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</si>
  <si>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</si>
  <si>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</si>
  <si>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</si>
  <si>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</si>
  <si>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</si>
  <si>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</si>
  <si>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</si>
  <si>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</si>
  <si>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</si>
  <si>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</si>
  <si>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</si>
  <si>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</si>
  <si>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</si>
  <si>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</si>
  <si>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</si>
  <si>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</si>
  <si>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</si>
  <si>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</si>
  <si>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</si>
  <si>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</si>
  <si>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</si>
  <si>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</si>
  <si>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</si>
  <si>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</si>
  <si>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</si>
  <si>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</si>
  <si>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</si>
  <si>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</si>
  <si>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</si>
  <si>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</si>
  <si>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</si>
  <si>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</si>
  <si>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</si>
  <si>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</si>
  <si>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</si>
  <si>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</si>
  <si>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</si>
  <si>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</si>
  <si>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</si>
  <si>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</si>
  <si>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</si>
  <si>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</si>
  <si>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</si>
  <si>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</si>
  <si>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</si>
  <si>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</si>
  <si>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</si>
  <si>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</si>
  <si>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</si>
  <si>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</si>
  <si>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</si>
  <si>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</si>
  <si>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</si>
  <si>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</si>
  <si>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</si>
  <si>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</si>
  <si>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</si>
  <si>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</si>
  <si>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</si>
  <si>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</si>
  <si>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</si>
  <si>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</si>
  <si>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</si>
  <si>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</si>
  <si>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</si>
  <si>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</si>
  <si>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</si>
  <si>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</si>
  <si>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</si>
  <si>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</si>
  <si>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</si>
  <si>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</si>
  <si>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</si>
  <si>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</si>
  <si>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</si>
  <si>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</si>
  <si>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</si>
  <si>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</si>
  <si>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</si>
  <si>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</si>
  <si>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</si>
  <si>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</si>
  <si>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</si>
  <si>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</si>
  <si>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</si>
  <si>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</si>
  <si>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</si>
  <si>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</si>
  <si>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</si>
  <si>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</si>
  <si>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</si>
  <si>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</si>
  <si>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</si>
  <si>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</si>
  <si>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</si>
  <si>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</si>
  <si>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</si>
  <si>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</si>
  <si>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</si>
  <si>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</si>
  <si>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</si>
  <si>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</si>
  <si>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</si>
  <si>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</si>
  <si>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</si>
  <si>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</si>
  <si>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</si>
  <si>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</si>
  <si>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</si>
  <si>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</si>
  <si>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</si>
  <si>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</si>
  <si>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</si>
  <si>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</si>
  <si>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</si>
  <si>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</si>
  <si>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</si>
  <si>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</si>
  <si>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</si>
  <si>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</si>
  <si>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</si>
  <si>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</si>
  <si>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</si>
  <si>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</si>
  <si>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</si>
  <si>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</si>
  <si>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</si>
  <si>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</si>
  <si>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</si>
  <si>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</si>
  <si>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</si>
  <si>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</si>
  <si>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</si>
  <si>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</si>
  <si>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</si>
  <si>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</si>
  <si>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</si>
  <si>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</si>
  <si>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</si>
  <si>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</si>
  <si>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</si>
  <si>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</si>
  <si>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</si>
  <si>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</si>
  <si>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</si>
  <si>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</si>
  <si>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</si>
  <si>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</si>
  <si>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</si>
  <si>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</si>
  <si>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</si>
  <si>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</si>
  <si>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</si>
  <si>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</si>
  <si>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</si>
  <si>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</si>
  <si>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</si>
  <si>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</si>
  <si>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</si>
  <si>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</si>
  <si>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</si>
  <si>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</si>
  <si>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</si>
  <si>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</si>
  <si>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</si>
  <si>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</si>
  <si>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</si>
  <si>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</si>
  <si>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</si>
  <si>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</si>
  <si>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</si>
  <si>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</si>
  <si>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</si>
  <si>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</si>
  <si>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</si>
  <si>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</si>
  <si>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</si>
  <si>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</si>
  <si>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</si>
  <si>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</si>
  <si>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</si>
  <si>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</si>
  <si>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</si>
  <si>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</si>
  <si>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</si>
  <si>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</si>
  <si>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</si>
  <si>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</si>
  <si>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</si>
  <si>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</si>
  <si>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</si>
  <si>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</si>
  <si>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</si>
  <si>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</si>
  <si>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</si>
  <si>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</si>
  <si>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</si>
  <si>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</si>
  <si>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</si>
  <si>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</si>
  <si>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</si>
  <si>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</si>
  <si>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</si>
  <si>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</si>
  <si>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</si>
  <si>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</si>
  <si>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</si>
  <si>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</si>
  <si>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</si>
  <si>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</si>
  <si>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</si>
  <si>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</si>
  <si>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</si>
  <si>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</si>
  <si>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</si>
  <si>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</si>
  <si>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</si>
  <si>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</si>
  <si>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</si>
  <si>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</si>
  <si>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</si>
  <si>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</si>
  <si>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</si>
  <si>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</si>
  <si>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</si>
  <si>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</si>
  <si>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</si>
  <si>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</si>
  <si>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</si>
  <si>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</si>
  <si>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</si>
  <si>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</si>
  <si>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</si>
  <si>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</si>
  <si>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</si>
  <si>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</si>
  <si>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</si>
  <si>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</si>
  <si>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</si>
  <si>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</si>
  <si>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</si>
  <si>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</si>
  <si>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</si>
  <si>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</si>
  <si>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</si>
  <si>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</si>
  <si>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</si>
  <si>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</si>
  <si>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</si>
  <si>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</si>
  <si>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</si>
  <si>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</si>
  <si>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</si>
  <si>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</si>
  <si>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</si>
  <si>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</si>
  <si>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</si>
  <si>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</si>
  <si>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</si>
  <si>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</si>
  <si>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</si>
  <si>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</si>
  <si>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</si>
  <si>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</si>
  <si>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</si>
  <si>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</si>
  <si>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</si>
  <si>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</si>
  <si>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</si>
  <si>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</si>
  <si>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</si>
  <si>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</si>
  <si>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</si>
  <si>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</si>
  <si>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</si>
  <si>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</si>
  <si>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</si>
  <si>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</si>
  <si>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</si>
  <si>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</si>
  <si>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</si>
  <si>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</si>
  <si>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</si>
  <si>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</si>
  <si>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</si>
  <si>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</si>
  <si>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</si>
  <si>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</si>
  <si>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</si>
  <si>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</si>
  <si>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</si>
  <si>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</si>
  <si>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</si>
  <si>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</si>
  <si>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</si>
  <si>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</si>
  <si>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</si>
  <si>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</si>
  <si>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</si>
  <si>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</si>
  <si>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</si>
  <si>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</si>
  <si>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</si>
  <si>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</si>
  <si>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</si>
  <si>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</si>
  <si>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</si>
  <si>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</si>
  <si>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</si>
  <si>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</si>
  <si>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</si>
  <si>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</si>
  <si>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</si>
  <si>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</si>
  <si>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</si>
  <si>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</si>
  <si>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</si>
  <si>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</si>
  <si>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</si>
  <si>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</si>
  <si>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</si>
  <si>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</si>
  <si>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</si>
  <si>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</si>
  <si>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</si>
  <si>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</si>
  <si>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</si>
  <si>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</si>
  <si>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</si>
  <si>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</si>
  <si>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</si>
  <si>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</si>
  <si>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</si>
  <si>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</si>
  <si>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</si>
  <si>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</si>
  <si>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</si>
  <si>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</si>
  <si>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</si>
  <si>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</si>
  <si>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</si>
  <si>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</si>
  <si>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</si>
  <si>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</si>
  <si>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</si>
  <si>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</si>
  <si>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</si>
  <si>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</si>
  <si>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</si>
  <si>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</si>
  <si>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</si>
  <si>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</si>
  <si>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</si>
  <si>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</si>
  <si>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</si>
  <si>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</si>
  <si>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</si>
  <si>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</si>
  <si>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</si>
  <si>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</si>
  <si>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</si>
  <si>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</si>
  <si>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</si>
  <si>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</si>
  <si>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</si>
  <si>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</si>
  <si>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</si>
  <si>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</si>
  <si>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</si>
  <si>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</si>
  <si>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</si>
  <si>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</si>
  <si>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</si>
  <si>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</si>
  <si>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</si>
  <si>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</si>
  <si>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</si>
  <si>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</si>
  <si>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</si>
  <si>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</si>
  <si>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</si>
  <si>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</si>
  <si>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</si>
  <si>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</si>
  <si>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</si>
  <si>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</si>
  <si>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</si>
  <si>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</si>
  <si>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</si>
  <si>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</si>
  <si>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</si>
  <si>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</si>
  <si>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</si>
  <si>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</si>
  <si>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</si>
  <si>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</si>
  <si>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</si>
  <si>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</si>
  <si>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</si>
  <si>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</si>
  <si>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</si>
  <si>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</si>
  <si>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</si>
  <si>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</si>
  <si>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</si>
  <si>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</si>
  <si>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</si>
  <si>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</si>
  <si>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</si>
  <si>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</si>
  <si>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</si>
  <si>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</si>
  <si>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</si>
  <si>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</si>
  <si>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</si>
  <si>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</si>
  <si>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</si>
  <si>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</si>
  <si>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</si>
  <si>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</si>
  <si>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</si>
  <si>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</si>
  <si>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</si>
  <si>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</si>
  <si>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</si>
  <si>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</si>
  <si>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</si>
  <si>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</si>
  <si>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</si>
  <si>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</si>
  <si>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</si>
  <si>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</si>
  <si>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</si>
  <si>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</si>
  <si>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</si>
  <si>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</si>
  <si>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</si>
  <si>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</si>
  <si>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</si>
  <si>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</si>
  <si>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</si>
  <si>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</si>
  <si>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</si>
  <si>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</si>
  <si>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</si>
  <si>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</si>
  <si>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</si>
  <si>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</si>
  <si>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</si>
  <si>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</si>
  <si>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</si>
  <si>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</si>
  <si>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</si>
  <si>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</si>
  <si>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</si>
  <si>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</si>
  <si>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</si>
  <si>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</si>
  <si>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</si>
  <si>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</si>
  <si>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</si>
  <si>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</si>
  <si>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</si>
  <si>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</si>
  <si>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</si>
  <si>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</si>
  <si>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</si>
  <si>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</si>
  <si>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</si>
  <si>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</si>
  <si>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</si>
  <si>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</si>
  <si>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</si>
  <si>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</si>
  <si>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</si>
  <si>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</si>
  <si>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</si>
  <si>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</si>
  <si>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</si>
  <si>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</si>
  <si>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</si>
  <si>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</si>
  <si>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</si>
  <si>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</si>
  <si>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</si>
  <si>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</si>
  <si>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</si>
  <si>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</si>
  <si>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</si>
  <si>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</si>
  <si>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</si>
  <si>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</si>
  <si>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</si>
  <si>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</si>
  <si>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</si>
  <si>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</si>
  <si>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</si>
  <si>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</si>
  <si>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</si>
  <si>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</si>
  <si>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</si>
  <si>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</si>
  <si>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</si>
  <si>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</si>
  <si>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</si>
  <si>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</si>
  <si>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</si>
  <si>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</si>
  <si>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</si>
  <si>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</si>
  <si>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</si>
  <si>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</si>
  <si>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</si>
  <si>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</si>
  <si>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</si>
  <si>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</si>
  <si>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</si>
  <si>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</si>
  <si>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</si>
  <si>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</si>
  <si>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</si>
  <si>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</si>
  <si>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</si>
  <si>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</si>
  <si>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</si>
  <si>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</si>
  <si>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</si>
  <si>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</si>
  <si>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</si>
  <si>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</si>
  <si>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</si>
  <si>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</si>
  <si>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</si>
  <si>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</si>
  <si>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</si>
  <si>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</si>
  <si>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</si>
  <si>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</si>
  <si>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</si>
  <si>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</si>
  <si>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</si>
  <si>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</si>
  <si>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</si>
  <si>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</si>
  <si>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</si>
  <si>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</si>
  <si>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</si>
  <si>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</si>
  <si>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</si>
  <si>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</si>
  <si>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</si>
  <si>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</si>
  <si>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</si>
  <si>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</si>
  <si>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</si>
  <si>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</si>
  <si>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</si>
  <si>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</si>
  <si>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</si>
  <si>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</si>
  <si>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</si>
  <si>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</si>
  <si>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</si>
  <si>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</si>
  <si>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</si>
  <si>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</si>
  <si>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</si>
  <si>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</si>
  <si>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</si>
  <si>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</si>
  <si>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</si>
  <si>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</si>
  <si>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</si>
  <si>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</si>
  <si>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</si>
  <si>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</si>
  <si>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</si>
  <si>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</si>
  <si>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</si>
  <si>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</si>
  <si>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</si>
  <si>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</si>
  <si>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</si>
  <si>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</si>
  <si>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</si>
  <si>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</si>
  <si>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</si>
  <si>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</si>
  <si>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</si>
  <si>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</si>
  <si>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</si>
  <si>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</si>
  <si>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</si>
  <si>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</si>
  <si>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</si>
  <si>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</si>
  <si>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</si>
  <si>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</si>
  <si>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</si>
  <si>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</si>
  <si>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</si>
  <si>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</si>
  <si>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</si>
  <si>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</si>
  <si>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</si>
  <si>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</si>
  <si>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</si>
  <si>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</si>
  <si>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</si>
  <si>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</si>
  <si>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</si>
  <si>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</si>
  <si>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</si>
  <si>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</si>
  <si>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</si>
  <si>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</si>
  <si>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</si>
  <si>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</si>
  <si>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</si>
  <si>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</si>
  <si>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</si>
  <si>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</si>
  <si>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</si>
  <si>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</si>
  <si>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</si>
  <si>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</si>
  <si>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</si>
  <si>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</si>
  <si>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</si>
  <si>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</si>
  <si>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</si>
  <si>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</si>
  <si>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</si>
  <si>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</si>
  <si>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</si>
  <si>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</si>
  <si>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</si>
  <si>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</si>
  <si>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</si>
  <si>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</si>
  <si>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</si>
  <si>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</si>
  <si>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</si>
  <si>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</si>
  <si>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</si>
  <si>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</si>
  <si>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</si>
  <si>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</si>
  <si>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</si>
  <si>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</si>
  <si>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</si>
  <si>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</si>
  <si>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</si>
  <si>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</si>
  <si>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</si>
  <si>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</si>
  <si>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</si>
  <si>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</si>
  <si>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</si>
  <si>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</si>
  <si>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</si>
  <si>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</si>
  <si>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</si>
  <si>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</si>
  <si>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</si>
  <si>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</si>
  <si>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</si>
  <si>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</si>
  <si>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</si>
  <si>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</si>
  <si>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</si>
  <si>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</si>
  <si>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</si>
  <si>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</si>
  <si>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</si>
  <si>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</si>
  <si>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</si>
  <si>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</si>
  <si>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</si>
  <si>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</si>
  <si>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</si>
  <si>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</si>
  <si>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</si>
  <si>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</si>
  <si>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</si>
  <si>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</si>
  <si>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</si>
  <si>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</si>
  <si>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</si>
  <si>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</si>
  <si>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</si>
  <si>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</si>
  <si>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</si>
  <si>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</si>
  <si>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</si>
  <si>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</si>
  <si>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</si>
  <si>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</si>
  <si>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</si>
  <si>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</si>
  <si>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</si>
  <si>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</si>
  <si>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</si>
  <si>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</si>
  <si>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</si>
  <si>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</si>
  <si>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</si>
  <si>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</si>
  <si>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</si>
  <si>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</si>
  <si>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</si>
  <si>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</si>
  <si>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</si>
  <si>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</si>
  <si>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</si>
  <si>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</si>
  <si>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</si>
  <si>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</si>
  <si>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</si>
  <si>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</si>
  <si>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</si>
  <si>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</si>
  <si>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</si>
  <si>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</si>
  <si>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</si>
  <si>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</si>
  <si>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</si>
  <si>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</si>
  <si>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</si>
  <si>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</si>
  <si>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</si>
  <si>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</si>
  <si>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</si>
  <si>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</si>
  <si>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</si>
  <si>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</si>
  <si>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</si>
  <si>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</si>
  <si>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</si>
  <si>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</si>
  <si>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</si>
  <si>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</si>
  <si>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</si>
  <si>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</si>
  <si>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</si>
  <si>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</si>
  <si>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</si>
  <si>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</si>
  <si>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</si>
  <si>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</si>
  <si>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</si>
  <si>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</si>
  <si>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</si>
  <si>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</si>
  <si>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</si>
  <si>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</si>
  <si>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</si>
  <si>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</si>
  <si>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</si>
  <si>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</si>
  <si>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</si>
  <si>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</si>
  <si>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</si>
  <si>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</si>
  <si>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</si>
  <si>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</si>
  <si>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</si>
  <si>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</si>
  <si>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</si>
  <si>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</si>
  <si>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</si>
  <si>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</si>
  <si>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</si>
  <si>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</si>
  <si>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</si>
  <si>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</si>
  <si>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</si>
  <si>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</si>
  <si>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</si>
  <si>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</si>
  <si>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</si>
  <si>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</si>
  <si>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</si>
  <si>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</si>
  <si>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</si>
  <si>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</si>
  <si>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</si>
  <si>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</si>
  <si>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</si>
  <si>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</si>
  <si>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</si>
  <si>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</si>
  <si>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</si>
  <si>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</si>
  <si>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</si>
  <si>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</si>
  <si>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</si>
  <si>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</si>
  <si>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</si>
  <si>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</si>
  <si>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</si>
  <si>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</si>
  <si>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</si>
  <si>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</si>
  <si>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</si>
  <si>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</si>
  <si>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</si>
  <si>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</si>
  <si>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</si>
  <si>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</si>
  <si>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</si>
  <si>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</si>
  <si>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</si>
  <si>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</si>
  <si>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</si>
  <si>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</si>
  <si>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</si>
  <si>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</si>
  <si>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</si>
  <si>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</si>
  <si>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</si>
  <si>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</si>
  <si>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</si>
  <si>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</si>
  <si>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</si>
  <si>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</si>
  <si>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</si>
  <si>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</si>
  <si>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</si>
  <si>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</si>
  <si>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</si>
  <si>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</si>
  <si>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</si>
  <si>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</si>
  <si>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</si>
  <si>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</si>
  <si>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</si>
  <si>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</si>
  <si>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</si>
  <si>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</si>
  <si>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</si>
  <si>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</si>
  <si>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</si>
  <si>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</si>
  <si>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</si>
  <si>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</si>
  <si>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</si>
  <si>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</si>
  <si>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</si>
  <si>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</si>
  <si>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</si>
  <si>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</si>
  <si>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</si>
  <si>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</si>
  <si>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</si>
  <si>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</si>
  <si>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</si>
  <si>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</si>
  <si>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</si>
  <si>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</si>
  <si>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</si>
  <si>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</si>
  <si>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</si>
  <si>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</si>
  <si>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</si>
  <si>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</si>
  <si>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</si>
  <si>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</si>
  <si>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</si>
  <si>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</si>
  <si>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</si>
  <si>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</si>
  <si>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</si>
  <si>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</si>
  <si>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</si>
  <si>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</si>
  <si>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</si>
  <si>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</si>
  <si>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</si>
  <si>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</si>
  <si>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</si>
  <si>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</si>
  <si>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</si>
  <si>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</si>
  <si>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</si>
  <si>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</si>
  <si>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</si>
  <si>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</si>
  <si>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</si>
  <si>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</si>
  <si>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</si>
  <si>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</si>
  <si>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</si>
  <si>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</si>
  <si>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</si>
  <si>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</si>
  <si>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</si>
  <si>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</si>
  <si>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</si>
  <si>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</si>
  <si>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</si>
  <si>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</si>
  <si>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</si>
  <si>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</si>
  <si>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</si>
  <si>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</si>
  <si>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</si>
  <si>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</si>
  <si>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</si>
  <si>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</si>
  <si>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</si>
  <si>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</si>
  <si>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</si>
  <si>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</si>
  <si>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</si>
  <si>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</si>
  <si>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</si>
  <si>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</si>
  <si>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</si>
  <si>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</si>
  <si>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</si>
  <si>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</si>
  <si>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</si>
  <si>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</si>
  <si>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</si>
  <si>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</si>
  <si>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</si>
  <si>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</si>
  <si>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</si>
  <si>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</si>
  <si>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</si>
  <si>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</si>
  <si>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</si>
  <si>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</si>
  <si>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</si>
  <si>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</si>
  <si>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</si>
  <si>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</si>
  <si>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</si>
  <si>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</si>
  <si>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</si>
  <si>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</si>
  <si>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</si>
  <si>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</si>
  <si>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</si>
  <si>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</si>
  <si>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</si>
  <si>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</si>
  <si>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</si>
  <si>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</si>
  <si>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</si>
  <si>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</si>
  <si>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</si>
  <si>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</si>
  <si>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</si>
  <si>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</si>
  <si>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</si>
  <si>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</si>
  <si>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</si>
  <si>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</si>
  <si>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</si>
  <si>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</si>
  <si>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</si>
  <si>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</si>
  <si>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</si>
  <si>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</si>
  <si>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</si>
  <si>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</si>
  <si>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</si>
  <si>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</si>
  <si>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</si>
  <si>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</si>
  <si>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</si>
  <si>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</si>
  <si>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</si>
  <si>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</si>
  <si>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</si>
  <si>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</si>
  <si>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</si>
  <si>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</si>
  <si>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</si>
  <si>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</si>
  <si>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</si>
  <si>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</si>
  <si>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</si>
  <si>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</si>
  <si>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</si>
  <si>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</si>
  <si>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</si>
  <si>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</si>
  <si>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</si>
  <si>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</si>
  <si>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</si>
  <si>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</si>
  <si>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</si>
  <si>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</si>
  <si>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</si>
  <si>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</si>
  <si>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</si>
  <si>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</si>
  <si>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</si>
  <si>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</si>
  <si>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</si>
  <si>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</si>
  <si>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</si>
  <si>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</si>
  <si>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</si>
  <si>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</si>
  <si>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</si>
  <si>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</si>
  <si>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</si>
  <si>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</si>
  <si>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</si>
  <si>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</si>
  <si>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</si>
  <si>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</si>
  <si>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</si>
  <si>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</si>
  <si>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</si>
  <si>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</si>
  <si>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</si>
  <si>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</si>
  <si>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</si>
  <si>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</si>
  <si>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</si>
  <si>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</si>
  <si>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</si>
  <si>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</si>
  <si>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</si>
  <si>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</si>
  <si>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</si>
  <si>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</si>
  <si>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</si>
  <si>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</si>
  <si>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</si>
  <si>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</si>
  <si>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</si>
  <si>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</si>
  <si>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</si>
  <si>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</si>
  <si>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</si>
  <si>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</si>
  <si>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</si>
  <si>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</si>
  <si>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</si>
  <si>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</si>
  <si>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</si>
  <si>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</si>
  <si>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</si>
  <si>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</si>
  <si>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</si>
  <si>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</si>
  <si>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</si>
  <si>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</si>
  <si>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</si>
  <si>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</si>
  <si>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</si>
  <si>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</si>
  <si>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</si>
  <si>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</si>
  <si>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</si>
  <si>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</si>
  <si>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</si>
  <si>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</si>
  <si>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</si>
  <si>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</si>
  <si>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</si>
  <si>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</si>
  <si>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</si>
  <si>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</si>
  <si>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</si>
  <si>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</si>
  <si>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</si>
  <si>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</si>
  <si>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</si>
  <si>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</si>
  <si>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</si>
  <si>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</si>
  <si>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</si>
  <si>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</si>
  <si>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</si>
  <si>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</si>
  <si>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</si>
  <si>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</si>
  <si>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</si>
  <si>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</si>
  <si>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</si>
  <si>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</si>
  <si>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</si>
  <si>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</si>
  <si>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</si>
  <si>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</si>
  <si>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</si>
  <si>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</si>
  <si>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</si>
  <si>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</si>
  <si>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</si>
  <si>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</si>
  <si>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</si>
  <si>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</si>
  <si>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</si>
  <si>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</si>
  <si>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</si>
  <si>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</si>
  <si>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</si>
  <si>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</si>
  <si>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</si>
  <si>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</si>
  <si>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</si>
  <si>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</si>
  <si>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</si>
  <si>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</si>
  <si>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</si>
  <si>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</si>
  <si>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</si>
  <si>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</si>
  <si>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</si>
  <si>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</si>
  <si>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</si>
  <si>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</si>
  <si>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</si>
  <si>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</si>
  <si>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</si>
  <si>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</si>
  <si>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</si>
  <si>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</si>
  <si>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</si>
  <si>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</si>
  <si>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</si>
  <si>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</si>
  <si>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</si>
  <si>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</si>
  <si>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</si>
  <si>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</si>
  <si>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</si>
  <si>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</si>
  <si>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</si>
  <si>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</si>
  <si>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</si>
  <si>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</si>
  <si>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</si>
  <si>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</si>
  <si>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</si>
  <si>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</si>
  <si>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</si>
  <si>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</si>
  <si>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</si>
  <si>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</si>
  <si>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</si>
  <si>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</si>
  <si>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</si>
  <si>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</si>
  <si>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</si>
  <si>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</si>
  <si>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</si>
  <si>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</si>
  <si>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</si>
  <si>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</si>
  <si>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</si>
  <si>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</si>
  <si>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</si>
  <si>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</si>
  <si>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</si>
  <si>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</si>
  <si>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</si>
  <si>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</si>
  <si>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</si>
  <si>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</si>
  <si>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</si>
  <si>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</si>
  <si>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</si>
  <si>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</si>
  <si>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</si>
  <si>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</si>
  <si>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</si>
  <si>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</si>
  <si>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</si>
  <si>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</si>
  <si>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</si>
  <si>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</si>
  <si>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</si>
  <si>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</si>
  <si>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</si>
  <si>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</si>
  <si>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</si>
  <si>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</si>
  <si>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</si>
  <si>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</si>
  <si>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</si>
  <si>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</si>
  <si>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</si>
  <si>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</si>
  <si>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</si>
  <si>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</si>
  <si>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</si>
  <si>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</si>
  <si>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</si>
  <si>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</si>
  <si>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</si>
  <si>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</si>
  <si>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</si>
  <si>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</si>
  <si>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</si>
  <si>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</si>
  <si>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</si>
  <si>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</si>
  <si>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</si>
  <si>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</si>
  <si>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</si>
  <si>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</si>
  <si>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</si>
  <si>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</si>
  <si>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</si>
  <si>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</si>
  <si>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</si>
  <si>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</si>
  <si>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</si>
  <si>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</si>
  <si>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</si>
  <si>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</si>
  <si>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</si>
  <si>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</si>
  <si>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</si>
  <si>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</si>
  <si>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</si>
  <si>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</si>
  <si>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</si>
  <si>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</si>
  <si>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</si>
  <si>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</si>
  <si>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</si>
  <si>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</si>
  <si>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</si>
  <si>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</si>
  <si>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</si>
  <si>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</si>
  <si>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</si>
  <si>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</si>
  <si>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</si>
  <si>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</si>
  <si>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</si>
  <si>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</si>
  <si>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</si>
  <si>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</si>
  <si>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</si>
  <si>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</si>
  <si>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</si>
  <si>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</si>
  <si>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</si>
  <si>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</si>
  <si>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</si>
  <si>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</si>
  <si>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</si>
  <si>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</si>
  <si>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</si>
  <si>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</si>
  <si>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</si>
  <si>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</si>
  <si>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</si>
  <si>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</si>
  <si>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</si>
  <si>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</si>
  <si>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</si>
  <si>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</si>
  <si>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</si>
  <si>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</si>
  <si>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</si>
  <si>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</si>
  <si>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</si>
  <si>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</si>
  <si>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</si>
  <si>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</si>
  <si>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</si>
  <si>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</si>
  <si>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</si>
  <si>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</si>
  <si>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</si>
  <si>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</si>
  <si>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</si>
  <si>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</si>
  <si>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</si>
  <si>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</si>
  <si>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</si>
  <si>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</si>
  <si>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</si>
  <si>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</si>
  <si>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</si>
  <si>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</si>
  <si>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</si>
  <si>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</si>
  <si>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</si>
  <si>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</si>
  <si>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</si>
  <si>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</si>
  <si>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</si>
  <si>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</si>
  <si>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</si>
  <si>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</si>
  <si>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</si>
  <si>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</si>
  <si>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</si>
  <si>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</si>
  <si>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</si>
  <si>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</si>
  <si>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</si>
  <si>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</si>
  <si>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</si>
  <si>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</si>
  <si>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</si>
  <si>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</si>
  <si>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</si>
  <si>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</si>
  <si>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</si>
  <si>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</si>
  <si>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</si>
  <si>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</si>
  <si>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</si>
  <si>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</si>
  <si>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</si>
  <si>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</si>
  <si>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</si>
  <si>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</si>
  <si>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</si>
  <si>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</si>
  <si>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</si>
  <si>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</si>
  <si>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</si>
  <si>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</si>
  <si>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</si>
  <si>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</si>
  <si>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</si>
  <si>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</si>
  <si>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</si>
  <si>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</si>
  <si>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</si>
  <si>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</si>
  <si>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</si>
  <si>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</si>
  <si>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</si>
  <si>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</si>
  <si>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</si>
  <si>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</si>
  <si>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</si>
  <si>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</si>
  <si>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</si>
  <si>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</si>
  <si>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</si>
  <si>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</si>
  <si>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</si>
  <si>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</si>
  <si>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</si>
  <si>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</si>
  <si>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</si>
  <si>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</si>
  <si>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</si>
  <si>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</si>
  <si>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</si>
  <si>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</si>
  <si>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</si>
  <si>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</si>
  <si>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</si>
  <si>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</si>
  <si>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</si>
  <si>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</si>
  <si>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</si>
  <si>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</si>
  <si>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</si>
  <si>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</si>
  <si>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</si>
  <si>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</si>
  <si>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</si>
  <si>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</si>
  <si>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</si>
  <si>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</si>
  <si>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</si>
  <si>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</si>
  <si>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</si>
  <si>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</si>
  <si>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</si>
  <si>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</si>
  <si>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</si>
  <si>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</si>
  <si>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</si>
  <si>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</si>
  <si>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</si>
  <si>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</si>
  <si>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</si>
  <si>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</si>
  <si>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</si>
  <si>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</si>
  <si>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</si>
  <si>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</si>
  <si>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</si>
  <si>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</si>
  <si>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</si>
  <si>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</si>
  <si>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</si>
  <si>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</si>
  <si>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</si>
  <si>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</si>
  <si>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</si>
  <si>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</si>
  <si>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</si>
  <si>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</si>
  <si>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</si>
  <si>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</si>
  <si>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</si>
  <si>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</si>
  <si>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</si>
  <si>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</si>
  <si>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</si>
  <si>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</si>
  <si>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</si>
  <si>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</si>
  <si>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</si>
  <si>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</si>
  <si>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</si>
  <si>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</si>
  <si>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</si>
  <si>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</si>
  <si>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</si>
  <si>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</si>
  <si>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</si>
  <si>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</si>
  <si>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</si>
  <si>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</si>
  <si>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</si>
  <si>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</si>
  <si>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</si>
  <si>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</si>
  <si>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</si>
  <si>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</si>
  <si>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</si>
  <si>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</si>
  <si>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</si>
  <si>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</si>
  <si>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</si>
  <si>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</si>
  <si>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</si>
  <si>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</si>
  <si>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</si>
  <si>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</si>
  <si>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</si>
  <si>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</si>
  <si>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</si>
  <si>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</si>
  <si>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</si>
  <si>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</si>
  <si>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</si>
  <si>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</si>
  <si>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</si>
  <si>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</si>
  <si>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</si>
  <si>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</si>
  <si>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</si>
  <si>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</si>
  <si>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</si>
  <si>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</si>
  <si>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</si>
  <si>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</si>
  <si>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</si>
  <si>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</si>
  <si>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</si>
  <si>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</si>
  <si>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</si>
  <si>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</si>
  <si>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</si>
  <si>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</si>
  <si>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</si>
  <si>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</si>
  <si>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</si>
  <si>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</si>
  <si>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</si>
  <si>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</si>
  <si>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</si>
  <si>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</si>
  <si>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</si>
  <si>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</si>
  <si>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</si>
  <si>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</si>
  <si>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</si>
  <si>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</si>
  <si>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</si>
  <si>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</si>
  <si>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</si>
  <si>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</si>
  <si>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</si>
  <si>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</si>
  <si>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</si>
  <si>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</si>
  <si>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</si>
  <si>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</si>
  <si>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</si>
  <si>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</si>
  <si>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</si>
  <si>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</si>
  <si>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</si>
  <si>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</si>
  <si>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</si>
  <si>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</si>
  <si>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</si>
  <si>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</si>
  <si>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</si>
  <si>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</si>
  <si>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</si>
  <si>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</si>
  <si>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</si>
  <si>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</si>
  <si>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</si>
  <si>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</si>
  <si>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</si>
  <si>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</si>
  <si>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</si>
  <si>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</si>
  <si>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</si>
  <si>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</si>
  <si>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</si>
  <si>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</si>
  <si>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</si>
  <si>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</si>
  <si>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</si>
  <si>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</si>
  <si>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</si>
  <si>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</si>
  <si>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</si>
  <si>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</si>
  <si>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</si>
  <si>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</si>
  <si>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</si>
  <si>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</si>
  <si>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</si>
  <si>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</si>
  <si>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</si>
  <si>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</si>
  <si>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</si>
  <si>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</si>
  <si>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</si>
  <si>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</si>
  <si>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</si>
  <si>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</si>
  <si>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</si>
  <si>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</si>
  <si>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</si>
  <si>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</si>
  <si>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</si>
  <si>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</si>
  <si>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</si>
  <si>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</si>
  <si>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</si>
  <si>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</si>
  <si>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</si>
  <si>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</si>
  <si>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</si>
  <si>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</si>
  <si>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</si>
  <si>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</si>
  <si>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</si>
  <si>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</si>
  <si>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</si>
  <si>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</si>
  <si>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</si>
  <si>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</si>
  <si>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</si>
  <si>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</si>
  <si>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</si>
  <si>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</si>
  <si>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</si>
  <si>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</si>
  <si>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</si>
  <si>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</si>
  <si>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</si>
  <si>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</si>
  <si>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</si>
  <si>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</si>
  <si>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</si>
  <si>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</si>
  <si>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</si>
  <si>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</si>
  <si>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</si>
  <si>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</si>
  <si>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</si>
  <si>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</si>
  <si>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</si>
  <si>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</si>
  <si>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</si>
  <si>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</si>
  <si>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</si>
  <si>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</si>
  <si>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</si>
  <si>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</si>
  <si>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</si>
  <si>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</si>
  <si>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</si>
  <si>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</si>
  <si>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</si>
  <si>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</si>
  <si>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</si>
  <si>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</si>
  <si>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</si>
  <si>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</si>
  <si>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</si>
  <si>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</si>
  <si>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</si>
  <si>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</si>
  <si>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</si>
  <si>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</si>
  <si>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</si>
  <si>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</si>
  <si>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</si>
  <si>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</si>
  <si>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</si>
  <si>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</si>
  <si>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</si>
  <si>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</si>
  <si>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</si>
  <si>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</si>
  <si>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</si>
  <si>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</si>
  <si>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</si>
  <si>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</si>
  <si>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</si>
  <si>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</si>
  <si>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</si>
  <si>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</si>
  <si>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</si>
  <si>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</si>
  <si>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</si>
  <si>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</si>
  <si>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</si>
  <si>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</si>
  <si>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</si>
  <si>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</si>
  <si>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</si>
  <si>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</si>
  <si>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</si>
  <si>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</si>
  <si>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</si>
  <si>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</si>
  <si>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</si>
  <si>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</si>
  <si>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</si>
  <si>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</si>
  <si>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</si>
  <si>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</si>
  <si>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</si>
  <si>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</si>
  <si>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</si>
  <si>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</si>
  <si>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</si>
  <si>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</si>
  <si>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</si>
  <si>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</si>
  <si>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</si>
  <si>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</si>
  <si>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</si>
  <si>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</si>
  <si>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</si>
  <si>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</si>
  <si>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</si>
  <si>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</si>
  <si>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</si>
  <si>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</si>
  <si>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</si>
  <si>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</si>
  <si>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</si>
  <si>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</si>
  <si>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</si>
  <si>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</si>
  <si>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</si>
  <si>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</si>
  <si>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</si>
  <si>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</si>
  <si>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</si>
  <si>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</si>
  <si>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</si>
  <si>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</si>
  <si>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</si>
  <si>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</si>
  <si>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</si>
  <si>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</si>
  <si>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</si>
  <si>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</si>
  <si>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</si>
  <si>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</si>
  <si>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</si>
  <si>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</si>
  <si>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</si>
  <si>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</si>
  <si>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</si>
  <si>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</si>
  <si>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</si>
  <si>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</si>
  <si>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</si>
  <si>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</si>
  <si>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</si>
  <si>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</si>
  <si>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</si>
  <si>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</si>
  <si>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</si>
  <si>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</si>
  <si>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</si>
  <si>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</si>
  <si>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</si>
  <si>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</si>
  <si>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</si>
  <si>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</si>
  <si>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</si>
  <si>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</si>
  <si>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</si>
  <si>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</si>
  <si>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</si>
  <si>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</si>
  <si>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</si>
  <si>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</si>
  <si>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</si>
  <si>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</si>
  <si>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</si>
  <si>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</si>
  <si>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</si>
  <si>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</si>
  <si>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</si>
  <si>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</si>
  <si>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</si>
  <si>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</si>
  <si>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</si>
  <si>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</si>
  <si>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</si>
  <si>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</si>
  <si>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</si>
  <si>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</si>
  <si>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</si>
  <si>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</si>
  <si>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</si>
  <si>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</si>
  <si>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</si>
  <si>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</si>
  <si>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</si>
  <si>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</si>
  <si>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</si>
  <si>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</si>
  <si>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</si>
  <si>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</si>
  <si>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</si>
  <si>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</si>
  <si>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</si>
  <si>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</si>
  <si>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</si>
  <si>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</si>
  <si>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</si>
  <si>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</si>
  <si>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</si>
  <si>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</si>
  <si>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</si>
  <si>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</si>
  <si>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</si>
  <si>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</si>
  <si>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</si>
  <si>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</si>
  <si>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</si>
  <si>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</si>
  <si>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</si>
  <si>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</si>
  <si>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</si>
  <si>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</si>
  <si>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</si>
  <si>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</si>
  <si>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</si>
  <si>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</si>
  <si>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</si>
  <si>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</si>
  <si>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</si>
  <si>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</si>
  <si>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</si>
  <si>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</si>
  <si>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</si>
  <si>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</si>
  <si>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</si>
  <si>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</si>
  <si>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</si>
  <si>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</si>
  <si>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</si>
  <si>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</si>
  <si>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</si>
  <si>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</si>
  <si>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</si>
  <si>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</si>
  <si>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</si>
  <si>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</si>
  <si>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</si>
  <si>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</si>
  <si>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</si>
  <si>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</si>
  <si>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</si>
  <si>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</si>
  <si>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</si>
  <si>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</si>
  <si>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</si>
  <si>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</si>
  <si>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</si>
  <si>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</si>
  <si>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</si>
  <si>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</si>
  <si>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</si>
  <si>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</si>
  <si>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</si>
  <si>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</si>
  <si>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</si>
  <si>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</si>
  <si>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</si>
  <si>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</si>
  <si>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</si>
  <si>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</si>
  <si>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</si>
  <si>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</si>
  <si>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</si>
  <si>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</si>
  <si>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</si>
  <si>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</si>
  <si>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</si>
  <si>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</si>
  <si>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</si>
  <si>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</si>
  <si>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</si>
  <si>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</si>
  <si>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</si>
  <si>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</si>
  <si>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</si>
  <si>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</si>
  <si>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</si>
  <si>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</si>
  <si>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</si>
  <si>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</si>
  <si>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</si>
  <si>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</si>
  <si>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</si>
  <si>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</si>
  <si>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</si>
  <si>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</si>
  <si>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</si>
  <si>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</si>
  <si>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</si>
  <si>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</si>
  <si>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</si>
  <si>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</si>
  <si>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</si>
  <si>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</si>
  <si>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</si>
  <si>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</si>
  <si>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</si>
  <si>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</si>
  <si>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</si>
  <si>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</si>
  <si>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</si>
  <si>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</si>
  <si>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</si>
  <si>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</si>
  <si>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</si>
  <si>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</si>
  <si>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</si>
  <si>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</si>
  <si>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</si>
  <si>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</si>
  <si>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</si>
  <si>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</si>
  <si>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</si>
  <si>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</si>
  <si>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</si>
  <si>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</si>
  <si>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</si>
  <si>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</si>
  <si>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</si>
  <si>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</si>
  <si>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</si>
  <si>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</si>
  <si>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</si>
  <si>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</si>
  <si>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</si>
  <si>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</si>
  <si>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</si>
  <si>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</si>
  <si>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</si>
  <si>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</si>
  <si>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</si>
  <si>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</si>
  <si>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</si>
  <si>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</si>
  <si>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</si>
  <si>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</si>
  <si>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</si>
  <si>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</si>
  <si>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</si>
  <si>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</si>
  <si>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</si>
  <si>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</si>
  <si>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</si>
  <si>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</si>
  <si>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</si>
  <si>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</si>
  <si>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</si>
  <si>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</si>
  <si>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</si>
  <si>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</si>
  <si>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</si>
  <si>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</si>
  <si>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</si>
  <si>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</si>
  <si>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</si>
  <si>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</si>
  <si>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</si>
  <si>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</si>
  <si>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</si>
  <si>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</si>
  <si>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</si>
  <si>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</si>
  <si>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</si>
  <si>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</si>
  <si>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</si>
  <si>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</si>
  <si>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</si>
  <si>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</si>
  <si>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</si>
  <si>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</si>
  <si>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</si>
  <si>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</si>
  <si>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</si>
  <si>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</si>
  <si>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</si>
  <si>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</si>
  <si>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</si>
  <si>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</si>
  <si>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</si>
  <si>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</si>
  <si>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</si>
  <si>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</si>
  <si>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</si>
  <si>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</si>
  <si>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</si>
  <si>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</si>
  <si>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</si>
  <si>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</si>
  <si>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</si>
  <si>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</si>
  <si>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</si>
  <si>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</si>
  <si>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</si>
  <si>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</si>
  <si>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</si>
  <si>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</si>
  <si>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</si>
  <si>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</si>
  <si>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</si>
  <si>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</si>
  <si>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</si>
  <si>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</si>
  <si>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</si>
  <si>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</si>
  <si>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</si>
  <si>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</si>
  <si>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</si>
  <si>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</si>
  <si>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</si>
  <si>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</si>
  <si>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</si>
  <si>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</si>
  <si>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</si>
  <si>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</si>
  <si>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</si>
  <si>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</si>
  <si>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</si>
  <si>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</si>
  <si>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</si>
  <si>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</si>
  <si>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</si>
  <si>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</si>
  <si>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</si>
  <si>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</si>
  <si>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</si>
  <si>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</si>
  <si>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</si>
  <si>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</si>
  <si>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</si>
  <si>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</si>
  <si>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</si>
  <si>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</si>
  <si>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</si>
  <si>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</si>
  <si>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</si>
  <si>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</si>
  <si>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</si>
  <si>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</si>
  <si>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</si>
  <si>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</si>
  <si>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</si>
  <si>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</si>
  <si>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</si>
  <si>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</si>
  <si>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</si>
  <si>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</si>
  <si>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</si>
  <si>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</si>
  <si>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</si>
  <si>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</si>
  <si>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</si>
  <si>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</si>
  <si>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</si>
  <si>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</si>
  <si>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</si>
  <si>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</si>
  <si>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</si>
  <si>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</si>
  <si>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</si>
  <si>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</si>
  <si>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</si>
  <si>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</si>
  <si>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</si>
  <si>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</si>
  <si>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</si>
  <si>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</si>
  <si>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</si>
  <si>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</si>
  <si>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</si>
  <si>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</si>
  <si>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</si>
  <si>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</si>
  <si>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</si>
  <si>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</si>
  <si>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</si>
  <si>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</si>
  <si>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</si>
  <si>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</si>
  <si>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</si>
  <si>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</si>
  <si>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</si>
  <si>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</si>
  <si>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</si>
  <si>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</si>
  <si>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</si>
  <si>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</si>
  <si>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</si>
  <si>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</si>
  <si>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</si>
  <si>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</si>
  <si>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</si>
  <si>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</si>
  <si>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</si>
  <si>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</si>
  <si>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</si>
  <si>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</si>
  <si>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</si>
  <si>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</si>
  <si>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</si>
  <si>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</si>
  <si>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</si>
  <si>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</si>
  <si>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</si>
  <si>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</si>
  <si>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</si>
  <si>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</si>
  <si>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</si>
  <si>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</si>
  <si>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</si>
  <si>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</si>
  <si>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</si>
  <si>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</si>
  <si>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</si>
  <si>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</si>
  <si>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</si>
  <si>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</si>
  <si>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</si>
  <si>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</si>
  <si>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</si>
  <si>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</si>
  <si>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</si>
  <si>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</si>
  <si>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</si>
  <si>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</si>
  <si>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</si>
  <si>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</si>
  <si>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</si>
  <si>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</si>
  <si>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</si>
  <si>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</si>
  <si>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</si>
  <si>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</si>
  <si>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</si>
  <si>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</si>
  <si>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</si>
  <si>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</si>
  <si>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</si>
  <si>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</si>
  <si>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</si>
  <si>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</si>
  <si>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</si>
  <si>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</si>
  <si>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</si>
  <si>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</si>
  <si>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</si>
  <si>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</si>
  <si>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</si>
  <si>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</si>
  <si>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</si>
  <si>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</si>
  <si>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</si>
  <si>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</si>
  <si>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</si>
  <si>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</si>
  <si>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</si>
  <si>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</si>
  <si>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</si>
  <si>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</si>
  <si>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</si>
  <si>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</si>
  <si>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</si>
  <si>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</si>
  <si>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</si>
  <si>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</si>
  <si>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</si>
  <si>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</si>
  <si>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</si>
  <si>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</si>
  <si>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</si>
  <si>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</si>
  <si>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</si>
  <si>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</si>
  <si>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</si>
  <si>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</si>
  <si>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</si>
  <si>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</si>
  <si>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</si>
  <si>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</si>
  <si>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</si>
  <si>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</si>
  <si>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</si>
  <si>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</si>
  <si>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</si>
  <si>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</si>
  <si>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</si>
  <si>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</si>
  <si>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</si>
  <si>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</si>
  <si>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</si>
  <si>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</si>
  <si>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</si>
  <si>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</si>
  <si>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</si>
  <si>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</si>
  <si>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</si>
  <si>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</si>
  <si>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</si>
  <si>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</si>
  <si>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</si>
  <si>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</si>
  <si>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</si>
  <si>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</si>
  <si>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</si>
  <si>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</si>
  <si>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</si>
  <si>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</si>
  <si>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</si>
  <si>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</si>
  <si>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</si>
  <si>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</si>
  <si>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</si>
  <si>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</si>
  <si>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</si>
  <si>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</si>
  <si>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</si>
  <si>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</si>
  <si>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</si>
  <si>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</si>
  <si>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</si>
  <si>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</si>
  <si>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</si>
  <si>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</si>
  <si>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</si>
  <si>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</si>
  <si>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</si>
  <si>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</si>
  <si>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</si>
  <si>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</si>
  <si>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</si>
  <si>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</si>
  <si>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</si>
  <si>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</si>
  <si>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</si>
  <si>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</si>
  <si>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</si>
  <si>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</si>
  <si>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</si>
  <si>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</si>
  <si>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</si>
  <si>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</si>
  <si>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</si>
  <si>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</si>
  <si>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</si>
  <si>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</si>
  <si>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</si>
  <si>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</si>
  <si>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</si>
  <si>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</si>
  <si>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</si>
  <si>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</si>
  <si>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</si>
  <si>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</si>
  <si>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</si>
  <si>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</si>
  <si>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</si>
  <si>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</si>
  <si>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</si>
  <si>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</si>
  <si>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</si>
  <si>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</si>
  <si>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</si>
  <si>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</si>
  <si>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</si>
  <si>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</si>
  <si>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</si>
  <si>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</si>
  <si>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</si>
  <si>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</si>
  <si>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</si>
  <si>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</si>
  <si>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</si>
  <si>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</si>
  <si>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</si>
  <si>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</si>
  <si>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</si>
  <si>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</si>
  <si>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</si>
  <si>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</si>
  <si>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</si>
  <si>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</si>
  <si>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</si>
  <si>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</si>
  <si>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</si>
  <si>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</si>
  <si>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</si>
  <si>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</si>
  <si>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</si>
  <si>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</si>
  <si>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</si>
  <si>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</si>
  <si>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</si>
  <si>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</si>
  <si>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</si>
  <si>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</si>
  <si>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</si>
  <si>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</si>
  <si>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</si>
  <si>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</si>
  <si>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</si>
  <si>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</si>
  <si>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</si>
  <si>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</si>
  <si>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</si>
  <si>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</si>
  <si>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</si>
  <si>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</si>
  <si>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</si>
  <si>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</si>
  <si>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</si>
  <si>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</si>
  <si>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</si>
  <si>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</si>
  <si>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</si>
  <si>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</si>
  <si>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</si>
  <si>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</si>
  <si>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</si>
  <si>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</si>
  <si>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</si>
  <si>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</si>
  <si>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</si>
  <si>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</si>
  <si>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</si>
  <si>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</si>
  <si>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</si>
  <si>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</si>
  <si>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</si>
  <si>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</si>
  <si>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</si>
  <si>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</si>
  <si>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</si>
  <si>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</si>
  <si>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</si>
  <si>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</si>
  <si>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</si>
  <si>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</si>
  <si>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</si>
  <si>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</si>
  <si>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</si>
  <si>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</si>
  <si>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</si>
  <si>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</si>
  <si>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</si>
  <si>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</si>
  <si>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</si>
  <si>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</si>
  <si>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</si>
  <si>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</si>
  <si>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</si>
  <si>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</si>
  <si>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</si>
  <si>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</si>
  <si>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</si>
  <si>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</si>
  <si>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</si>
  <si>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</si>
  <si>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</si>
  <si>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</si>
  <si>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</si>
  <si>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</si>
  <si>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</si>
  <si>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</si>
  <si>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</si>
  <si>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</si>
  <si>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</si>
  <si>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</si>
  <si>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</si>
  <si>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</si>
  <si>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</si>
  <si>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</si>
  <si>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</si>
  <si>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</si>
  <si>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</si>
  <si>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</si>
  <si>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</si>
  <si>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</si>
  <si>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</si>
  <si>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</si>
  <si>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</si>
  <si>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</si>
  <si>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</si>
  <si>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</si>
  <si>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</si>
  <si>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</si>
  <si>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</si>
  <si>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</si>
  <si>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</si>
  <si>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</si>
  <si>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</si>
  <si>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</si>
  <si>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</si>
  <si>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</si>
  <si>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</si>
  <si>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</si>
  <si>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</si>
  <si>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</si>
  <si>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</si>
  <si>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</si>
  <si>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</si>
  <si>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</si>
  <si>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</si>
  <si>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</si>
  <si>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</si>
  <si>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</si>
  <si>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</si>
  <si>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</si>
  <si>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</si>
  <si>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</si>
  <si>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</si>
  <si>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</si>
  <si>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</si>
  <si>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</si>
  <si>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</si>
  <si>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</si>
  <si>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</si>
  <si>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</si>
  <si>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</si>
  <si>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</si>
  <si>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</si>
  <si>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</si>
  <si>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</si>
  <si>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</si>
  <si>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</si>
  <si>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</si>
  <si>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</si>
  <si>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</si>
  <si>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</si>
  <si>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</si>
  <si>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</si>
  <si>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</si>
  <si>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</si>
  <si>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</si>
  <si>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</si>
  <si>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</si>
  <si>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</si>
  <si>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</si>
  <si>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</si>
  <si>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</si>
  <si>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</si>
  <si>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</si>
  <si>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</si>
  <si>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</si>
  <si>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</si>
  <si>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</si>
  <si>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</si>
  <si>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</si>
  <si>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</si>
  <si>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</si>
  <si>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</si>
  <si>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</si>
  <si>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</si>
  <si>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</si>
  <si>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</si>
  <si>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</si>
  <si>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</si>
  <si>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</si>
  <si>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</si>
  <si>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</si>
  <si>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</si>
  <si>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</si>
  <si>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</si>
  <si>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</si>
  <si>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</si>
  <si>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</si>
  <si>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</si>
  <si>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</si>
  <si>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</si>
  <si>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</si>
  <si>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</si>
  <si>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</si>
  <si>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</si>
  <si>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</si>
  <si>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</si>
  <si>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</si>
  <si>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</si>
  <si>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</si>
  <si>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</si>
  <si>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</si>
  <si>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</si>
  <si>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</si>
  <si>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</si>
  <si>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</si>
  <si>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</si>
  <si>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</si>
  <si>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</si>
  <si>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</si>
  <si>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</si>
  <si>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</si>
  <si>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</si>
  <si>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</si>
  <si>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</si>
  <si>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</si>
  <si>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</si>
  <si>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</si>
  <si>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</si>
  <si>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</si>
  <si>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</si>
  <si>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</si>
  <si>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</si>
  <si>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</si>
  <si>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</si>
  <si>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</si>
  <si>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</si>
  <si>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</si>
  <si>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</si>
  <si>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</si>
  <si>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</si>
  <si>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</si>
  <si>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</si>
  <si>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</si>
  <si>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</si>
  <si>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</si>
  <si>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</si>
  <si>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</si>
  <si>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</si>
  <si>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</si>
  <si>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</si>
  <si>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</si>
  <si>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</si>
  <si>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</si>
  <si>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</si>
  <si>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</si>
  <si>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</si>
  <si>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</si>
  <si>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</si>
  <si>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</si>
  <si>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</si>
  <si>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</si>
  <si>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</si>
  <si>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</si>
  <si>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</si>
  <si>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</si>
  <si>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</si>
  <si>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</si>
  <si>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</si>
  <si>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</si>
  <si>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</si>
  <si>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</si>
  <si>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</si>
  <si>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</si>
  <si>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</si>
  <si>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</si>
  <si>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</si>
  <si>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</si>
  <si>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</si>
  <si>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</si>
  <si>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</si>
  <si>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</si>
  <si>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</si>
  <si>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</si>
  <si>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</si>
  <si>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</si>
  <si>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</si>
  <si>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</si>
  <si>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</si>
  <si>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</si>
  <si>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</si>
  <si>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</si>
  <si>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</si>
  <si>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</si>
  <si>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</si>
  <si>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</si>
  <si>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</si>
  <si>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</si>
  <si>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</si>
  <si>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</si>
  <si>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</si>
  <si>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</si>
  <si>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</si>
  <si>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</si>
  <si>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</si>
  <si>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</si>
  <si>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</si>
  <si>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</si>
  <si>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</si>
  <si>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</si>
  <si>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</si>
  <si>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</si>
  <si>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</si>
  <si>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</si>
  <si>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</si>
  <si>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</si>
  <si>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</si>
  <si>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</si>
  <si>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</si>
  <si>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</si>
  <si>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</si>
  <si>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</si>
  <si>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</si>
  <si>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</si>
  <si>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</si>
  <si>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</si>
  <si>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</si>
  <si>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</si>
  <si>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</si>
  <si>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</si>
  <si>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</si>
  <si>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</si>
  <si>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</si>
  <si>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</si>
  <si>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</si>
  <si>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</si>
  <si>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</si>
  <si>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</si>
  <si>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</si>
  <si>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</si>
  <si>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</si>
  <si>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</si>
  <si>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</si>
  <si>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</si>
  <si>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</si>
  <si>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</si>
  <si>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</si>
  <si>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</si>
  <si>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</si>
  <si>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</si>
  <si>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</si>
  <si>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</si>
  <si>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</si>
  <si>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</si>
  <si>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</si>
  <si>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</si>
  <si>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</si>
  <si>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</si>
  <si>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</si>
  <si>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</si>
  <si>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</si>
  <si>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</si>
  <si>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</si>
  <si>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</si>
  <si>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</si>
  <si>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</si>
  <si>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</si>
  <si>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</si>
  <si>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</si>
  <si>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</si>
  <si>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</si>
  <si>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</si>
  <si>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</si>
  <si>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</si>
  <si>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</si>
  <si>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</si>
  <si>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</si>
  <si>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</si>
  <si>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</si>
  <si>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</si>
  <si>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</si>
  <si>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</si>
  <si>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</si>
  <si>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</si>
  <si>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</si>
  <si>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</si>
  <si>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</si>
  <si>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</si>
  <si>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</si>
  <si>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</si>
  <si>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</si>
  <si>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</si>
  <si>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</si>
  <si>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</si>
  <si>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</si>
  <si>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</si>
  <si>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</si>
  <si>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</si>
  <si>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</si>
  <si>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</si>
  <si>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</si>
  <si>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</si>
  <si>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</si>
  <si>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</si>
  <si>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</si>
  <si>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</si>
  <si>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</si>
  <si>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</si>
  <si>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</si>
  <si>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</si>
  <si>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</si>
  <si>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</si>
  <si>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</si>
  <si>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</si>
  <si>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</si>
  <si>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</si>
  <si>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</si>
  <si>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</si>
  <si>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</si>
  <si>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</si>
  <si>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</si>
  <si>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</si>
  <si>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</si>
  <si>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</si>
  <si>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</si>
  <si>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</si>
  <si>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</si>
  <si>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</si>
  <si>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</si>
  <si>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</si>
  <si>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</si>
  <si>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</si>
  <si>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</si>
  <si>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</si>
  <si>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</si>
  <si>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</si>
  <si>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</si>
  <si>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</si>
  <si>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</si>
  <si>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</si>
  <si>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</si>
  <si>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</si>
  <si>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</si>
  <si>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</si>
  <si>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</si>
  <si>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</si>
  <si>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</si>
  <si>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</si>
  <si>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</si>
  <si>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</si>
  <si>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</si>
  <si>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</si>
  <si>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</si>
  <si>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</si>
  <si>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</si>
  <si>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</si>
  <si>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</si>
  <si>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</si>
  <si>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</si>
  <si>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</si>
  <si>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</si>
  <si>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</si>
  <si>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</si>
  <si>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</si>
  <si>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</si>
  <si>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</si>
  <si>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</si>
  <si>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</si>
  <si>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</si>
  <si>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</si>
  <si>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</si>
  <si>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</si>
  <si>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</si>
  <si>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</si>
  <si>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</si>
  <si>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</si>
  <si>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</si>
  <si>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</si>
  <si>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</si>
  <si>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</si>
  <si>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</si>
  <si>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</si>
  <si>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</si>
  <si>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</si>
  <si>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</si>
  <si>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</si>
  <si>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</si>
  <si>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</si>
  <si>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</si>
  <si>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</si>
  <si>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</si>
  <si>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</si>
  <si>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</si>
  <si>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</si>
  <si>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</si>
  <si>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</si>
  <si>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</si>
  <si>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</si>
  <si>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</si>
  <si>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</si>
  <si>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</si>
  <si>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</si>
  <si>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</si>
  <si>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</si>
  <si>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</si>
  <si>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</si>
  <si>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</si>
  <si>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</si>
  <si>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</si>
  <si>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</si>
  <si>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</si>
  <si>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</si>
  <si>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</si>
  <si>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</si>
  <si>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</si>
  <si>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</si>
  <si>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</si>
  <si>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</si>
  <si>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</si>
  <si>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</si>
  <si>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</si>
  <si>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</si>
  <si>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</si>
  <si>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</si>
  <si>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</si>
  <si>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</si>
  <si>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</si>
  <si>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</si>
  <si>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</si>
  <si>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</si>
  <si>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</si>
  <si>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</si>
  <si>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</si>
  <si>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</si>
  <si>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</si>
  <si>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</si>
  <si>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</si>
  <si>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</si>
  <si>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</si>
  <si>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</si>
  <si>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</si>
  <si>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</si>
  <si>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</si>
  <si>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</si>
  <si>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</si>
  <si>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</si>
  <si>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</si>
  <si>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</si>
  <si>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</si>
  <si>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</si>
  <si>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</si>
  <si>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</si>
  <si>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</si>
  <si>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</si>
  <si>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</si>
  <si>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</si>
  <si>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</si>
  <si>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</si>
  <si>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</si>
  <si>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</si>
  <si>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</si>
  <si>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</si>
  <si>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</si>
  <si>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</si>
  <si>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</si>
  <si>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</si>
  <si>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</si>
  <si>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</si>
  <si>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</si>
  <si>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</si>
  <si>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</si>
  <si>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</si>
  <si>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</si>
  <si>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</si>
  <si>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</si>
  <si>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</si>
  <si>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</si>
  <si>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</si>
  <si>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</si>
  <si>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</si>
  <si>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</si>
  <si>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</si>
  <si>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</si>
  <si>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</si>
  <si>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</si>
  <si>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</si>
  <si>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</si>
  <si>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</si>
  <si>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</si>
  <si>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</si>
  <si>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</si>
  <si>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</si>
  <si>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</si>
  <si>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</si>
  <si>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</si>
  <si>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</si>
  <si>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</si>
  <si>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</si>
  <si>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</si>
  <si>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</si>
  <si>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</si>
  <si>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</si>
  <si>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</si>
  <si>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</si>
  <si>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</si>
  <si>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</si>
  <si>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</si>
  <si>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</si>
  <si>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</si>
  <si>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</si>
  <si>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</si>
  <si>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</si>
  <si>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</si>
  <si>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</si>
  <si>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</si>
  <si>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</si>
  <si>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</si>
  <si>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</si>
  <si>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</si>
  <si>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</si>
  <si>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</si>
  <si>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</si>
  <si>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</si>
  <si>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</si>
  <si>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</si>
  <si>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</si>
  <si>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</si>
  <si>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</si>
  <si>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</si>
  <si>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</si>
  <si>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</si>
  <si>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</si>
  <si>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</si>
  <si>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</si>
  <si>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</si>
  <si>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</si>
  <si>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</si>
  <si>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</si>
  <si>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</si>
  <si>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</si>
  <si>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</si>
  <si>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</si>
  <si>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</si>
  <si>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</si>
  <si>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</si>
  <si>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</si>
  <si>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</si>
  <si>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</si>
  <si>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</si>
  <si>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</si>
  <si>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</si>
  <si>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</si>
  <si>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</si>
  <si>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</si>
  <si>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</si>
  <si>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</si>
  <si>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</si>
  <si>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</si>
  <si>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</si>
  <si>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</si>
  <si>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</si>
  <si>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</si>
  <si>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</si>
  <si>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</si>
  <si>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</si>
  <si>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</si>
  <si>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</si>
  <si>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</si>
  <si>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</si>
  <si>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</si>
  <si>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</si>
  <si>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</si>
  <si>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</si>
  <si>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</si>
  <si>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</si>
  <si>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</si>
  <si>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</si>
  <si>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</si>
  <si>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</si>
  <si>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</si>
  <si>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</si>
  <si>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</si>
  <si>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</si>
  <si>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</si>
  <si>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</si>
  <si>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</si>
  <si>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</si>
  <si>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</si>
  <si>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</si>
  <si>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</si>
  <si>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</si>
  <si>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</si>
  <si>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</si>
  <si>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</si>
  <si>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</si>
  <si>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</si>
  <si>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</si>
  <si>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</si>
  <si>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</si>
  <si>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</si>
  <si>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</si>
  <si>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</si>
  <si>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</si>
  <si>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</si>
  <si>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</si>
  <si>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</si>
  <si>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</si>
  <si>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</si>
  <si>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</si>
  <si>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</si>
  <si>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</si>
  <si>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</si>
  <si>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</si>
  <si>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</si>
  <si>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</si>
  <si>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</si>
  <si>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</si>
  <si>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</si>
  <si>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</si>
  <si>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</si>
  <si>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</si>
  <si>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</si>
  <si>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</si>
  <si>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</si>
  <si>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</si>
  <si>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</si>
  <si>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</si>
  <si>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</si>
  <si>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</si>
  <si>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</si>
  <si>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</si>
  <si>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</si>
  <si>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</si>
  <si>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</si>
  <si>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</si>
  <si>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</si>
  <si>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</si>
  <si>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</si>
  <si>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</si>
  <si>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</si>
  <si>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</si>
  <si>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</si>
  <si>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</si>
  <si>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</si>
  <si>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</si>
  <si>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</si>
  <si>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</si>
  <si>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</si>
  <si>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</si>
  <si>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</si>
  <si>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</si>
  <si>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</si>
  <si>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</si>
  <si>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</si>
  <si>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</si>
  <si>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</si>
  <si>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</si>
  <si>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</si>
  <si>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</si>
  <si>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</si>
  <si>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</si>
  <si>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</si>
  <si>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</si>
  <si>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</si>
  <si>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</si>
  <si>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</si>
  <si>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</si>
  <si>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</si>
  <si>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</si>
  <si>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</si>
  <si>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</si>
  <si>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</si>
  <si>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</si>
  <si>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</si>
  <si>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</si>
  <si>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</si>
  <si>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</si>
  <si>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</si>
  <si>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</si>
  <si>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</si>
  <si>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</si>
  <si>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</si>
  <si>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</si>
  <si>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</si>
  <si>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</si>
  <si>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</si>
  <si>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</si>
  <si>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</si>
  <si>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</si>
  <si>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</si>
  <si>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</si>
  <si>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</si>
  <si>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</si>
  <si>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</si>
  <si>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</si>
  <si>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</si>
  <si>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</si>
  <si>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</si>
  <si>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</si>
  <si>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</si>
  <si>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</si>
  <si>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</si>
  <si>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</si>
  <si>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</si>
  <si>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</si>
  <si>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</si>
  <si>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</si>
  <si>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</si>
  <si>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</si>
  <si>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</si>
  <si>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</si>
  <si>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</si>
  <si>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</si>
  <si>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</si>
  <si>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</si>
  <si>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</si>
  <si>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</si>
  <si>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</si>
  <si>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</si>
  <si>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</si>
  <si>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</si>
  <si>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</si>
  <si>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</si>
  <si>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</si>
  <si>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</si>
  <si>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</si>
  <si>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</si>
  <si>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</si>
  <si>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</si>
  <si>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</si>
  <si>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</si>
  <si>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</si>
  <si>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</si>
  <si>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</si>
  <si>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</si>
  <si>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</si>
  <si>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</si>
  <si>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</si>
  <si>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</si>
  <si>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</si>
  <si>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</si>
  <si>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</si>
  <si>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</si>
  <si>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</si>
  <si>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</si>
  <si>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</si>
  <si>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</si>
  <si>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</si>
  <si>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</si>
  <si>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</si>
  <si>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</si>
  <si>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</si>
  <si>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</si>
  <si>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</si>
  <si>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</si>
  <si>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</si>
  <si>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</si>
  <si>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</si>
  <si>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</si>
  <si>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</si>
  <si>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</si>
  <si>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</si>
  <si>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</si>
  <si>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</si>
  <si>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</si>
  <si>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</si>
  <si>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</si>
  <si>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</si>
  <si>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</si>
  <si>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</si>
  <si>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</si>
  <si>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</si>
  <si>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</si>
  <si>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</si>
  <si>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</si>
  <si>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</si>
  <si>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</si>
  <si>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</si>
  <si>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</si>
  <si>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</si>
  <si>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</si>
  <si>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</si>
  <si>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</si>
  <si>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</si>
  <si>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</si>
  <si>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</si>
  <si>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</si>
  <si>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</si>
  <si>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</si>
  <si>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</si>
  <si>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</si>
  <si>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</si>
  <si>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</si>
  <si>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</si>
  <si>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</si>
  <si>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</si>
  <si>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</si>
  <si>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</si>
  <si>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</si>
  <si>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</si>
  <si>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</si>
  <si>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</si>
  <si>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</si>
  <si>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</si>
  <si>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</si>
  <si>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</si>
  <si>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</si>
  <si>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</si>
  <si>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</si>
  <si>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</si>
  <si>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</si>
  <si>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</si>
  <si>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</si>
  <si>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</si>
  <si>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</si>
  <si>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</si>
  <si>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</si>
  <si>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</si>
  <si>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</si>
  <si>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</si>
  <si>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</si>
  <si>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</si>
  <si>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</si>
  <si>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</si>
  <si>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</si>
  <si>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</si>
  <si>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</si>
  <si>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</si>
  <si>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</si>
  <si>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</si>
  <si>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</si>
  <si>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</si>
  <si>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</si>
  <si>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</si>
  <si>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</si>
  <si>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</si>
  <si>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</si>
  <si>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</si>
  <si>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</si>
  <si>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</si>
  <si>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</si>
  <si>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</si>
  <si>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</si>
  <si>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</si>
  <si>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</si>
  <si>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</si>
  <si>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</si>
  <si>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</si>
  <si>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</si>
  <si>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</si>
  <si>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</si>
  <si>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</si>
  <si>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</si>
  <si>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</si>
  <si>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</si>
  <si>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</si>
  <si>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</si>
  <si>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</si>
  <si>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</si>
  <si>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</si>
  <si>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</si>
  <si>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</si>
  <si>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</si>
  <si>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</si>
  <si>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</si>
  <si>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</si>
  <si>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</si>
  <si>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</si>
  <si>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</si>
  <si>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</si>
  <si>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</si>
  <si>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</si>
  <si>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</si>
  <si>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</si>
  <si>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</si>
  <si>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</si>
  <si>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</si>
  <si>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</si>
  <si>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</si>
  <si>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</si>
  <si>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</si>
  <si>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</si>
  <si>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</si>
  <si>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</si>
  <si>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</si>
  <si>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</si>
  <si>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</si>
  <si>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</si>
  <si>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</si>
  <si>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</si>
  <si>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</si>
  <si>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</si>
  <si>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</si>
  <si>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</si>
  <si>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</si>
  <si>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</si>
  <si>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</si>
  <si>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</si>
  <si>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</si>
  <si>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</si>
  <si>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</si>
  <si>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</si>
  <si>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</si>
  <si>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</si>
  <si>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</si>
  <si>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</si>
  <si>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</si>
  <si>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</si>
  <si>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</si>
  <si>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</si>
  <si>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</si>
  <si>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</si>
  <si>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</si>
  <si>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</si>
  <si>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</si>
  <si>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</si>
  <si>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</si>
  <si>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</si>
  <si>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</si>
  <si>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</si>
  <si>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</si>
  <si>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</si>
  <si>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</si>
  <si>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</si>
  <si>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</si>
  <si>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</si>
  <si>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</si>
  <si>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</si>
  <si>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</si>
  <si>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</si>
  <si>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</si>
  <si>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</si>
  <si>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</si>
  <si>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</si>
  <si>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</si>
  <si>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</si>
  <si>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</si>
  <si>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</si>
  <si>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</si>
  <si>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</si>
  <si>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</si>
  <si>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</si>
  <si>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</si>
  <si>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</si>
  <si>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</si>
  <si>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</si>
  <si>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</si>
  <si>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</si>
  <si>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</si>
  <si>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</si>
  <si>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</si>
  <si>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</si>
  <si>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</si>
  <si>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</si>
  <si>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</si>
  <si>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</si>
  <si>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</si>
  <si>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</si>
  <si>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</si>
  <si>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</si>
  <si>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</si>
  <si>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</si>
  <si>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</si>
  <si>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</si>
  <si>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</si>
  <si>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</si>
  <si>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</si>
  <si>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</si>
  <si>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</si>
  <si>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</si>
  <si>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</si>
  <si>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</si>
  <si>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</si>
  <si>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</si>
  <si>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</si>
  <si>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</si>
  <si>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</si>
  <si>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</si>
  <si>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</si>
  <si>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</si>
  <si>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</si>
  <si>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</si>
  <si>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</si>
  <si>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</si>
  <si>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</si>
  <si>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</si>
  <si>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</si>
  <si>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</si>
  <si>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</si>
  <si>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</si>
  <si>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</si>
  <si>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</si>
  <si>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</si>
  <si>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</si>
  <si>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</si>
  <si>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</si>
  <si>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</si>
  <si>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</si>
  <si>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</si>
  <si>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</si>
  <si>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</si>
  <si>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</si>
  <si>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</si>
  <si>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</si>
  <si>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</si>
  <si>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</si>
  <si>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</si>
  <si>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</si>
  <si>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</si>
  <si>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</si>
  <si>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</si>
  <si>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</si>
  <si>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</si>
  <si>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</si>
  <si>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</si>
  <si>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</si>
  <si>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</si>
  <si>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</si>
  <si>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</si>
  <si>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</si>
  <si>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</si>
  <si>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</si>
  <si>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</si>
  <si>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</si>
  <si>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</si>
  <si>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</si>
  <si>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</si>
  <si>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</si>
  <si>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</si>
  <si>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</si>
  <si>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</si>
  <si>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</si>
  <si>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</si>
  <si>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</si>
  <si>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</si>
  <si>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</si>
  <si>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</si>
  <si>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</si>
  <si>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</si>
  <si>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</si>
  <si>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</si>
  <si>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</si>
  <si>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</si>
  <si>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</si>
  <si>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</si>
  <si>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</si>
  <si>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</si>
  <si>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</si>
  <si>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</si>
  <si>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</si>
  <si>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</si>
  <si>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</si>
  <si>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</si>
  <si>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</si>
  <si>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</si>
  <si>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</si>
  <si>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</si>
  <si>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</si>
  <si>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</si>
  <si>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</si>
  <si>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</si>
  <si>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</si>
  <si>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</si>
  <si>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</si>
  <si>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</si>
  <si>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</si>
  <si>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</si>
  <si>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</si>
  <si>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</si>
  <si>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</si>
  <si>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</si>
  <si>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</si>
  <si>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</si>
  <si>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</si>
  <si>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</si>
  <si>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</si>
  <si>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</si>
  <si>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</si>
  <si>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</si>
  <si>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</si>
  <si>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</si>
  <si>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</si>
  <si>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</si>
  <si>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</si>
  <si>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</si>
  <si>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</si>
  <si>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</si>
  <si>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</si>
  <si>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</si>
  <si>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</si>
  <si>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</si>
  <si>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</si>
  <si>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</si>
  <si>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</si>
  <si>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</si>
  <si>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</si>
  <si>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</si>
  <si>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</si>
  <si>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</si>
  <si>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</si>
  <si>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</si>
  <si>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</si>
  <si>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</si>
  <si>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</si>
  <si>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</si>
  <si>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</si>
  <si>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</si>
  <si>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</si>
  <si>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</si>
  <si>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</si>
  <si>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</si>
  <si>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</si>
  <si>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</si>
  <si>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</si>
  <si>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</si>
  <si>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</si>
  <si>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</si>
  <si>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</si>
  <si>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</si>
  <si>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</si>
  <si>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</si>
  <si>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</si>
  <si>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</si>
  <si>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</si>
  <si>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</si>
  <si>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</si>
  <si>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</si>
  <si>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</si>
  <si>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</si>
  <si>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</si>
  <si>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</si>
  <si>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</si>
  <si>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</si>
  <si>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</si>
  <si>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</si>
  <si>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</si>
  <si>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</si>
  <si>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</si>
  <si>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</si>
  <si>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</si>
  <si>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</si>
  <si>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</si>
  <si>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</si>
  <si>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</si>
  <si>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</si>
  <si>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</si>
  <si>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</si>
  <si>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</si>
  <si>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</si>
  <si>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</si>
  <si>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</si>
  <si>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</si>
  <si>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</si>
  <si>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</si>
  <si>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</si>
  <si>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</si>
  <si>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</si>
  <si>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</si>
  <si>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</si>
  <si>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</si>
  <si>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</si>
  <si>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</si>
  <si>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</si>
  <si>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</si>
  <si>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</si>
  <si>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</si>
  <si>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</si>
  <si>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</si>
  <si>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</si>
  <si>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</si>
  <si>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</si>
  <si>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</si>
  <si>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</si>
  <si>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</si>
  <si>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</si>
  <si>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</si>
  <si>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</si>
  <si>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</si>
  <si>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</si>
  <si>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</si>
  <si>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</si>
  <si>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</si>
  <si>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</si>
  <si>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</si>
  <si>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</si>
  <si>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</si>
  <si>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</si>
  <si>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</si>
  <si>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</si>
  <si>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</si>
  <si>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</si>
  <si>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</si>
  <si>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</si>
  <si>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</si>
  <si>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</si>
  <si>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</si>
  <si>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</si>
  <si>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</si>
  <si>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</si>
  <si>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</si>
  <si>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</si>
  <si>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</si>
  <si>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</si>
  <si>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</si>
  <si>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</si>
  <si>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</si>
  <si>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</si>
  <si>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</si>
  <si>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</si>
  <si>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</si>
  <si>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</si>
  <si>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</si>
  <si>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</si>
  <si>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</si>
  <si>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</si>
  <si>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</si>
  <si>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</si>
  <si>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</si>
  <si>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</si>
  <si>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</si>
  <si>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</si>
  <si>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</si>
  <si>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</si>
  <si>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</si>
  <si>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</si>
  <si>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</si>
  <si>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</si>
  <si>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</si>
  <si>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</si>
  <si>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</si>
  <si>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</si>
  <si>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</si>
  <si>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</si>
  <si>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</si>
  <si>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</si>
  <si>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</si>
  <si>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</si>
  <si>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</si>
  <si>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</si>
  <si>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</si>
  <si>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</si>
  <si>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</si>
  <si>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</si>
  <si>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</si>
  <si>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</si>
  <si>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</si>
  <si>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</si>
  <si>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</si>
  <si>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</si>
  <si>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</si>
  <si>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</si>
  <si>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</si>
  <si>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</si>
  <si>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</si>
  <si>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</si>
  <si>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</si>
  <si>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</si>
  <si>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</si>
  <si>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</si>
  <si>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</si>
  <si>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</si>
  <si>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</si>
  <si>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</si>
  <si>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</si>
  <si>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</si>
  <si>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</si>
  <si>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</si>
  <si>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</si>
  <si>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</si>
  <si>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</si>
  <si>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</si>
  <si>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</si>
  <si>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</si>
  <si>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</si>
  <si>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</si>
  <si>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</si>
  <si>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</si>
  <si>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</si>
  <si>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</si>
  <si>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</si>
  <si>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</si>
  <si>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</si>
  <si>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</si>
  <si>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</si>
  <si>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</si>
  <si>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</si>
  <si>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</si>
  <si>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</si>
  <si>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</si>
  <si>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</si>
  <si>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</si>
  <si>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</si>
  <si>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</si>
  <si>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</si>
  <si>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</si>
  <si>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</si>
  <si>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</si>
  <si>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</si>
  <si>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</si>
  <si>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</si>
  <si>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</si>
  <si>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</si>
  <si>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</si>
  <si>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</si>
  <si>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</si>
  <si>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</si>
  <si>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</si>
  <si>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</si>
  <si>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</si>
  <si>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</si>
  <si>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</si>
  <si>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</si>
  <si>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</si>
  <si>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</si>
  <si>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</si>
  <si>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</si>
  <si>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</si>
  <si>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</si>
  <si>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</si>
  <si>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</si>
  <si>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</si>
  <si>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</si>
  <si>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</si>
  <si>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</si>
  <si>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</si>
  <si>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</si>
  <si>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</si>
  <si>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</si>
  <si>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</si>
  <si>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</si>
  <si>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</si>
  <si>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</si>
  <si>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</si>
  <si>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</si>
  <si>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</si>
  <si>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</si>
  <si>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</si>
  <si>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</si>
  <si>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</si>
  <si>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</si>
  <si>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</si>
  <si>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</si>
  <si>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</si>
  <si>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</si>
  <si>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</si>
  <si>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</si>
  <si>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</si>
  <si>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</si>
  <si>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</si>
  <si>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</si>
  <si>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</si>
  <si>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</si>
  <si>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</si>
  <si>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</si>
  <si>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</si>
  <si>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</si>
  <si>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</si>
  <si>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</si>
  <si>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</si>
  <si>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</si>
  <si>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</si>
  <si>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</si>
  <si>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</si>
  <si>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</si>
  <si>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</si>
  <si>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</si>
  <si>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</si>
  <si>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</si>
  <si>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</si>
  <si>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</si>
  <si>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</si>
  <si>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</si>
  <si>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</si>
  <si>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</si>
  <si>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</si>
  <si>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</si>
  <si>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</si>
  <si>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</si>
  <si>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</si>
  <si>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</si>
  <si>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</si>
  <si>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</si>
  <si>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</si>
  <si>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</si>
  <si>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</si>
  <si>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</si>
  <si>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</si>
  <si>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</si>
  <si>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</si>
  <si>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</si>
  <si>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</si>
  <si>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</si>
  <si>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</si>
  <si>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</si>
  <si>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</si>
  <si>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</si>
  <si>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</si>
  <si>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</si>
  <si>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</si>
  <si>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</si>
  <si>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</si>
  <si>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</si>
  <si>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</si>
  <si>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</si>
  <si>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</si>
  <si>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</si>
  <si>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</si>
  <si>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</si>
  <si>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</si>
  <si>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</si>
  <si>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</si>
  <si>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</si>
  <si>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</si>
  <si>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</si>
  <si>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</si>
  <si>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</si>
  <si>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</si>
  <si>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</si>
  <si>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</si>
  <si>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</si>
  <si>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</si>
  <si>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</si>
  <si>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</si>
  <si>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</si>
  <si>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</si>
  <si>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</si>
  <si>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</si>
  <si>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</si>
  <si>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</si>
  <si>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</si>
  <si>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</si>
  <si>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</si>
  <si>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</si>
  <si>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</si>
  <si>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</si>
  <si>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</si>
  <si>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</si>
  <si>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</si>
  <si>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</si>
  <si>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</si>
  <si>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</si>
  <si>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</si>
  <si>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</si>
  <si>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</si>
  <si>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</si>
  <si>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</si>
  <si>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</si>
  <si>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</si>
  <si>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</si>
  <si>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</si>
  <si>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</si>
  <si>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</si>
  <si>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</si>
  <si>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</si>
  <si>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</si>
  <si>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</si>
  <si>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</si>
  <si>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</si>
  <si>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</si>
  <si>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</si>
  <si>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</si>
  <si>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</si>
  <si>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</si>
  <si>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</si>
  <si>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</si>
  <si>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</si>
  <si>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</si>
  <si>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</si>
  <si>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</si>
  <si>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</si>
  <si>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</si>
  <si>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</si>
  <si>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</si>
  <si>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</si>
  <si>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</si>
  <si>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</si>
  <si>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</si>
  <si>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</si>
  <si>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</si>
  <si>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</si>
  <si>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</si>
  <si>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</si>
  <si>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</si>
  <si>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</si>
  <si>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</si>
  <si>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</si>
  <si>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</si>
  <si>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</si>
  <si>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</si>
  <si>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</si>
  <si>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</si>
  <si>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</si>
  <si>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</si>
  <si>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</si>
  <si>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</si>
  <si>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</si>
  <si>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</si>
  <si>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</si>
  <si>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</si>
  <si>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</si>
  <si>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</si>
  <si>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</si>
  <si>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</si>
  <si>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</si>
  <si>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</si>
  <si>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</si>
  <si>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</si>
  <si>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</si>
  <si>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</si>
  <si>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</si>
  <si>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</si>
  <si>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</si>
  <si>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</si>
  <si>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</si>
  <si>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</si>
  <si>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</si>
  <si>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</si>
  <si>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</si>
  <si>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</si>
  <si>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</si>
  <si>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</si>
  <si>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</si>
  <si>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</si>
  <si>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</si>
  <si>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</si>
  <si>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</si>
  <si>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</si>
  <si>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</si>
  <si>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</si>
  <si>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</si>
  <si>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</si>
  <si>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</si>
  <si>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</si>
  <si>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</si>
  <si>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</si>
  <si>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</si>
  <si>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</si>
  <si>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</si>
  <si>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</si>
  <si>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</si>
  <si>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</si>
  <si>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</si>
  <si>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</si>
  <si>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</si>
  <si>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</si>
  <si>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</si>
  <si>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</si>
  <si>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</si>
  <si>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</si>
  <si>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</si>
  <si>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</si>
  <si>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</si>
  <si>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</si>
  <si>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</si>
  <si>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</si>
  <si>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</si>
  <si>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</si>
  <si>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</si>
  <si>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</si>
  <si>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</si>
  <si>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</si>
  <si>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</si>
  <si>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</si>
  <si>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</si>
  <si>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</si>
  <si>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</si>
  <si>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</si>
  <si>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</si>
  <si>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</si>
  <si>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</si>
  <si>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</si>
  <si>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</si>
  <si>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</si>
  <si>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</si>
  <si>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</si>
  <si>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</si>
  <si>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</si>
  <si>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</si>
  <si>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</si>
  <si>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</si>
  <si>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</si>
  <si>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</si>
  <si>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</si>
  <si>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</si>
  <si>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</si>
  <si>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</si>
  <si>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</si>
  <si>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</si>
  <si>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</si>
  <si>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</si>
  <si>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</si>
  <si>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</si>
  <si>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</si>
  <si>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</si>
  <si>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</si>
  <si>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</si>
  <si>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</si>
  <si>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</si>
  <si>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</si>
  <si>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</si>
  <si>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</si>
  <si>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</si>
  <si>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</si>
  <si>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</si>
  <si>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</si>
  <si>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</si>
  <si>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</si>
  <si>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</si>
  <si>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</si>
  <si>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</si>
  <si>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</si>
  <si>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</si>
  <si>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</si>
  <si>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</si>
  <si>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</si>
  <si>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</si>
  <si>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</si>
  <si>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</si>
  <si>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</si>
  <si>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</si>
  <si>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</si>
  <si>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</si>
  <si>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</si>
  <si>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</si>
  <si>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</si>
  <si>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</si>
  <si>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</si>
  <si>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</si>
  <si>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</si>
  <si>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</si>
  <si>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</si>
  <si>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</si>
  <si>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</si>
  <si>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</si>
  <si>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</si>
  <si>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</si>
  <si>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</si>
  <si>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</si>
  <si>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</si>
  <si>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</si>
  <si>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</si>
  <si>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</si>
  <si>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</si>
  <si>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</si>
  <si>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</si>
  <si>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</si>
  <si>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</si>
  <si>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</si>
  <si>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</si>
  <si>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</si>
  <si>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</si>
  <si>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</si>
  <si>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</si>
  <si>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</si>
  <si>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</si>
  <si>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</si>
  <si>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</si>
  <si>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</si>
  <si>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</si>
  <si>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</si>
  <si>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</si>
  <si>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</si>
  <si>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</si>
  <si>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</si>
  <si>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</si>
  <si>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</si>
  <si>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</si>
  <si>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</si>
  <si>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</si>
  <si>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</si>
  <si>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</si>
  <si>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</si>
  <si>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</si>
  <si>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</si>
  <si>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</si>
  <si>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</si>
  <si>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</si>
  <si>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</si>
  <si>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</si>
  <si>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</si>
  <si>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</si>
  <si>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</si>
  <si>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</si>
  <si>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</si>
  <si>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</si>
  <si>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</si>
  <si>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</si>
  <si>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</si>
  <si>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</si>
  <si>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</si>
  <si>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</si>
  <si>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</si>
  <si>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</si>
  <si>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</si>
  <si>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</si>
  <si>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</si>
  <si>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</si>
  <si>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</si>
  <si>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</si>
  <si>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</si>
  <si>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</si>
  <si>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</si>
  <si>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</si>
  <si>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</si>
  <si>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</si>
  <si>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</si>
  <si>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</si>
  <si>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</si>
  <si>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</si>
  <si>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</si>
  <si>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</si>
  <si>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</si>
  <si>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</si>
  <si>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</si>
  <si>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</si>
  <si>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</si>
  <si>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</si>
  <si>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</si>
  <si>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</si>
  <si>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</si>
  <si>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</si>
  <si>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</si>
  <si>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</si>
  <si>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</si>
  <si>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</si>
  <si>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</si>
  <si>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</si>
  <si>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</si>
  <si>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</si>
  <si>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</si>
  <si>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</si>
  <si>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</si>
  <si>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</si>
  <si>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</si>
  <si>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</si>
  <si>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</si>
  <si>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</si>
  <si>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</si>
  <si>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</si>
  <si>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</si>
  <si>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</si>
  <si>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</si>
  <si>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</si>
  <si>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</si>
  <si>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</si>
  <si>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</si>
  <si>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</si>
  <si>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</si>
  <si>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</si>
  <si>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</si>
  <si>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</si>
  <si>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</si>
  <si>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</si>
  <si>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</si>
  <si>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</si>
  <si>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</si>
  <si>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</si>
  <si>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</si>
  <si>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</si>
  <si>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</si>
  <si>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</si>
  <si>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</si>
  <si>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</si>
  <si>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</si>
  <si>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</si>
  <si>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</si>
  <si>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</si>
  <si>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</si>
  <si>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</si>
  <si>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</si>
  <si>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</si>
  <si>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</si>
  <si>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</si>
  <si>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</si>
  <si>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</si>
  <si>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</si>
  <si>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</si>
  <si>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</si>
  <si>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</si>
  <si>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</si>
  <si>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</si>
  <si>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</si>
  <si>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</si>
  <si>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</si>
  <si>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</si>
  <si>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</si>
  <si>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</si>
  <si>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</si>
  <si>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</si>
  <si>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</si>
  <si>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</si>
  <si>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</si>
  <si>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</si>
  <si>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</si>
  <si>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</si>
  <si>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</si>
  <si>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</si>
  <si>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</si>
  <si>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</si>
  <si>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</si>
  <si>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</si>
  <si>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</si>
  <si>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</si>
  <si>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</si>
  <si>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</si>
  <si>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</si>
  <si>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</si>
  <si>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</si>
  <si>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</si>
  <si>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</si>
  <si>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</si>
  <si>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</si>
  <si>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</si>
  <si>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</si>
  <si>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</si>
  <si>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</si>
  <si>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</si>
  <si>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</si>
  <si>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</si>
  <si>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</si>
  <si>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</si>
  <si>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</si>
  <si>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</si>
  <si>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</si>
  <si>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</si>
  <si>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</si>
  <si>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</si>
  <si>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</si>
  <si>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</si>
  <si>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</si>
  <si>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</si>
  <si>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</si>
  <si>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</si>
  <si>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</si>
  <si>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</si>
  <si>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</si>
  <si>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</si>
  <si>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</si>
  <si>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</si>
  <si>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</si>
  <si>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</si>
  <si>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</si>
  <si>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</si>
  <si>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</si>
  <si>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</si>
  <si>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</si>
  <si>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</si>
  <si>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</si>
  <si>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</si>
  <si>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</si>
  <si>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</si>
  <si>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</si>
  <si>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</si>
  <si>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</si>
  <si>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</si>
  <si>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</si>
  <si>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</si>
  <si>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</si>
  <si>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</si>
  <si>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</si>
  <si>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</si>
  <si>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</si>
  <si>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</si>
  <si>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</si>
  <si>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</si>
  <si>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</si>
  <si>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</si>
  <si>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</si>
  <si>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</si>
  <si>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</si>
  <si>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</si>
  <si>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</si>
  <si>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</si>
  <si>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</si>
  <si>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</si>
  <si>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</si>
  <si>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</si>
  <si>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</si>
  <si>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</si>
  <si>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</si>
  <si>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</si>
  <si>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</si>
  <si>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</si>
  <si>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</si>
  <si>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</si>
  <si>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</si>
  <si>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</si>
  <si>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</si>
  <si>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</si>
  <si>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</si>
  <si>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</si>
  <si>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</si>
  <si>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</si>
  <si>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</si>
  <si>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</si>
  <si>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</si>
  <si>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</si>
  <si>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</si>
  <si>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</si>
  <si>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</si>
  <si>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</si>
  <si>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</si>
  <si>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</si>
  <si>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</si>
  <si>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</si>
  <si>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</si>
  <si>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</si>
  <si>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</si>
  <si>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</si>
  <si>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</si>
  <si>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</si>
  <si>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</si>
  <si>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</si>
  <si>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</si>
  <si>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</si>
  <si>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</si>
  <si>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</si>
  <si>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</si>
  <si>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</si>
  <si>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</si>
  <si>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</si>
  <si>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</si>
  <si>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</si>
  <si>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</si>
  <si>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</si>
  <si>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</si>
  <si>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</si>
  <si>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</si>
  <si>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</si>
  <si>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</si>
  <si>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</si>
  <si>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</si>
  <si>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</si>
  <si>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</si>
  <si>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</si>
  <si>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</si>
  <si>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</si>
  <si>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</si>
  <si>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</si>
  <si>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</si>
  <si>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</si>
  <si>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</si>
  <si>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</si>
  <si>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</si>
  <si>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</si>
  <si>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</si>
  <si>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</si>
  <si>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</si>
  <si>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</si>
  <si>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</si>
  <si>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</si>
  <si>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</si>
  <si>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</si>
  <si>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</si>
  <si>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</si>
  <si>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</si>
  <si>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</si>
  <si>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</si>
  <si>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</si>
  <si>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</si>
  <si>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</si>
  <si>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</si>
  <si>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</si>
  <si>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</si>
  <si>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</si>
  <si>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</si>
  <si>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</si>
  <si>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</si>
  <si>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</si>
  <si>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</si>
  <si>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</si>
  <si>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</si>
  <si>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</si>
  <si>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</si>
  <si>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</si>
  <si>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</si>
  <si>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</si>
  <si>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</si>
  <si>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</si>
  <si>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</si>
  <si>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</si>
  <si>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</si>
  <si>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</si>
  <si>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</si>
  <si>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</si>
  <si>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</si>
  <si>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</si>
  <si>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</si>
  <si>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</si>
  <si>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</si>
  <si>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</si>
  <si>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</si>
  <si>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</si>
  <si>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</si>
  <si>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</si>
  <si>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</si>
  <si>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</si>
  <si>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</si>
  <si>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</si>
  <si>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</si>
  <si>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</si>
  <si>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</si>
  <si>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</si>
  <si>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</si>
  <si>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</si>
  <si>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</si>
  <si>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</si>
  <si>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</si>
  <si>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</si>
  <si>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</si>
  <si>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</si>
  <si>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</si>
  <si>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</si>
  <si>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</si>
  <si>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</si>
  <si>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</si>
  <si>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</si>
  <si>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</si>
  <si>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</si>
  <si>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</si>
  <si>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</si>
  <si>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</si>
  <si>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</si>
  <si>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</si>
  <si>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</si>
  <si>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</si>
  <si>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</si>
  <si>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</si>
  <si>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</si>
  <si>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</si>
  <si>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</si>
  <si>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</si>
  <si>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</si>
  <si>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</si>
  <si>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</si>
  <si>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</si>
  <si>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</si>
  <si>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</si>
  <si>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</si>
  <si>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</si>
  <si>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</si>
  <si>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</si>
  <si>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</si>
  <si>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</si>
  <si>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</si>
  <si>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</si>
  <si>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</si>
  <si>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</si>
  <si>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</si>
  <si>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</si>
  <si>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</si>
  <si>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</si>
  <si>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</si>
  <si>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</si>
  <si>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</si>
  <si>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</si>
  <si>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</si>
  <si>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</si>
  <si>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</si>
  <si>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</si>
  <si>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</si>
  <si>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</si>
  <si>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</si>
  <si>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</si>
  <si>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</si>
  <si>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</si>
  <si>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</si>
  <si>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</si>
  <si>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</si>
  <si>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</si>
  <si>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</si>
  <si>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</si>
  <si>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</si>
  <si>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</si>
  <si>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</si>
  <si>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</si>
  <si>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</si>
  <si>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</si>
  <si>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</si>
  <si>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</si>
  <si>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</si>
  <si>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</si>
  <si>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</si>
  <si>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</si>
  <si>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</si>
  <si>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</si>
  <si>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</si>
  <si>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</si>
  <si>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</si>
  <si>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</si>
  <si>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</si>
  <si>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</si>
  <si>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</si>
  <si>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</si>
  <si>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</si>
  <si>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</si>
  <si>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</si>
  <si>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</si>
  <si>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</si>
  <si>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</si>
  <si>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</si>
  <si>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</si>
  <si>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</si>
  <si>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</si>
  <si>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</si>
  <si>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</si>
  <si>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</si>
  <si>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</si>
  <si>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</si>
  <si>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</si>
  <si>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</si>
  <si>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</si>
  <si>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</si>
  <si>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</si>
  <si>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</si>
  <si>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</si>
  <si>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</si>
  <si>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</si>
  <si>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</si>
  <si>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</si>
  <si>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</si>
  <si>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</si>
  <si>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</si>
  <si>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</si>
  <si>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</si>
  <si>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</si>
  <si>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</si>
  <si>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</si>
  <si>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</si>
  <si>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</si>
  <si>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</si>
  <si>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</si>
  <si>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</si>
  <si>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</si>
  <si>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</si>
  <si>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</si>
  <si>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</si>
  <si>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</si>
  <si>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</si>
  <si>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</si>
  <si>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</si>
  <si>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</si>
  <si>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</si>
  <si>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</si>
  <si>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</si>
  <si>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</si>
  <si>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</si>
  <si>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</si>
  <si>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</si>
  <si>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</si>
  <si>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</si>
  <si>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</si>
  <si>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</si>
  <si>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</si>
  <si>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</si>
  <si>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</si>
  <si>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</si>
  <si>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</si>
  <si>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</si>
  <si>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</si>
  <si>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</si>
  <si>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</si>
  <si>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</si>
  <si>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</si>
  <si>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</si>
  <si>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</si>
  <si>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</si>
  <si>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</si>
  <si>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</si>
  <si>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</si>
  <si>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</si>
  <si>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</si>
  <si>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</si>
  <si>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</si>
  <si>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</si>
  <si>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</si>
  <si>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</si>
  <si>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</si>
  <si>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</si>
  <si>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</si>
  <si>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</si>
  <si>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</si>
  <si>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</si>
  <si>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</si>
  <si>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</si>
  <si>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</si>
  <si>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</si>
  <si>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</si>
  <si>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</si>
  <si>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</si>
  <si>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</si>
  <si>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</si>
  <si>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</si>
  <si>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</si>
  <si>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</si>
  <si>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</si>
  <si>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</si>
  <si>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</si>
  <si>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</si>
  <si>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</si>
  <si>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</si>
  <si>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</si>
  <si>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</si>
  <si>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</si>
  <si>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</si>
  <si>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</si>
  <si>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</si>
  <si>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</si>
  <si>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</si>
  <si>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</si>
  <si>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</si>
  <si>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</si>
  <si>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</si>
  <si>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</si>
  <si>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</si>
  <si>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</si>
  <si>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</si>
  <si>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</si>
  <si>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</si>
  <si>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</si>
  <si>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</si>
  <si>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</si>
  <si>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</si>
  <si>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</si>
  <si>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</si>
  <si>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</si>
  <si>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</si>
  <si>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</si>
  <si>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</si>
  <si>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</si>
  <si>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</si>
  <si>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</si>
  <si>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</si>
  <si>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</si>
  <si>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</si>
  <si>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</si>
  <si>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</si>
  <si>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</si>
  <si>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</si>
  <si>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</si>
  <si>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</si>
  <si>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</si>
  <si>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</si>
  <si>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</si>
  <si>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</si>
  <si>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</si>
  <si>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</si>
  <si>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</si>
  <si>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</si>
  <si>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</si>
  <si>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</si>
  <si>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</si>
  <si>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</si>
  <si>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</si>
  <si>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</si>
  <si>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</si>
  <si>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</si>
  <si>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</si>
  <si>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</si>
  <si>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</si>
  <si>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</si>
  <si>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</si>
  <si>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</si>
  <si>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</si>
  <si>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</si>
  <si>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</si>
  <si>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</si>
  <si>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</si>
  <si>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</si>
  <si>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</si>
  <si>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</si>
  <si>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</si>
  <si>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</si>
  <si>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</si>
  <si>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</si>
  <si>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</si>
  <si>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</si>
  <si>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</si>
  <si>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</si>
  <si>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</si>
  <si>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</si>
  <si>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</si>
  <si>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</si>
  <si>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</si>
  <si>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</si>
  <si>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</si>
  <si>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</si>
  <si>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</si>
  <si>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</si>
  <si>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</si>
  <si>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</si>
  <si>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</si>
  <si>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</si>
  <si>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</si>
  <si>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</si>
  <si>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</si>
  <si>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</si>
  <si>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</si>
  <si>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</si>
  <si>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</si>
  <si>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</si>
  <si>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</si>
  <si>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</si>
  <si>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</si>
  <si>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</si>
  <si>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</si>
  <si>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</si>
  <si>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</si>
  <si>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</si>
  <si>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</si>
  <si>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</si>
  <si>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</si>
  <si>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</si>
  <si>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</si>
  <si>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</si>
  <si>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</si>
  <si>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</si>
  <si>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</si>
  <si>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</si>
  <si>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</si>
  <si>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</si>
  <si>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</si>
  <si>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</si>
  <si>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</si>
  <si>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</si>
  <si>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</si>
  <si>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</si>
  <si>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</si>
  <si>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</si>
  <si>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</si>
  <si>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</si>
  <si>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</si>
  <si>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</si>
  <si>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</si>
  <si>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</si>
  <si>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</si>
  <si>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</si>
  <si>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</si>
  <si>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</si>
  <si>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</si>
  <si>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</si>
  <si>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</si>
  <si>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</si>
  <si>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</si>
  <si>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</si>
  <si>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</si>
  <si>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</si>
  <si>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</si>
  <si>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</si>
  <si>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</si>
  <si>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</si>
  <si>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</si>
  <si>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</si>
  <si>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</si>
  <si>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</si>
  <si>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</si>
  <si>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</si>
  <si>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</si>
  <si>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</si>
  <si>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</si>
  <si>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</si>
  <si>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</si>
  <si>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</si>
  <si>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</si>
  <si>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</si>
  <si>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</si>
  <si>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</si>
  <si>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</si>
  <si>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</si>
  <si>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</si>
  <si>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</si>
  <si>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</si>
  <si>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</si>
  <si>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</si>
  <si>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</si>
  <si>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</si>
  <si>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</si>
  <si>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</si>
  <si>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</si>
  <si>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</si>
  <si>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</si>
  <si>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</si>
  <si>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</si>
  <si>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</si>
  <si>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</si>
  <si>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</si>
  <si>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</si>
  <si>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</si>
  <si>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</si>
  <si>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</si>
  <si>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</si>
  <si>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</si>
  <si>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</si>
  <si>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</si>
  <si>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</si>
  <si>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</si>
  <si>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</si>
  <si>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</si>
  <si>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</si>
  <si>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</si>
  <si>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</si>
  <si>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</si>
  <si>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</si>
  <si>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</si>
  <si>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</si>
  <si>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</si>
  <si>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</si>
  <si>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</si>
  <si>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</si>
  <si>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</si>
  <si>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</si>
  <si>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</si>
  <si>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</si>
  <si>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</si>
  <si>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</si>
  <si>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</si>
  <si>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</si>
  <si>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</si>
  <si>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</si>
  <si>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</si>
  <si>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</si>
  <si>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</si>
  <si>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</si>
  <si>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</si>
  <si>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</si>
  <si>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</si>
  <si>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</si>
  <si>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</si>
  <si>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</si>
  <si>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</si>
  <si>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</si>
  <si>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</si>
  <si>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</si>
  <si>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</si>
  <si>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</si>
  <si>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</si>
  <si>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</si>
  <si>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</si>
  <si>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</si>
  <si>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</si>
  <si>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</si>
  <si>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</si>
  <si>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</si>
  <si>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</si>
  <si>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</si>
  <si>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</si>
  <si>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</si>
  <si>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</si>
  <si>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</si>
  <si>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</si>
  <si>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</si>
  <si>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</si>
  <si>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</si>
  <si>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</si>
  <si>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</si>
  <si>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</si>
  <si>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</si>
  <si>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</si>
  <si>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</si>
  <si>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</si>
  <si>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</si>
  <si>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</si>
  <si>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</si>
  <si>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</si>
  <si>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</si>
  <si>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</si>
  <si>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</si>
  <si>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</si>
  <si>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</si>
  <si>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</si>
  <si>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</si>
  <si>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</si>
  <si>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</si>
  <si>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</si>
  <si>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</si>
  <si>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</si>
  <si>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</si>
  <si>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</si>
  <si>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</si>
  <si>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</si>
  <si>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</si>
  <si>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</si>
  <si>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</si>
  <si>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</si>
  <si>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</si>
  <si>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</si>
  <si>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</si>
  <si>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</si>
  <si>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</si>
  <si>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</si>
  <si>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</si>
  <si>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</si>
  <si>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</si>
  <si>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</si>
  <si>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</si>
  <si>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</si>
  <si>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</si>
  <si>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</si>
  <si>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</si>
  <si>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</si>
  <si>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</si>
  <si>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</si>
  <si>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</si>
  <si>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</si>
  <si>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</si>
  <si>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</si>
  <si>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</si>
  <si>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</si>
  <si>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</si>
  <si>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</si>
  <si>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</si>
  <si>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</si>
  <si>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</si>
  <si>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</si>
  <si>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</si>
  <si>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</si>
  <si>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</si>
  <si>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</si>
  <si>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</si>
  <si>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</si>
  <si>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</si>
  <si>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</si>
  <si>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</si>
  <si>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</si>
  <si>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</si>
  <si>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</si>
  <si>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</si>
  <si>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</si>
  <si>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</si>
  <si>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</si>
  <si>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</si>
  <si>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</si>
  <si>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</si>
  <si>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</si>
  <si>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</si>
  <si>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</si>
  <si>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</si>
  <si>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</si>
  <si>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</si>
  <si>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</si>
  <si>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</si>
  <si>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</si>
  <si>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</si>
  <si>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</si>
  <si>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</si>
  <si>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</si>
  <si>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</si>
  <si>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</si>
  <si>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</si>
  <si>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</si>
  <si>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</si>
  <si>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</si>
  <si>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</si>
  <si>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</si>
  <si>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</si>
  <si>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</si>
  <si>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</si>
  <si>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</si>
  <si>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</si>
  <si>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</si>
  <si>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</si>
  <si>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</si>
  <si>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</si>
  <si>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</si>
  <si>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</si>
  <si>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</si>
  <si>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</si>
  <si>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</si>
  <si>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</si>
  <si>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</si>
  <si>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</si>
  <si>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</si>
  <si>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</si>
  <si>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</si>
  <si>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</si>
  <si>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</si>
  <si>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</si>
  <si>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</si>
  <si>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</si>
  <si>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</si>
  <si>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</si>
  <si>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</si>
  <si>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</si>
  <si>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</si>
  <si>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</si>
  <si>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</si>
  <si>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</si>
  <si>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</si>
  <si>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</si>
  <si>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</si>
  <si>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</si>
  <si>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</si>
  <si>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</si>
  <si>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</si>
  <si>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</si>
  <si>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</si>
  <si>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</si>
  <si>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</si>
  <si>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</si>
  <si>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</si>
  <si>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</si>
  <si>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</si>
  <si>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</si>
  <si>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</si>
  <si>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</si>
  <si>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</si>
  <si>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</si>
  <si>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</si>
  <si>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</si>
  <si>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</si>
  <si>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</si>
  <si>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</si>
  <si>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</si>
  <si>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</si>
  <si>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</si>
  <si>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</si>
  <si>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</si>
  <si>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</si>
  <si>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</si>
  <si>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</si>
  <si>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</si>
  <si>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</si>
  <si>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</si>
  <si>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</si>
  <si>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</si>
  <si>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</si>
  <si>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</si>
  <si>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</si>
  <si>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</si>
  <si>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</si>
  <si>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</si>
  <si>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</si>
  <si>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</si>
  <si>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</si>
  <si>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</si>
  <si>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</si>
  <si>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</si>
  <si>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</si>
  <si>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</si>
  <si>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</si>
  <si>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</si>
  <si>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</si>
  <si>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</si>
  <si>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</si>
  <si>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</si>
  <si>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</si>
  <si>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</si>
  <si>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</si>
  <si>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</si>
  <si>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</si>
  <si>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</si>
  <si>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</si>
  <si>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</si>
  <si>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</si>
  <si>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</si>
  <si>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</si>
  <si>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</si>
  <si>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</si>
  <si>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</si>
  <si>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</si>
  <si>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</si>
  <si>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</si>
  <si>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</si>
  <si>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</si>
  <si>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</si>
  <si>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</si>
  <si>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</si>
  <si>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</si>
  <si>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</si>
  <si>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</si>
  <si>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</si>
  <si>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</si>
  <si>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</si>
  <si>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</si>
  <si>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</si>
  <si>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</si>
  <si>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</si>
  <si>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</si>
  <si>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</si>
  <si>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</si>
  <si>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</si>
  <si>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</si>
  <si>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</si>
  <si>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</si>
  <si>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</si>
  <si>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</si>
  <si>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</si>
  <si>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</si>
  <si>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</si>
  <si>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</si>
  <si>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</si>
  <si>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</si>
  <si>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</si>
  <si>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</si>
  <si>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</si>
  <si>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</si>
  <si>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</si>
  <si>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</si>
  <si>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</si>
  <si>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</si>
  <si>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</si>
  <si>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</si>
  <si>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</si>
  <si>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</si>
  <si>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</si>
  <si>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</si>
  <si>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</si>
  <si>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</si>
  <si>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</si>
  <si>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</si>
  <si>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</si>
  <si>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</si>
  <si>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</si>
  <si>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</si>
  <si>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</si>
  <si>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</si>
  <si>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</si>
  <si>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</si>
  <si>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</si>
  <si>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</si>
  <si>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</si>
  <si>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</si>
  <si>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</si>
  <si>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</si>
  <si>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</si>
  <si>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</si>
  <si>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</si>
  <si>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</si>
  <si>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</si>
  <si>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</si>
  <si>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</si>
  <si>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</si>
  <si>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</si>
  <si>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</si>
  <si>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</si>
  <si>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</si>
  <si>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</si>
  <si>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</si>
  <si>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</si>
  <si>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</si>
  <si>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</si>
  <si>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</si>
  <si>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</si>
  <si>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</si>
  <si>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</si>
  <si>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</si>
  <si>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</si>
  <si>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</si>
  <si>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</si>
  <si>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</si>
  <si>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</si>
  <si>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</si>
  <si>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</si>
  <si>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</si>
  <si>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</si>
  <si>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</si>
  <si>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</si>
  <si>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</si>
  <si>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</si>
  <si>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</si>
  <si>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</si>
  <si>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</si>
  <si>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</si>
  <si>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</si>
  <si>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</si>
  <si>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</si>
  <si>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</si>
  <si>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</si>
  <si>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</si>
  <si>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</si>
  <si>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</si>
  <si>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</si>
  <si>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</si>
  <si>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</si>
  <si>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</si>
  <si>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</si>
  <si>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</si>
  <si>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</si>
  <si>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</si>
  <si>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</si>
  <si>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</si>
  <si>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</si>
  <si>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</si>
  <si>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</si>
  <si>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</si>
  <si>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</si>
  <si>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</si>
  <si>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</si>
  <si>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</si>
  <si>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</si>
  <si>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</si>
  <si>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</si>
  <si>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</si>
  <si>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</si>
  <si>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</si>
  <si>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</si>
  <si>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</si>
  <si>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</si>
  <si>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</si>
  <si>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</si>
  <si>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</si>
  <si>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</si>
  <si>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</si>
  <si>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</si>
  <si>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</si>
  <si>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</si>
  <si>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</si>
  <si>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</si>
  <si>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</si>
  <si>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</si>
  <si>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</si>
  <si>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</si>
  <si>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</si>
  <si>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</si>
  <si>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</si>
  <si>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</si>
  <si>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</si>
  <si>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</si>
  <si>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</si>
  <si>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</si>
  <si>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</si>
  <si>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</si>
  <si>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</si>
  <si>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</si>
  <si>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</si>
  <si>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</si>
  <si>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</si>
  <si>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</si>
  <si>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</si>
  <si>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</si>
  <si>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</si>
  <si>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</si>
  <si>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</si>
  <si>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</si>
  <si>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</si>
  <si>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</si>
  <si>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</si>
  <si>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</si>
  <si>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</si>
  <si>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</si>
  <si>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</si>
  <si>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</si>
  <si>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</si>
  <si>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</si>
  <si>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</si>
  <si>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</si>
  <si>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</si>
  <si>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</si>
  <si>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</si>
  <si>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</si>
  <si>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</si>
  <si>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</si>
  <si>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</si>
  <si>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</si>
  <si>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</si>
  <si>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</si>
  <si>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</si>
  <si>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</si>
  <si>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</si>
  <si>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</si>
  <si>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</si>
  <si>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</si>
  <si>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</si>
  <si>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</si>
  <si>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</si>
  <si>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</si>
  <si>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</si>
  <si>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</si>
  <si>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</si>
  <si>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</si>
  <si>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</si>
  <si>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</si>
  <si>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</si>
  <si>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</si>
  <si>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</si>
  <si>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</si>
  <si>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</si>
  <si>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</si>
  <si>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</si>
  <si>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</si>
  <si>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</si>
  <si>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</si>
  <si>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</si>
  <si>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</si>
  <si>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</si>
  <si>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</si>
  <si>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</si>
  <si>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</si>
  <si>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</si>
  <si>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</si>
  <si>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</si>
  <si>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</si>
  <si>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</si>
  <si>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</si>
  <si>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</si>
  <si>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</si>
  <si>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</si>
  <si>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</si>
  <si>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</si>
  <si>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</si>
  <si>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</si>
  <si>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</si>
  <si>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</si>
  <si>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</si>
  <si>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</si>
  <si>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</si>
  <si>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</si>
  <si>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</si>
  <si>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</si>
  <si>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</si>
  <si>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</si>
  <si>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</si>
  <si>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</si>
  <si>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</si>
  <si>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</si>
  <si>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</si>
  <si>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</si>
  <si>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</si>
  <si>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</si>
  <si>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</si>
  <si>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</si>
  <si>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</si>
  <si>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</si>
  <si>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</si>
  <si>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</si>
  <si>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</si>
  <si>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</si>
  <si>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</si>
  <si>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</si>
  <si>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</si>
  <si>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</si>
  <si>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</si>
  <si>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</si>
  <si>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</si>
  <si>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</si>
  <si>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</si>
  <si>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</si>
  <si>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</si>
  <si>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</si>
  <si>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</si>
  <si>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</si>
  <si>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</si>
  <si>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</si>
  <si>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</si>
  <si>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</si>
  <si>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</si>
  <si>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</si>
  <si>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</si>
  <si>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</si>
  <si>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</si>
  <si>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</si>
  <si>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</si>
  <si>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</si>
  <si>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</si>
  <si>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</si>
  <si>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</si>
  <si>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</si>
  <si>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</si>
  <si>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</si>
  <si>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</si>
  <si>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</si>
  <si>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</si>
  <si>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</si>
  <si>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</si>
  <si>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</si>
  <si>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</si>
  <si>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</si>
  <si>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</si>
  <si>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</si>
  <si>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</si>
  <si>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</si>
  <si>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</si>
  <si>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</si>
  <si>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</si>
  <si>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</si>
  <si>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</si>
  <si>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</si>
  <si>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</si>
  <si>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</si>
  <si>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</si>
  <si>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</si>
  <si>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</si>
  <si>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</si>
  <si>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</si>
  <si>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</si>
  <si>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</si>
  <si>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</si>
  <si>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</si>
  <si>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</si>
  <si>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</si>
  <si>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</si>
  <si>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</si>
  <si>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</si>
  <si>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</si>
  <si>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</si>
  <si>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</si>
  <si>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</si>
  <si>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</si>
  <si>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</si>
  <si>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</si>
  <si>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</si>
  <si>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</si>
  <si>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</si>
  <si>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</si>
  <si>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</si>
  <si>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</si>
  <si>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</si>
  <si>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</si>
  <si>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</si>
  <si>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</si>
  <si>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</si>
  <si>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</si>
  <si>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</si>
  <si>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</si>
  <si>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</si>
  <si>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</si>
  <si>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</si>
  <si>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</si>
  <si>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</si>
  <si>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</si>
  <si>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</si>
  <si>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</si>
  <si>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</si>
  <si>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</si>
  <si>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</si>
  <si>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</si>
  <si>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</si>
  <si>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</si>
  <si>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</si>
  <si>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</si>
  <si>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</si>
  <si>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</si>
  <si>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</si>
  <si>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</si>
  <si>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</si>
  <si>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</si>
  <si>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</si>
  <si>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</si>
  <si>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</si>
  <si>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</si>
  <si>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</si>
  <si>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</si>
  <si>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</si>
  <si>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</si>
  <si>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</si>
  <si>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</si>
  <si>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</si>
  <si>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</si>
  <si>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</si>
  <si>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</si>
  <si>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</si>
  <si>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</si>
  <si>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</si>
  <si>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</si>
  <si>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</si>
  <si>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</si>
  <si>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</si>
  <si>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</si>
  <si>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</si>
  <si>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</si>
  <si>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</si>
  <si>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</si>
  <si>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</si>
  <si>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</si>
  <si>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</si>
  <si>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</si>
  <si>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</si>
  <si>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</si>
  <si>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</si>
  <si>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</si>
  <si>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</si>
  <si>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</si>
  <si>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</si>
  <si>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</si>
  <si>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</si>
  <si>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</si>
  <si>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</si>
  <si>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</si>
  <si>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</si>
  <si>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</si>
  <si>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</si>
  <si>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</si>
  <si>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</si>
  <si>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</si>
  <si>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</si>
  <si>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</si>
  <si>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</si>
  <si>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</si>
  <si>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</si>
  <si>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</si>
  <si>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</si>
  <si>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</si>
  <si>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</si>
  <si>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</si>
  <si>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</si>
  <si>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</si>
  <si>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</si>
  <si>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</si>
  <si>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</si>
  <si>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</si>
  <si>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</si>
  <si>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</si>
  <si>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</si>
  <si>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</si>
  <si>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</si>
  <si>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</si>
  <si>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</si>
  <si>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</si>
  <si>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</si>
  <si>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</si>
  <si>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</si>
  <si>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</si>
  <si>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</si>
  <si>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</si>
  <si>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</si>
  <si>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</si>
  <si>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</si>
  <si>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</si>
  <si>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</si>
  <si>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</si>
  <si>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</si>
  <si>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</si>
  <si>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</si>
  <si>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</si>
  <si>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</si>
  <si>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</si>
  <si>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</si>
  <si>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</si>
  <si>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</si>
  <si>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</si>
  <si>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</si>
  <si>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</si>
  <si>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</si>
  <si>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</si>
  <si>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</si>
  <si>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</si>
  <si>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</si>
  <si>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</si>
  <si>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</si>
  <si>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</si>
  <si>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</si>
  <si>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</si>
  <si>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</si>
  <si>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</si>
  <si>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</si>
  <si>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</si>
  <si>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</si>
  <si>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</si>
  <si>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</si>
  <si>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</si>
  <si>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</si>
  <si>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</si>
  <si>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</si>
  <si>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</si>
  <si>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</si>
  <si>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</si>
  <si>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</si>
  <si>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</si>
  <si>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</si>
  <si>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</si>
  <si>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</si>
  <si>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</si>
  <si>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</si>
  <si>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</si>
  <si>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</si>
  <si>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</si>
  <si>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</si>
  <si>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</si>
  <si>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</si>
  <si>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</si>
  <si>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</si>
  <si>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</si>
  <si>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</si>
  <si>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</si>
  <si>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</si>
  <si>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</si>
  <si>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</si>
  <si>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</si>
  <si>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</si>
  <si>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</si>
  <si>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</si>
  <si>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</si>
  <si>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</si>
  <si>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</si>
  <si>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</si>
  <si>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</si>
  <si>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</si>
  <si>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</si>
  <si>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</si>
  <si>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</si>
  <si>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</si>
  <si>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</si>
  <si>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</si>
  <si>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</si>
  <si>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</si>
  <si>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</si>
  <si>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</si>
  <si>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</si>
  <si>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</si>
  <si>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</si>
  <si>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</si>
  <si>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</si>
  <si>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</si>
  <si>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</si>
  <si>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</si>
  <si>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</si>
  <si>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</si>
  <si>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</si>
  <si>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</si>
  <si>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</si>
  <si>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</si>
  <si>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</si>
  <si>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</si>
  <si>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</si>
  <si>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</si>
  <si>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</si>
  <si>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</si>
  <si>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</si>
  <si>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</si>
  <si>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</si>
  <si>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</si>
  <si>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</si>
  <si>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</si>
  <si>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</si>
  <si>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</si>
  <si>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</si>
  <si>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</si>
  <si>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</si>
  <si>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</si>
  <si>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</si>
  <si>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</si>
  <si>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</si>
  <si>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</si>
  <si>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</si>
  <si>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</si>
  <si>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</si>
  <si>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</si>
  <si>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</si>
  <si>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</si>
  <si>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</si>
  <si>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</si>
  <si>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</si>
  <si>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</si>
  <si>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</si>
  <si>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</si>
  <si>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</si>
  <si>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</si>
  <si>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</si>
  <si>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</si>
  <si>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</si>
  <si>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</si>
  <si>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</si>
  <si>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</si>
  <si>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</si>
  <si>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</si>
  <si>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</si>
  <si>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</si>
  <si>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</si>
  <si>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</si>
  <si>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</si>
  <si>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</si>
  <si>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</si>
  <si>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</si>
  <si>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</si>
  <si>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</si>
  <si>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</si>
  <si>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</si>
  <si>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</si>
  <si>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</si>
  <si>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</si>
  <si>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</si>
  <si>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</si>
  <si>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</si>
  <si>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</si>
  <si>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</si>
  <si>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</si>
  <si>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</si>
  <si>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</si>
  <si>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</si>
  <si>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</si>
  <si>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</si>
  <si>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</si>
  <si>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</si>
  <si>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</si>
  <si>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</si>
  <si>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</si>
  <si>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</si>
  <si>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</si>
  <si>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</si>
  <si>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</si>
  <si>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</si>
  <si>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</si>
  <si>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</si>
  <si>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</si>
  <si>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</si>
  <si>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</si>
  <si>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</si>
  <si>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</si>
  <si>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</si>
  <si>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</si>
  <si>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</si>
  <si>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</si>
  <si>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</si>
  <si>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</si>
  <si>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</si>
  <si>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</si>
  <si>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</si>
  <si>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</si>
  <si>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</si>
  <si>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</si>
  <si>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</si>
  <si>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</si>
  <si>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</si>
  <si>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</si>
  <si>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</si>
  <si>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</si>
  <si>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</si>
  <si>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</si>
  <si>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</si>
  <si>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</si>
  <si>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</si>
  <si>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</si>
  <si>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</si>
  <si>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</si>
  <si>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</si>
  <si>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</si>
  <si>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</si>
  <si>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</si>
  <si>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</si>
  <si>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</si>
  <si>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</si>
  <si>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</si>
  <si>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</si>
  <si>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</si>
  <si>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</si>
  <si>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</si>
  <si>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</si>
  <si>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</si>
  <si>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</si>
  <si>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</si>
  <si>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</si>
  <si>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</si>
  <si>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</si>
  <si>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</si>
  <si>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</si>
  <si>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</si>
  <si>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</si>
  <si>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</si>
  <si>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</si>
  <si>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</si>
  <si>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</si>
  <si>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</si>
  <si>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</si>
  <si>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</si>
  <si>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</si>
  <si>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</si>
  <si>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</si>
  <si>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</si>
  <si>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</si>
  <si>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</si>
  <si>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</si>
  <si>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</si>
  <si>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</si>
  <si>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</si>
  <si>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</si>
  <si>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</si>
  <si>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</si>
  <si>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</si>
  <si>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</si>
  <si>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</si>
  <si>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</si>
  <si>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</si>
  <si>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</si>
  <si>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</si>
  <si>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</si>
  <si>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</si>
  <si>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</si>
  <si>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</si>
  <si>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</si>
  <si>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</si>
  <si>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</si>
  <si>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</si>
  <si>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</si>
  <si>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</si>
  <si>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</si>
  <si>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</si>
  <si>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</si>
  <si>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</si>
  <si>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</si>
  <si>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</si>
  <si>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</si>
  <si>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</si>
  <si>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</si>
  <si>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</si>
  <si>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</si>
  <si>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</si>
  <si>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</si>
  <si>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</si>
  <si>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</si>
  <si>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</si>
  <si>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</si>
  <si>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</si>
  <si>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</si>
  <si>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</si>
  <si>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</si>
  <si>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</si>
  <si>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</si>
  <si>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</si>
  <si>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</si>
  <si>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</si>
  <si>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</si>
  <si>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</si>
  <si>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</si>
  <si>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</si>
  <si>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</si>
  <si>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</si>
  <si>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</si>
  <si>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</si>
  <si>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</si>
  <si>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</si>
  <si>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</si>
  <si>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</si>
  <si>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</si>
  <si>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</si>
  <si>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</si>
  <si>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</si>
  <si>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</si>
  <si>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</si>
  <si>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</si>
  <si>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</si>
  <si>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</si>
  <si>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</si>
  <si>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</si>
  <si>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</si>
  <si>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</si>
  <si>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</si>
  <si>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</si>
  <si>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</si>
  <si>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</si>
  <si>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</si>
  <si>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</si>
  <si>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</si>
  <si>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</si>
  <si>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</si>
  <si>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</si>
  <si>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</si>
  <si>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</si>
  <si>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</si>
  <si>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</si>
  <si>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</si>
  <si>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</si>
  <si>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</si>
  <si>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</si>
  <si>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</si>
  <si>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</si>
  <si>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</si>
  <si>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</si>
  <si>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</si>
  <si>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</si>
  <si>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</si>
  <si>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</si>
  <si>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</si>
  <si>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</si>
  <si>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</si>
  <si>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</si>
  <si>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</si>
  <si>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</si>
  <si>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</si>
  <si>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</si>
  <si>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</si>
  <si>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</si>
  <si>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</si>
  <si>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</si>
  <si>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</si>
  <si>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</si>
  <si>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</si>
  <si>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</si>
  <si>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</si>
  <si>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</si>
  <si>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</si>
  <si>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</si>
  <si>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</si>
  <si>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</si>
  <si>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</si>
  <si>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</si>
  <si>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</si>
  <si>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</si>
  <si>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</si>
  <si>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</si>
  <si>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</si>
  <si>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</si>
  <si>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</si>
  <si>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</si>
  <si>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</si>
  <si>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</si>
  <si>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</si>
  <si>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</si>
  <si>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</si>
  <si>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</si>
  <si>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</si>
  <si>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</si>
  <si>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</si>
  <si>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</si>
  <si>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</si>
  <si>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</si>
  <si>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</si>
  <si>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</si>
  <si>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</si>
  <si>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</si>
  <si>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</si>
  <si>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</si>
  <si>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</si>
  <si>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</si>
  <si>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</si>
  <si>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</si>
  <si>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</si>
  <si>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</si>
  <si>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</si>
  <si>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</si>
  <si>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</si>
  <si>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</si>
  <si>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</si>
  <si>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</si>
  <si>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</si>
  <si>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</si>
  <si>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</si>
  <si>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</si>
  <si>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</si>
  <si>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</si>
  <si>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</si>
  <si>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</si>
  <si>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</si>
  <si>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</si>
  <si>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</si>
  <si>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</si>
  <si>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</si>
  <si>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</si>
  <si>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</si>
  <si>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</si>
  <si>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</si>
  <si>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</si>
  <si>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</si>
  <si>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</si>
  <si>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</si>
  <si>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</si>
  <si>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</si>
  <si>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</si>
  <si>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</si>
  <si>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</si>
  <si>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</si>
  <si>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</si>
  <si>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</si>
  <si>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</si>
  <si>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</si>
  <si>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</si>
  <si>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</si>
  <si>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</si>
  <si>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</si>
  <si>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</si>
  <si>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</si>
  <si>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</si>
  <si>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</si>
  <si>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</si>
  <si>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</si>
  <si>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</si>
  <si>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</si>
  <si>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</si>
  <si>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</si>
  <si>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</si>
  <si>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</si>
  <si>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</si>
  <si>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</si>
  <si>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</si>
  <si>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</si>
  <si>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</si>
  <si>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</si>
  <si>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</si>
  <si>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</si>
  <si>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</si>
  <si>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</si>
  <si>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</si>
  <si>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</si>
  <si>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</si>
  <si>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</si>
  <si>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</si>
  <si>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</si>
  <si>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</si>
  <si>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</si>
  <si>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</si>
  <si>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</si>
  <si>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</si>
  <si>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</si>
  <si>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</si>
  <si>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</si>
  <si>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</si>
  <si>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</si>
  <si>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</si>
  <si>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</si>
  <si>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</si>
  <si>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</si>
  <si>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</si>
  <si>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</si>
  <si>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</si>
  <si>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</si>
  <si>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</si>
  <si>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</si>
  <si>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</si>
  <si>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</si>
  <si>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</si>
  <si>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</si>
  <si>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</si>
  <si>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</si>
  <si>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</si>
  <si>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</si>
  <si>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</si>
  <si>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</si>
  <si>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</si>
  <si>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</si>
  <si>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</si>
  <si>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</si>
  <si>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</si>
  <si>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</si>
  <si>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</si>
  <si>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</si>
  <si>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</si>
  <si>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</si>
  <si>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</si>
  <si>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</si>
  <si>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</si>
  <si>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</si>
  <si>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</si>
  <si>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</si>
  <si>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</si>
  <si>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</si>
  <si>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</si>
  <si>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</si>
  <si>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</si>
  <si>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</si>
  <si>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</si>
  <si>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</si>
  <si>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</si>
  <si>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</si>
  <si>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</si>
  <si>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</si>
  <si>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</si>
  <si>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</si>
  <si>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</si>
  <si>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</si>
  <si>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</si>
  <si>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</si>
  <si>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</si>
  <si>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</si>
  <si>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</si>
  <si>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</si>
  <si>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</si>
  <si>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</si>
  <si>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</si>
  <si>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</si>
  <si>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</si>
  <si>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</si>
  <si>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</si>
  <si>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</si>
  <si>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</si>
  <si>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</si>
  <si>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</si>
  <si>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</si>
  <si>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</si>
  <si>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</si>
  <si>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</si>
  <si>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</si>
  <si>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</si>
  <si>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</si>
  <si>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</si>
  <si>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</si>
  <si>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</si>
  <si>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</si>
  <si>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</si>
  <si>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</si>
  <si>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</si>
  <si>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</si>
  <si>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</si>
  <si>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</si>
  <si>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</si>
  <si>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</si>
  <si>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</si>
  <si>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</si>
  <si>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</si>
  <si>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</si>
  <si>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</si>
  <si>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</si>
  <si>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</si>
  <si>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</si>
  <si>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</si>
  <si>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</si>
  <si>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</si>
  <si>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</si>
  <si>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</si>
  <si>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</si>
  <si>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</si>
  <si>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</si>
  <si>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</si>
  <si>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</si>
  <si>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</si>
  <si>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</si>
  <si>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</si>
  <si>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</si>
  <si>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</si>
  <si>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</si>
  <si>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</si>
  <si>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</si>
  <si>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</si>
  <si>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</si>
  <si>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</si>
  <si>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</si>
  <si>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</si>
  <si>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</si>
  <si>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</si>
  <si>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</si>
  <si>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</si>
  <si>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</si>
  <si>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</si>
  <si>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</si>
  <si>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</si>
  <si>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</si>
  <si>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</si>
  <si>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</si>
  <si>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</si>
  <si>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</si>
  <si>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</si>
  <si>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</si>
  <si>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</si>
  <si>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</si>
  <si>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</si>
  <si>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</si>
  <si>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</si>
  <si>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</si>
  <si>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</si>
  <si>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</si>
  <si>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</si>
  <si>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</si>
  <si>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</si>
  <si>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</si>
  <si>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</si>
  <si>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</si>
  <si>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</si>
  <si>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</si>
  <si>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</si>
  <si>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</si>
  <si>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</si>
  <si>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</si>
  <si>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</si>
  <si>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</si>
  <si>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</si>
  <si>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</si>
  <si>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</si>
  <si>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</si>
  <si>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</si>
  <si>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</si>
  <si>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</si>
  <si>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</si>
  <si>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</si>
  <si>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</si>
  <si>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</si>
  <si>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</si>
  <si>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</si>
  <si>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</si>
  <si>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</si>
  <si>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</si>
  <si>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</si>
  <si>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</si>
  <si>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</si>
  <si>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</si>
  <si>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</si>
  <si>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</si>
  <si>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</si>
  <si>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</si>
  <si>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</si>
  <si>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</si>
  <si>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</si>
  <si>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</si>
  <si>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</si>
  <si>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</si>
  <si>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</si>
  <si>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</si>
  <si>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</si>
  <si>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</si>
  <si>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</si>
  <si>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</si>
  <si>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</si>
  <si>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</si>
  <si>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</si>
  <si>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</si>
  <si>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</si>
  <si>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</si>
  <si>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</si>
  <si>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</si>
  <si>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</si>
  <si>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</si>
  <si>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</si>
  <si>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</si>
  <si>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</si>
  <si>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</si>
  <si>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</si>
  <si>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</si>
  <si>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</si>
  <si>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</si>
  <si>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</si>
  <si>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</si>
  <si>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</si>
  <si>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</si>
  <si>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</si>
  <si>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</si>
  <si>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</si>
  <si>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</si>
  <si>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</si>
  <si>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</si>
  <si>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</si>
  <si>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</si>
  <si>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</si>
  <si>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</si>
  <si>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</si>
  <si>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</si>
  <si>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</si>
  <si>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</si>
  <si>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</si>
  <si>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</si>
  <si>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</si>
  <si>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</si>
  <si>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</si>
  <si>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</si>
  <si>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</si>
  <si>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</si>
  <si>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</si>
  <si>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</si>
  <si>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</si>
  <si>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</si>
  <si>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</si>
  <si>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</si>
  <si>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</si>
  <si>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</si>
  <si>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</si>
  <si>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</si>
  <si>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</si>
  <si>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</si>
  <si>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</si>
  <si>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</si>
  <si>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</si>
  <si>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</si>
  <si>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</si>
  <si>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</si>
  <si>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</si>
  <si>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</si>
  <si>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</si>
  <si>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</si>
  <si>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</si>
  <si>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</si>
  <si>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</si>
  <si>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</si>
  <si>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</si>
  <si>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</si>
  <si>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</si>
  <si>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</si>
  <si>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</si>
  <si>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</si>
  <si>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</si>
  <si>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</si>
  <si>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</si>
  <si>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</si>
  <si>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</si>
  <si>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</si>
  <si>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</si>
  <si>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</si>
  <si>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</si>
  <si>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</si>
  <si>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</si>
  <si>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</si>
  <si>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</si>
  <si>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</si>
  <si>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</si>
  <si>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</si>
  <si>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</si>
  <si>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</si>
  <si>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</si>
  <si>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</si>
  <si>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</si>
  <si>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</si>
  <si>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</si>
  <si>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</si>
  <si>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</si>
  <si>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</si>
  <si>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</si>
  <si>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</si>
  <si>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</si>
  <si>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</si>
  <si>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</si>
  <si>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</si>
  <si>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</si>
  <si>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</si>
  <si>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</si>
  <si>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</si>
  <si>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</si>
  <si>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</si>
  <si>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</si>
  <si>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</si>
  <si>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</si>
  <si>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</si>
  <si>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</si>
  <si>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</si>
  <si>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</si>
  <si>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</si>
  <si>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</si>
  <si>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</si>
  <si>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</si>
  <si>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</si>
  <si>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</si>
  <si>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</si>
  <si>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</si>
  <si>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</si>
  <si>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</si>
  <si>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</si>
  <si>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</si>
  <si>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</si>
  <si>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</si>
  <si>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</si>
  <si>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</si>
  <si>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</si>
  <si>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</si>
  <si>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</si>
  <si>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</si>
  <si>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</si>
  <si>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</si>
  <si>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</si>
  <si>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</si>
  <si>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</si>
  <si>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</si>
  <si>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</si>
  <si>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</si>
  <si>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</si>
  <si>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</si>
  <si>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</si>
  <si>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</si>
  <si>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</si>
  <si>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</si>
  <si>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</si>
  <si>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</si>
  <si>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</si>
  <si>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</si>
  <si>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</si>
  <si>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</si>
  <si>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</si>
  <si>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</si>
  <si>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</si>
  <si>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</si>
  <si>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</si>
  <si>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</si>
  <si>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</si>
  <si>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</si>
  <si>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</si>
  <si>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</si>
  <si>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</si>
  <si>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</si>
  <si>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</si>
  <si>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</si>
  <si>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</si>
  <si>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</si>
  <si>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</si>
  <si>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</si>
  <si>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</si>
  <si>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</si>
  <si>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</si>
  <si>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</si>
  <si>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</si>
  <si>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</si>
  <si>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</si>
  <si>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</si>
  <si>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</si>
  <si>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</si>
  <si>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</si>
  <si>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</si>
  <si>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</si>
  <si>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</si>
  <si>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</si>
  <si>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</si>
  <si>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</si>
  <si>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</si>
  <si>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</si>
  <si>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</si>
  <si>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</si>
  <si>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</si>
  <si>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</si>
  <si>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</si>
  <si>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</si>
  <si>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</si>
  <si>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</si>
  <si>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</si>
  <si>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</si>
  <si>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</si>
  <si>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</si>
  <si>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</si>
  <si>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</si>
  <si>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</si>
  <si>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</si>
  <si>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</si>
  <si>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</si>
  <si>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</si>
  <si>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</si>
  <si>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</si>
  <si>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</si>
  <si>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</si>
  <si>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</si>
  <si>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</si>
  <si>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</si>
  <si>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</si>
  <si>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</si>
  <si>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</si>
  <si>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</si>
  <si>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</si>
  <si>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</si>
  <si>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</si>
  <si>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</si>
  <si>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</si>
  <si>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</si>
  <si>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</si>
  <si>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</si>
  <si>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</si>
  <si>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</si>
  <si>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</si>
  <si>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</si>
  <si>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</si>
  <si>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</si>
  <si>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</si>
  <si>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</si>
  <si>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</si>
  <si>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</si>
  <si>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</si>
  <si>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</si>
  <si>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</si>
  <si>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</si>
  <si>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</si>
  <si>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</si>
  <si>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</si>
  <si>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</si>
  <si>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</si>
  <si>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</si>
  <si>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</si>
  <si>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</si>
  <si>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</si>
  <si>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</si>
  <si>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</si>
  <si>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</si>
  <si>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</si>
  <si>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</si>
  <si>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</si>
  <si>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</si>
  <si>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</si>
  <si>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</si>
  <si>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</si>
  <si>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</si>
  <si>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</si>
  <si>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</si>
  <si>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</si>
  <si>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</si>
  <si>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</si>
  <si>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</si>
  <si>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</si>
  <si>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</si>
  <si>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</si>
  <si>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</si>
  <si>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</si>
  <si>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</si>
  <si>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</si>
  <si>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</si>
  <si>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</si>
  <si>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</si>
  <si>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</si>
  <si>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</si>
  <si>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</si>
  <si>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</si>
  <si>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</si>
  <si>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</si>
  <si>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</si>
  <si>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</si>
  <si>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</si>
  <si>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</si>
  <si>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</si>
  <si>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</si>
  <si>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</si>
  <si>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</si>
  <si>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</si>
  <si>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</si>
  <si>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</si>
  <si>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</si>
  <si>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</si>
  <si>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</si>
  <si>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</si>
  <si>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</si>
  <si>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</si>
  <si>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</si>
  <si>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</si>
  <si>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</si>
  <si>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</si>
  <si>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</si>
  <si>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</si>
  <si>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</si>
  <si>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</si>
  <si>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</si>
  <si>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</si>
  <si>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</si>
  <si>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</si>
  <si>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</si>
  <si>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</si>
  <si>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</si>
  <si>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</si>
  <si>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</si>
  <si>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</si>
  <si>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</si>
  <si>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</si>
  <si>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</si>
  <si>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</si>
  <si>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</si>
  <si>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</si>
  <si>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</si>
  <si>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</si>
  <si>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</si>
  <si>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</si>
  <si>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</si>
  <si>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</si>
  <si>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</si>
  <si>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</si>
  <si>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</si>
  <si>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</si>
  <si>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</si>
  <si>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</si>
  <si>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</si>
  <si>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</si>
  <si>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</si>
  <si>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</si>
  <si>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</si>
  <si>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</si>
  <si>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</si>
  <si>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</si>
  <si>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</si>
  <si>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</si>
  <si>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</si>
  <si>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</si>
  <si>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</si>
  <si>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</si>
  <si>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</si>
  <si>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</si>
  <si>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</si>
  <si>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</si>
  <si>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</si>
  <si>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</si>
  <si>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</si>
  <si>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</si>
  <si>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</si>
  <si>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</si>
  <si>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</si>
  <si>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</si>
  <si>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</si>
  <si>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</si>
  <si>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</si>
  <si>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</si>
  <si>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</si>
  <si>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</si>
  <si>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</si>
  <si>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</si>
  <si>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</si>
  <si>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</si>
  <si>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</si>
  <si>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</si>
  <si>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</si>
  <si>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</si>
  <si>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</si>
  <si>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</si>
  <si>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</si>
  <si>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</si>
  <si>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</si>
  <si>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</si>
  <si>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</si>
  <si>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</si>
  <si>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</si>
  <si>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</si>
  <si>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</si>
  <si>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</si>
  <si>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</si>
  <si>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</si>
  <si>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</si>
  <si>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</si>
  <si>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</si>
  <si>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</si>
  <si>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</si>
  <si>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</si>
  <si>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</si>
  <si>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</si>
  <si>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</si>
  <si>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</si>
  <si>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</si>
  <si>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</si>
  <si>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</si>
  <si>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</si>
  <si>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</si>
  <si>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</si>
  <si>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</si>
  <si>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</si>
  <si>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</si>
  <si>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</si>
  <si>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</si>
  <si>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</si>
  <si>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</si>
  <si>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</si>
  <si>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</si>
  <si>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</si>
  <si>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</si>
  <si>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</si>
  <si>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</si>
  <si>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</si>
  <si>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</si>
  <si>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</si>
  <si>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</si>
  <si>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</si>
  <si>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</si>
  <si>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</si>
  <si>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</si>
  <si>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</si>
  <si>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</si>
  <si>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</si>
  <si>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</si>
  <si>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</si>
  <si>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</si>
  <si>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</si>
  <si>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</si>
  <si>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</si>
  <si>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</si>
  <si>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</si>
  <si>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</si>
  <si>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</si>
  <si>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</si>
  <si>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</si>
  <si>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</si>
  <si>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</si>
  <si>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</si>
  <si>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</si>
  <si>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</si>
  <si>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</si>
  <si>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</si>
  <si>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</si>
  <si>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</si>
  <si>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</si>
  <si>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</si>
  <si>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</si>
  <si>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</si>
  <si>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</si>
  <si>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</si>
  <si>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</si>
  <si>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</si>
  <si>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</si>
  <si>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</si>
  <si>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</si>
  <si>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</si>
  <si>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</si>
  <si>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</si>
  <si>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</si>
  <si>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</si>
  <si>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</si>
  <si>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</si>
  <si>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</si>
  <si>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</si>
  <si>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</si>
  <si>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</si>
  <si>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</si>
  <si>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</si>
  <si>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</si>
  <si>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</si>
  <si>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</si>
  <si>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</si>
  <si>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</si>
  <si>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</si>
  <si>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</si>
  <si>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</si>
  <si>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</si>
  <si>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</si>
  <si>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</si>
  <si>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</si>
  <si>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</si>
  <si>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</si>
  <si>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</si>
  <si>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</si>
  <si>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</si>
  <si>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</si>
  <si>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</si>
  <si>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</si>
  <si>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</si>
  <si>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</si>
  <si>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</si>
  <si>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</si>
  <si>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</si>
  <si>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</si>
  <si>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</si>
  <si>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</si>
  <si>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</si>
  <si>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</si>
  <si>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</si>
  <si>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</si>
  <si>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</si>
  <si>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</si>
  <si>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</si>
  <si>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</si>
  <si>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</si>
  <si>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</si>
  <si>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</si>
  <si>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</si>
  <si>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</si>
  <si>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</si>
  <si>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</si>
  <si>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</si>
  <si>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</si>
  <si>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</si>
  <si>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</si>
  <si>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</si>
  <si>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</si>
  <si>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</si>
  <si>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</si>
  <si>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</si>
  <si>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</si>
  <si>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</si>
  <si>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</si>
  <si>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</si>
  <si>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</si>
  <si>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</si>
  <si>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</si>
  <si>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</si>
  <si>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</si>
  <si>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</si>
  <si>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</si>
  <si>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</si>
  <si>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</si>
  <si>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</si>
  <si>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</si>
  <si>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</si>
  <si>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</si>
  <si>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</si>
  <si>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</si>
  <si>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</si>
  <si>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</si>
  <si>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</si>
  <si>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</si>
  <si>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</si>
  <si>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</si>
  <si>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</si>
  <si>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</si>
  <si>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</si>
  <si>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</si>
  <si>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</si>
  <si>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</si>
  <si>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</si>
  <si>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</si>
  <si>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</si>
  <si>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</si>
  <si>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</si>
  <si>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</si>
  <si>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</si>
  <si>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</si>
  <si>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</si>
  <si>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</si>
  <si>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</si>
  <si>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</si>
  <si>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</si>
  <si>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</si>
  <si>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</si>
  <si>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</si>
  <si>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</si>
  <si>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</si>
  <si>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</si>
  <si>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</si>
  <si>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</si>
  <si>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</si>
  <si>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</si>
  <si>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</si>
  <si>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</si>
  <si>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</si>
  <si>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</si>
  <si>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</si>
  <si>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</si>
  <si>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</si>
  <si>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</si>
  <si>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</si>
  <si>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</si>
  <si>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</si>
  <si>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</si>
  <si>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</si>
  <si>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</si>
  <si>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</si>
  <si>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</si>
  <si>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</si>
  <si>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</si>
  <si>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</si>
  <si>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</si>
  <si>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</si>
  <si>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</si>
  <si>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</si>
  <si>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</si>
  <si>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</si>
  <si>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</si>
  <si>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</si>
  <si>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</si>
  <si>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</si>
  <si>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</si>
  <si>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</si>
  <si>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</si>
  <si>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</si>
  <si>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</si>
  <si>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</si>
  <si>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</si>
  <si>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</si>
  <si>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</si>
  <si>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</si>
  <si>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</si>
  <si>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</si>
  <si>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</si>
  <si>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</si>
  <si>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</si>
  <si>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</si>
  <si>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</si>
  <si>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</si>
  <si>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</si>
  <si>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</si>
  <si>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</si>
  <si>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</si>
  <si>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</si>
  <si>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</si>
  <si>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</si>
  <si>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</si>
  <si>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</si>
  <si>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</si>
  <si>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</si>
  <si>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</si>
  <si>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</si>
  <si>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</si>
  <si>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</si>
  <si>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</si>
  <si>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</si>
  <si>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</si>
  <si>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</si>
  <si>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</si>
  <si>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</si>
  <si>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</si>
  <si>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</si>
  <si>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</si>
  <si>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</si>
  <si>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</si>
  <si>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</si>
  <si>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</si>
  <si>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</si>
  <si>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</si>
  <si>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</si>
  <si>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</si>
  <si>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</si>
  <si>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</si>
  <si>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</si>
  <si>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</si>
  <si>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</si>
  <si>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</si>
  <si>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</si>
  <si>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</si>
  <si>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</si>
  <si>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</si>
  <si>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</si>
  <si>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</si>
  <si>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</si>
  <si>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</si>
  <si>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</si>
  <si>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</si>
  <si>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</si>
  <si>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</si>
  <si>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</si>
  <si>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</si>
  <si>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</si>
  <si>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</si>
  <si>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</si>
  <si>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</si>
  <si>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</si>
  <si>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</si>
  <si>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</si>
  <si>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</si>
  <si>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</si>
  <si>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</si>
  <si>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</si>
  <si>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</si>
  <si>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</si>
  <si>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</si>
  <si>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</si>
  <si>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</si>
  <si>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</si>
  <si>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</si>
  <si>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</si>
  <si>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</si>
  <si>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</si>
  <si>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</si>
  <si>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</si>
  <si>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</si>
  <si>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</si>
  <si>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</si>
  <si>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</si>
  <si>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</si>
  <si>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</si>
  <si>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</si>
  <si>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</si>
  <si>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</si>
  <si>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</si>
  <si>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</si>
  <si>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</si>
  <si>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</si>
  <si>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</si>
  <si>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</si>
  <si>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</si>
  <si>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</si>
  <si>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</si>
  <si>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</si>
  <si>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</si>
  <si>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</si>
  <si>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</si>
  <si>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</si>
  <si>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</si>
  <si>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</si>
  <si>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</si>
  <si>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</si>
  <si>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</si>
  <si>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</si>
  <si>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</si>
  <si>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</si>
  <si>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</si>
  <si>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</si>
  <si>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</si>
  <si>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</si>
  <si>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</si>
  <si>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</si>
  <si>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</si>
  <si>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</si>
  <si>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</si>
  <si>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</si>
  <si>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</si>
  <si>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</si>
  <si>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</si>
  <si>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</si>
  <si>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</si>
  <si>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</si>
  <si>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</si>
  <si>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</si>
  <si>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</si>
  <si>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</si>
  <si>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</si>
  <si>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</si>
  <si>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</si>
  <si>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</si>
  <si>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</si>
  <si>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</si>
  <si>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</si>
  <si>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</si>
  <si>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</si>
  <si>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</si>
  <si>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</si>
  <si>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</si>
  <si>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</si>
  <si>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</si>
  <si>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</si>
  <si>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</si>
  <si>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</si>
  <si>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</si>
  <si>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</si>
  <si>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</si>
  <si>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</si>
  <si>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</si>
  <si>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</si>
  <si>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</si>
  <si>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</si>
  <si>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</si>
  <si>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</si>
  <si>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</si>
  <si>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</si>
  <si>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</si>
  <si>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</si>
  <si>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</si>
  <si>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</si>
  <si>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</si>
  <si>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</si>
  <si>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</si>
  <si>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</si>
  <si>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</si>
  <si>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</si>
  <si>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</si>
  <si>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</si>
  <si>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</si>
  <si>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</si>
  <si>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</si>
  <si>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</si>
  <si>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</si>
  <si>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</si>
  <si>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</si>
  <si>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</si>
  <si>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</si>
  <si>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</si>
  <si>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</si>
  <si>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</si>
  <si>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</si>
  <si>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</si>
  <si>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</si>
  <si>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</si>
  <si>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</si>
  <si>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</si>
  <si>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</si>
  <si>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</si>
  <si>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</si>
  <si>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</si>
  <si>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</si>
  <si>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</si>
  <si>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</si>
  <si>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</si>
  <si>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</si>
  <si>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</si>
  <si>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</si>
  <si>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</si>
  <si>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</si>
  <si>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</si>
  <si>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</si>
  <si>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</si>
  <si>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</si>
  <si>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</si>
  <si>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</si>
  <si>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</si>
  <si>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</si>
  <si>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</si>
  <si>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</si>
  <si>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</si>
  <si>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</si>
  <si>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</si>
  <si>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</si>
  <si>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</si>
  <si>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</si>
  <si>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</si>
  <si>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</si>
  <si>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</si>
  <si>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</si>
  <si>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</si>
  <si>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</si>
  <si>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</si>
  <si>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</si>
  <si>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</si>
  <si>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</si>
  <si>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</si>
  <si>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</si>
  <si>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</si>
  <si>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</si>
  <si>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</si>
  <si>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</si>
  <si>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</si>
  <si>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</si>
  <si>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</si>
  <si>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</si>
  <si>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</si>
  <si>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</si>
  <si>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</si>
  <si>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</si>
  <si>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</si>
  <si>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</si>
  <si>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</si>
  <si>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</si>
  <si>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</si>
  <si>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</si>
  <si>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</si>
  <si>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</si>
  <si>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</si>
  <si>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</si>
  <si>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</si>
  <si>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</si>
  <si>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</si>
  <si>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</si>
  <si>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</si>
  <si>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</si>
  <si>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</si>
  <si>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</si>
  <si>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</si>
  <si>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</si>
  <si>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</si>
  <si>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</si>
  <si>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</si>
  <si>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</si>
  <si>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</si>
  <si>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</si>
  <si>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</si>
  <si>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</si>
  <si>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</si>
  <si>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</si>
  <si>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</si>
  <si>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</si>
  <si>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</si>
  <si>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</si>
  <si>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</si>
  <si>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</si>
  <si>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</si>
  <si>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</si>
  <si>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</si>
  <si>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</si>
  <si>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</si>
  <si>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</si>
  <si>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</si>
  <si>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</si>
  <si>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</si>
  <si>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</si>
  <si>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</si>
  <si>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</si>
  <si>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</si>
  <si>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</si>
  <si>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</si>
  <si>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</si>
  <si>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</si>
  <si>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</si>
  <si>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</si>
  <si>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</si>
  <si>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</si>
  <si>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</si>
  <si>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</si>
  <si>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</si>
  <si>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</si>
  <si>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</si>
  <si>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</si>
  <si>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</si>
  <si>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</si>
  <si>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</si>
  <si>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</si>
  <si>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</si>
  <si>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</si>
  <si>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</si>
  <si>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</si>
  <si>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</si>
  <si>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</si>
  <si>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</si>
  <si>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</si>
  <si>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</si>
  <si>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</si>
  <si>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</si>
  <si>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</si>
  <si>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</si>
  <si>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</si>
  <si>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</si>
  <si>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</si>
  <si>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</si>
  <si>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</si>
  <si>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</si>
  <si>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</si>
  <si>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</si>
  <si>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</si>
  <si>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</si>
  <si>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</si>
  <si>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</si>
  <si>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</si>
  <si>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</si>
  <si>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</si>
  <si>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</si>
  <si>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</si>
  <si>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</si>
  <si>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</si>
  <si>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</si>
  <si>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</si>
  <si>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</si>
  <si>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</si>
  <si>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</si>
  <si>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</si>
  <si>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</si>
  <si>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</si>
  <si>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</si>
  <si>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</si>
  <si>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</si>
  <si>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</si>
  <si>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</si>
  <si>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</si>
  <si>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</si>
  <si>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</si>
  <si>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</si>
  <si>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</si>
  <si>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</si>
  <si>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</si>
  <si>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</si>
  <si>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</si>
  <si>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</si>
  <si>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</si>
  <si>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</si>
  <si>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</si>
  <si>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</si>
  <si>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</si>
  <si>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</si>
  <si>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</si>
  <si>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</si>
  <si>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</si>
  <si>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</si>
  <si>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</si>
  <si>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</si>
  <si>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</si>
  <si>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</si>
  <si>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</si>
  <si>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</si>
  <si>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</si>
  <si>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</si>
  <si>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</si>
  <si>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</si>
  <si>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</si>
  <si>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</si>
  <si>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</si>
  <si>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</si>
  <si>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</si>
  <si>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</si>
  <si>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</si>
  <si>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</si>
  <si>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</si>
  <si>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</si>
  <si>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</si>
  <si>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</si>
  <si>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</si>
  <si>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</si>
  <si>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</si>
  <si>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</si>
  <si>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</si>
  <si>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</si>
  <si>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</si>
  <si>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</si>
  <si>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</si>
  <si>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</si>
  <si>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</si>
  <si>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</si>
  <si>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</si>
  <si>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</si>
  <si>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</si>
  <si>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</si>
  <si>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</si>
  <si>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</si>
  <si>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</si>
  <si>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</si>
  <si>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</si>
  <si>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</si>
  <si>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</si>
  <si>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</si>
  <si>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</si>
  <si>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</si>
  <si>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</si>
  <si>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</si>
  <si>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</si>
  <si>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</si>
  <si>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</si>
  <si>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</si>
  <si>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</si>
  <si>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</si>
  <si>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</si>
  <si>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</si>
  <si>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</si>
  <si>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</si>
  <si>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</si>
  <si>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</si>
  <si>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</si>
  <si>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</si>
  <si>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</si>
  <si>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</si>
  <si>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</si>
  <si>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</si>
  <si>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</si>
  <si>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</si>
  <si>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</si>
  <si>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</si>
  <si>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</si>
  <si>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</si>
  <si>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</si>
  <si>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</si>
  <si>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</si>
  <si>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</si>
  <si>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</si>
  <si>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</si>
  <si>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</si>
  <si>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</si>
  <si>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</si>
  <si>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</si>
  <si>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</si>
  <si>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</si>
  <si>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</si>
  <si>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</si>
  <si>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</si>
  <si>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</si>
  <si>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</si>
  <si>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</si>
  <si>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</si>
  <si>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</si>
  <si>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</si>
  <si>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</si>
  <si>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</si>
  <si>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</si>
  <si>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</si>
  <si>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</si>
  <si>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</si>
  <si>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</si>
  <si>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</si>
  <si>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</si>
  <si>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</si>
  <si>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</si>
  <si>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</si>
  <si>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</si>
  <si>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</si>
  <si>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</si>
  <si>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</si>
  <si>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</si>
  <si>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</si>
  <si>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</si>
  <si>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</si>
  <si>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</si>
  <si>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</si>
  <si>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</si>
  <si>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</si>
  <si>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</si>
  <si>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</si>
  <si>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</si>
  <si>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</si>
  <si>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</si>
  <si>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</si>
  <si>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</si>
  <si>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</si>
  <si>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</si>
  <si>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</si>
  <si>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</si>
  <si>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</si>
  <si>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</si>
  <si>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</si>
  <si>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</si>
  <si>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</si>
  <si>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</si>
  <si>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</si>
  <si>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</si>
  <si>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</si>
  <si>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</si>
  <si>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</si>
  <si>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</si>
  <si>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</si>
  <si>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</si>
  <si>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</si>
  <si>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</si>
  <si>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</si>
  <si>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</si>
  <si>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</si>
  <si>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</si>
  <si>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</si>
  <si>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</si>
  <si>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</si>
  <si>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</si>
  <si>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</si>
  <si>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</si>
  <si>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</si>
  <si>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</si>
  <si>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</si>
  <si>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</si>
  <si>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</si>
  <si>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</si>
  <si>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</si>
  <si>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</si>
  <si>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</si>
  <si>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</si>
  <si>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</si>
  <si>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</si>
  <si>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</si>
  <si>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</si>
  <si>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</si>
  <si>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</si>
  <si>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</si>
  <si>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</si>
  <si>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</si>
  <si>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</si>
  <si>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</si>
  <si>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</si>
  <si>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</si>
  <si>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</si>
  <si>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</si>
  <si>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</si>
  <si>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</si>
  <si>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</si>
  <si>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</si>
  <si>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</si>
  <si>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</si>
  <si>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</si>
  <si>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</si>
  <si>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</si>
  <si>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</si>
  <si>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</si>
  <si>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</si>
  <si>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</si>
  <si>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</si>
  <si>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</si>
  <si>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</si>
  <si>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</si>
  <si>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</si>
  <si>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</si>
  <si>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</si>
  <si>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</si>
  <si>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</si>
  <si>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</si>
  <si>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</si>
  <si>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</si>
  <si>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</si>
  <si>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</si>
  <si>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</si>
  <si>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</si>
  <si>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</si>
  <si>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</si>
  <si>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</si>
  <si>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</si>
  <si>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</si>
  <si>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</si>
  <si>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</si>
  <si>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</si>
  <si>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</si>
  <si>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</si>
  <si>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</si>
  <si>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</si>
  <si>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</si>
  <si>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</si>
  <si>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</si>
  <si>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</si>
  <si>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</si>
  <si>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</si>
  <si>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</si>
  <si>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</si>
  <si>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</si>
  <si>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</si>
  <si>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</si>
  <si>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</si>
  <si>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</si>
  <si>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</si>
  <si>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</si>
  <si>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</si>
  <si>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</si>
  <si>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</si>
  <si>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</si>
  <si>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</si>
  <si>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</si>
  <si>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</si>
  <si>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</si>
  <si>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</si>
  <si>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</si>
  <si>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</si>
  <si>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</si>
  <si>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</si>
  <si>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</si>
  <si>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</si>
  <si>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</si>
  <si>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</si>
  <si>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</si>
  <si>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</si>
  <si>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</si>
  <si>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</si>
  <si>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</si>
  <si>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</si>
  <si>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</si>
  <si>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</si>
  <si>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</si>
  <si>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</si>
  <si>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</si>
  <si>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</si>
  <si>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</si>
  <si>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</si>
  <si>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</si>
  <si>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</si>
  <si>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</si>
  <si>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</si>
  <si>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</si>
  <si>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</si>
  <si>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</si>
  <si>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</si>
  <si>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</si>
  <si>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</si>
  <si>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</si>
  <si>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</si>
  <si>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</si>
  <si>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</si>
  <si>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</si>
  <si>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</si>
  <si>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</si>
  <si>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</si>
  <si>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</si>
  <si>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</si>
  <si>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</si>
  <si>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</si>
  <si>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</si>
  <si>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</si>
  <si>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</si>
  <si>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</si>
  <si>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</si>
  <si>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</si>
  <si>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</si>
  <si>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</si>
  <si>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</si>
  <si>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</si>
  <si>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</si>
  <si>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</si>
  <si>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</si>
  <si>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</si>
  <si>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</si>
  <si>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</si>
  <si>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</si>
  <si>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</si>
  <si>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</si>
  <si>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</si>
  <si>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</si>
  <si>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</si>
  <si>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</si>
  <si>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</si>
  <si>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</si>
  <si>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</si>
  <si>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</si>
  <si>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</si>
  <si>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</si>
  <si>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</si>
  <si>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</si>
  <si>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</si>
  <si>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</si>
  <si>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</si>
  <si>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</si>
  <si>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</si>
  <si>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</si>
  <si>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</si>
  <si>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</si>
  <si>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</si>
  <si>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</si>
  <si>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</si>
  <si>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</si>
  <si>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</si>
  <si>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</si>
  <si>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</si>
  <si>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</si>
  <si>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</si>
  <si>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</si>
  <si>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</si>
  <si>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</si>
  <si>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</si>
  <si>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</si>
  <si>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</si>
  <si>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</si>
  <si>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</si>
  <si>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</si>
  <si>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</si>
  <si>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</si>
  <si>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</si>
  <si>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</si>
  <si>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</si>
  <si>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</si>
  <si>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</si>
  <si>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</si>
  <si>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</si>
  <si>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</si>
  <si>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</si>
  <si>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</si>
  <si>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</si>
  <si>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</si>
  <si>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</si>
  <si>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</si>
  <si>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</si>
  <si>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</si>
  <si>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</si>
  <si>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</si>
  <si>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</si>
  <si>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</si>
  <si>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</si>
  <si>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</si>
  <si>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</si>
  <si>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</si>
  <si>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</si>
  <si>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</si>
  <si>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</si>
  <si>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</si>
  <si>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</si>
  <si>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</si>
  <si>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</si>
  <si>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</si>
  <si>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</si>
  <si>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</si>
  <si>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</si>
  <si>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</si>
  <si>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</si>
  <si>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</si>
  <si>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</si>
  <si>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</si>
  <si>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</si>
  <si>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</si>
  <si>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</si>
  <si>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</si>
  <si>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</si>
  <si>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</si>
  <si>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</si>
  <si>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</si>
  <si>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</si>
  <si>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</si>
  <si>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</si>
  <si>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</si>
  <si>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</si>
  <si>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</si>
  <si>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</si>
  <si>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</si>
  <si>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</si>
  <si>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</si>
  <si>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</si>
  <si>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</si>
  <si>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</si>
  <si>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</si>
  <si>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</si>
  <si>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</si>
  <si>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</si>
  <si>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</si>
  <si>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</si>
  <si>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</si>
  <si>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</si>
  <si>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</si>
  <si>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</si>
  <si>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</si>
  <si>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</si>
  <si>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</si>
  <si>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</si>
  <si>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</si>
  <si>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</si>
  <si>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</si>
  <si>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</si>
  <si>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</si>
  <si>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</si>
  <si>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</si>
  <si>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</si>
  <si>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</si>
  <si>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</si>
  <si>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</si>
  <si>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</si>
  <si>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</si>
  <si>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</si>
  <si>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</si>
  <si>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</si>
  <si>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</si>
  <si>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</si>
  <si>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</si>
  <si>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</si>
  <si>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</si>
  <si>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</si>
  <si>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</si>
  <si>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</si>
  <si>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</si>
  <si>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</si>
  <si>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</si>
  <si>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</si>
  <si>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</si>
  <si>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</si>
  <si>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</si>
  <si>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</si>
  <si>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</si>
  <si>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</si>
  <si>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</si>
  <si>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</si>
  <si>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</si>
  <si>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</si>
  <si>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</si>
  <si>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</si>
  <si>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</si>
  <si>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</si>
  <si>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</si>
  <si>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</si>
  <si>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</si>
  <si>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</si>
  <si>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</si>
  <si>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</si>
  <si>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</si>
  <si>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</si>
  <si>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</si>
  <si>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</si>
  <si>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</si>
  <si>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</si>
  <si>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</si>
  <si>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</si>
  <si>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</si>
  <si>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</si>
  <si>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</si>
  <si>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</si>
  <si>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</si>
  <si>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</si>
  <si>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</si>
  <si>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</si>
  <si>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</si>
  <si>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</si>
  <si>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</si>
  <si>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</si>
  <si>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</si>
  <si>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</si>
  <si>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</si>
  <si>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</si>
  <si>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</si>
  <si>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</si>
  <si>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</si>
  <si>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</si>
  <si>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</si>
  <si>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</si>
  <si>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</si>
  <si>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</si>
  <si>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</si>
  <si>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</si>
  <si>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</si>
  <si>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</si>
  <si>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</si>
  <si>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</si>
  <si>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</si>
  <si>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</si>
  <si>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</si>
  <si>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</si>
  <si>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</si>
  <si>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</si>
  <si>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</si>
  <si>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</si>
  <si>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</si>
  <si>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</si>
  <si>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</si>
  <si>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</si>
  <si>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</si>
  <si>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</si>
  <si>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</si>
  <si>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</si>
  <si>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</si>
  <si>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</si>
  <si>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</si>
  <si>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</si>
  <si>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</si>
  <si>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</si>
  <si>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</si>
  <si>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</si>
  <si>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</si>
  <si>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</si>
  <si>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</si>
  <si>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</si>
  <si>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</si>
  <si>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</si>
  <si>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</si>
  <si>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</si>
  <si>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</si>
  <si>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</si>
  <si>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</si>
  <si>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</si>
  <si>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</si>
  <si>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</si>
  <si>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</si>
  <si>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</si>
  <si>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</si>
  <si>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</si>
  <si>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</si>
  <si>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</si>
  <si>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</si>
  <si>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</si>
  <si>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</si>
  <si>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</si>
  <si>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</si>
  <si>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</si>
  <si>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</si>
  <si>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</si>
  <si>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</si>
  <si>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</si>
  <si>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</si>
  <si>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</si>
  <si>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</si>
  <si>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</si>
  <si>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</si>
  <si>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</si>
  <si>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</si>
  <si>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</si>
  <si>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</si>
  <si>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</si>
  <si>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</si>
  <si>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</si>
  <si>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</si>
  <si>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</si>
  <si>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</si>
  <si>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</si>
  <si>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</si>
  <si>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</si>
  <si>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</si>
  <si>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</si>
  <si>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</si>
  <si>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</si>
  <si>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</si>
  <si>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</si>
  <si>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</si>
  <si>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</si>
  <si>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</si>
  <si>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</si>
  <si>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</si>
  <si>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</si>
  <si>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</si>
  <si>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</si>
  <si>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</si>
  <si>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</si>
  <si>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</si>
  <si>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</si>
  <si>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</si>
  <si>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</si>
  <si>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</si>
  <si>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</si>
  <si>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</si>
  <si>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</si>
  <si>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</si>
  <si>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</si>
  <si>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</si>
  <si>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</si>
  <si>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</si>
  <si>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</si>
  <si>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</si>
  <si>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</si>
  <si>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</si>
  <si>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</si>
  <si>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</si>
  <si>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</si>
  <si>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</si>
  <si>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</si>
  <si>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</si>
  <si>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</si>
  <si>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</si>
  <si>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</si>
  <si>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</si>
  <si>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</si>
  <si>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</si>
  <si>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</si>
  <si>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</si>
  <si>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</si>
  <si>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</si>
  <si>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</si>
  <si>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</si>
  <si>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</si>
  <si>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</si>
  <si>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</si>
  <si>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</si>
  <si>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</si>
  <si>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</si>
  <si>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</si>
  <si>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</si>
  <si>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</si>
  <si>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</si>
  <si>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</si>
  <si>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</si>
  <si>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</si>
  <si>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</si>
  <si>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</si>
  <si>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</si>
  <si>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</si>
  <si>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</si>
  <si>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</si>
  <si>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</si>
  <si>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</si>
  <si>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</si>
  <si>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</si>
  <si>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</si>
  <si>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</si>
  <si>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</si>
  <si>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</si>
  <si>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</si>
  <si>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</si>
  <si>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</si>
  <si>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</si>
  <si>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</si>
  <si>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</si>
  <si>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</si>
  <si>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</si>
  <si>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</si>
  <si>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</si>
  <si>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</si>
  <si>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</si>
  <si>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</si>
  <si>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</si>
  <si>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</si>
  <si>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</si>
  <si>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</si>
  <si>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</si>
  <si>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</si>
  <si>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</si>
  <si>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</si>
  <si>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</si>
  <si>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</si>
  <si>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</si>
  <si>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</si>
  <si>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</si>
  <si>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</si>
  <si>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</si>
  <si>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</si>
  <si>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</si>
  <si>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</si>
  <si>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</si>
  <si>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</si>
  <si>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</si>
  <si>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</si>
  <si>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</si>
  <si>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</si>
  <si>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</si>
  <si>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</si>
  <si>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</si>
  <si>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</si>
  <si>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</si>
  <si>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</si>
  <si>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</si>
  <si>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</si>
  <si>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</si>
  <si>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</si>
  <si>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</si>
  <si>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</si>
  <si>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</si>
  <si>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</si>
  <si>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</si>
  <si>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</si>
  <si>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</si>
  <si>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</si>
  <si>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</si>
  <si>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</si>
  <si>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</si>
  <si>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</si>
  <si>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</si>
  <si>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</si>
  <si>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</si>
  <si>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</si>
  <si>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</si>
  <si>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</si>
  <si>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</si>
  <si>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</si>
  <si>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</si>
  <si>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</si>
  <si>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</si>
  <si>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</si>
  <si>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</si>
  <si>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</si>
  <si>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</si>
  <si>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</si>
  <si>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</si>
  <si>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</si>
  <si>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</si>
  <si>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</si>
  <si>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</si>
  <si>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</si>
  <si>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</si>
  <si>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</si>
  <si>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</si>
  <si>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</si>
  <si>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</si>
  <si>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</si>
  <si>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</si>
  <si>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</si>
  <si>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</si>
  <si>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</si>
  <si>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</si>
  <si>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</si>
  <si>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</si>
  <si>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</si>
  <si>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</si>
  <si>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</si>
  <si>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</si>
  <si>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</si>
  <si>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</si>
  <si>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</si>
  <si>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</si>
  <si>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</si>
  <si>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</si>
  <si>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</si>
  <si>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</si>
  <si>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</si>
  <si>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</si>
  <si>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</si>
  <si>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</si>
  <si>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</si>
  <si>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</si>
  <si>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</si>
  <si>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</si>
  <si>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</si>
  <si>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</si>
  <si>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</si>
  <si>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</si>
  <si>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</si>
  <si>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</si>
  <si>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</si>
  <si>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</si>
  <si>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</si>
  <si>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</si>
  <si>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</si>
  <si>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</si>
  <si>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</si>
  <si>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</si>
  <si>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</si>
  <si>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</si>
  <si>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</si>
  <si>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</si>
  <si>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</si>
  <si>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</si>
  <si>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</si>
  <si>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</si>
  <si>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</si>
  <si>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</si>
  <si>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</si>
  <si>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</si>
  <si>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</si>
  <si>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</si>
  <si>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</si>
  <si>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</si>
  <si>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</si>
  <si>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</si>
  <si>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</si>
  <si>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</si>
  <si>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</si>
  <si>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</si>
  <si>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</si>
  <si>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</si>
  <si>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</si>
  <si>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</si>
  <si>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</si>
  <si>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</si>
  <si>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</si>
  <si>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</si>
  <si>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</si>
  <si>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</si>
  <si>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</si>
  <si>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</si>
  <si>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</si>
  <si>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</si>
  <si>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</si>
  <si>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</si>
  <si>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</si>
  <si>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</si>
  <si>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</si>
  <si>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</si>
  <si>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</si>
  <si>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</si>
  <si>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</si>
  <si>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</si>
  <si>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</si>
  <si>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</si>
  <si>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</si>
  <si>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</si>
  <si>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</si>
  <si>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</si>
  <si>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</si>
  <si>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</si>
  <si>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</si>
  <si>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</si>
  <si>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</si>
  <si>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</si>
  <si>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</si>
  <si>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</si>
  <si>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</si>
  <si>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</si>
  <si>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</si>
  <si>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</si>
  <si>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</si>
  <si>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</si>
  <si>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</si>
  <si>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</si>
  <si>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</si>
  <si>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</si>
  <si>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</si>
  <si>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</si>
  <si>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</si>
  <si>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</si>
  <si>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</si>
  <si>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</si>
  <si>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</si>
  <si>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</si>
  <si>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</si>
  <si>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</si>
  <si>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</si>
  <si>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</si>
  <si>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</si>
  <si>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</si>
  <si>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</si>
  <si>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</si>
  <si>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</si>
  <si>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</si>
  <si>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</si>
  <si>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</si>
  <si>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</si>
  <si>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</si>
  <si>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</si>
  <si>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</si>
  <si>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</si>
  <si>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</si>
  <si>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</si>
  <si>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</si>
  <si>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</si>
  <si>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</si>
  <si>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</si>
  <si>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</si>
  <si>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</si>
  <si>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</si>
  <si>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</si>
  <si>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</si>
  <si>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</si>
  <si>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</si>
  <si>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</si>
  <si>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</si>
  <si>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</si>
  <si>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</si>
  <si>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</si>
  <si>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</si>
  <si>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</si>
  <si>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</si>
  <si>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</si>
  <si>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</si>
  <si>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</si>
  <si>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</si>
  <si>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</si>
  <si>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</si>
  <si>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</si>
  <si>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</si>
  <si>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</si>
  <si>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</si>
  <si>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</si>
  <si>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</si>
  <si>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</si>
  <si>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</si>
  <si>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</si>
  <si>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</si>
  <si>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</si>
  <si>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</si>
  <si>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</si>
  <si>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</si>
  <si>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</si>
  <si>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</si>
  <si>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</si>
  <si>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</si>
  <si>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</si>
  <si>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</si>
  <si>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</si>
  <si>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</si>
  <si>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</si>
  <si>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</si>
  <si>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</si>
  <si>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</si>
  <si>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</si>
  <si>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</si>
  <si>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</si>
  <si>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</si>
  <si>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</si>
  <si>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</si>
  <si>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</si>
  <si>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</si>
  <si>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</si>
  <si>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</si>
  <si>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</si>
  <si>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</si>
  <si>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</si>
  <si>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</si>
  <si>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</si>
  <si>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</si>
  <si>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</si>
  <si>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</si>
  <si>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</si>
  <si>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</si>
  <si>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</si>
  <si>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</si>
  <si>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</si>
  <si>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</si>
  <si>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</si>
  <si>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</si>
  <si>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</si>
  <si>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</si>
  <si>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</si>
  <si>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</si>
  <si>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</si>
  <si>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</si>
  <si>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</si>
  <si>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</si>
  <si>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</si>
  <si>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</si>
  <si>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</si>
  <si>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</si>
  <si>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</si>
  <si>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</si>
  <si>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</si>
  <si>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</si>
  <si>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</si>
  <si>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</si>
  <si>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</si>
  <si>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</si>
  <si>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</si>
  <si>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</si>
  <si>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</si>
  <si>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</si>
  <si>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</si>
  <si>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</si>
  <si>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</si>
  <si>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</si>
  <si>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</si>
  <si>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</si>
  <si>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</si>
  <si>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</si>
  <si>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</si>
  <si>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</si>
  <si>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</si>
  <si>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</si>
  <si>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</si>
  <si>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</si>
  <si>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</si>
  <si>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</si>
  <si>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</si>
  <si>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</si>
  <si>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</si>
  <si>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</si>
  <si>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</si>
  <si>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</si>
  <si>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</si>
  <si>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</si>
  <si>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</si>
  <si>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</si>
  <si>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</si>
  <si>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</si>
  <si>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</si>
  <si>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</si>
  <si>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</si>
  <si>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</si>
  <si>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</si>
  <si>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</si>
  <si>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</si>
  <si>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</si>
  <si>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</si>
  <si>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</si>
  <si>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</si>
  <si>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</si>
  <si>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</si>
  <si>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</si>
  <si>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</si>
  <si>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</si>
  <si>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</si>
  <si>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</si>
  <si>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</si>
  <si>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</si>
  <si>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</si>
  <si>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</si>
  <si>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</si>
  <si>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</si>
  <si>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</si>
  <si>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</si>
  <si>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</si>
  <si>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</si>
  <si>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</si>
  <si>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</si>
  <si>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</si>
  <si>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</si>
  <si>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</si>
  <si>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</si>
  <si>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</si>
  <si>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</si>
  <si>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</si>
  <si>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</si>
  <si>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</si>
  <si>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</si>
  <si>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</si>
  <si>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</si>
  <si>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</si>
  <si>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</si>
  <si>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</si>
  <si>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</si>
  <si>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</si>
  <si>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</si>
  <si>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</si>
  <si>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</si>
  <si>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</si>
  <si>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</si>
  <si>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</si>
  <si>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</si>
  <si>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</si>
  <si>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</si>
  <si>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</si>
  <si>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</si>
  <si>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</si>
  <si>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</si>
  <si>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</si>
  <si>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</si>
  <si>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</si>
  <si>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</si>
  <si>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</si>
  <si>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</si>
  <si>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</si>
  <si>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</si>
  <si>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</si>
  <si>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</si>
  <si>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</si>
  <si>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</si>
  <si>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</si>
  <si>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</si>
  <si>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</si>
  <si>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</si>
  <si>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</si>
  <si>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</si>
  <si>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</si>
  <si>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</si>
  <si>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</si>
  <si>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</si>
  <si>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</si>
  <si>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</si>
  <si>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</si>
  <si>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</si>
  <si>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</si>
  <si>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</si>
  <si>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</si>
  <si>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</si>
  <si>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</si>
  <si>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</si>
  <si>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</si>
  <si>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</si>
  <si>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</si>
  <si>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</si>
  <si>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</si>
  <si>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</si>
  <si>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</si>
  <si>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</si>
  <si>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</si>
  <si>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</si>
  <si>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</si>
  <si>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</si>
  <si>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</si>
  <si>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</si>
  <si>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</si>
  <si>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</si>
  <si>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</si>
  <si>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</si>
  <si>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</si>
  <si>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</si>
  <si>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</si>
  <si>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</si>
  <si>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</si>
  <si>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</si>
  <si>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</si>
  <si>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</si>
  <si>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</si>
  <si>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</si>
  <si>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</si>
  <si>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</si>
  <si>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</si>
  <si>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</si>
  <si>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</si>
  <si>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</si>
  <si>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</si>
  <si>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</si>
  <si>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</si>
  <si>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</si>
  <si>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</si>
  <si>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</si>
  <si>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</si>
  <si>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</si>
  <si>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</si>
  <si>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</si>
  <si>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</si>
  <si>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</si>
  <si>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</si>
  <si>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</si>
  <si>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</si>
  <si>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</si>
  <si>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</si>
  <si>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</si>
  <si>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</si>
  <si>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</si>
  <si>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</si>
  <si>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</si>
  <si>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</si>
  <si>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</si>
  <si>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</si>
  <si>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</si>
  <si>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</si>
  <si>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</si>
  <si>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</si>
  <si>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</si>
  <si>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</si>
  <si>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</si>
  <si>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</si>
  <si>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</si>
  <si>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</si>
  <si>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</si>
  <si>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</si>
  <si>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</si>
  <si>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</si>
  <si>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</si>
  <si>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</si>
  <si>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</si>
  <si>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</si>
  <si>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</si>
  <si>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</si>
  <si>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</si>
  <si>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</si>
  <si>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</si>
  <si>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</si>
  <si>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</si>
  <si>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</si>
  <si>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</si>
  <si>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</si>
  <si>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</si>
  <si>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</si>
  <si>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</si>
  <si>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</si>
  <si>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</si>
  <si>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</si>
  <si>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</si>
  <si>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</si>
  <si>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</si>
  <si>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</si>
  <si>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</si>
  <si>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</si>
  <si>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</si>
  <si>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</si>
  <si>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</si>
  <si>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</si>
  <si>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</si>
  <si>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</si>
  <si>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</si>
  <si>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</si>
  <si>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</si>
  <si>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</si>
  <si>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</si>
  <si>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</si>
  <si>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</si>
  <si>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</si>
  <si>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</si>
  <si>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</si>
  <si>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</si>
  <si>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</si>
  <si>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</si>
  <si>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</si>
  <si>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</si>
  <si>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</si>
  <si>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</si>
  <si>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</si>
  <si>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</si>
  <si>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</si>
  <si>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</si>
  <si>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</si>
  <si>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</si>
  <si>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</si>
  <si>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</si>
  <si>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</si>
  <si>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</si>
  <si>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</si>
  <si>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</si>
  <si>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</si>
  <si>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</si>
  <si>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</si>
  <si>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</si>
  <si>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</si>
  <si>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</si>
  <si>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</si>
  <si>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</si>
  <si>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</si>
  <si>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</si>
  <si>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</si>
  <si>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</si>
  <si>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</si>
  <si>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</si>
  <si>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</si>
  <si>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</si>
  <si>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</si>
  <si>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</si>
  <si>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</si>
  <si>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</si>
  <si>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</si>
  <si>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</si>
  <si>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</si>
  <si>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</si>
  <si>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</si>
  <si>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</si>
  <si>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</si>
  <si>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</si>
  <si>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</si>
  <si>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</si>
  <si>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</si>
  <si>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</si>
  <si>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</si>
  <si>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</si>
  <si>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</si>
  <si>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</si>
  <si>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</si>
  <si>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</si>
  <si>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</si>
  <si>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</si>
  <si>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</si>
  <si>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</si>
  <si>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</si>
  <si>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</si>
  <si>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</si>
  <si>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</si>
  <si>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</si>
  <si>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</si>
  <si>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</si>
  <si>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</si>
  <si>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</si>
  <si>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</si>
  <si>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</si>
  <si>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</si>
  <si>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</si>
  <si>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</si>
  <si>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</si>
  <si>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</si>
  <si>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</si>
  <si>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</si>
  <si>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</si>
  <si>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</si>
  <si>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</si>
  <si>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</si>
  <si>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</si>
  <si>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</si>
  <si>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</si>
  <si>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</si>
  <si>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</si>
  <si>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</si>
  <si>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</si>
  <si>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</si>
  <si>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</si>
  <si>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</si>
  <si>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</si>
  <si>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</si>
  <si>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</si>
  <si>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</si>
  <si>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</si>
  <si>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</si>
  <si>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</si>
  <si>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</si>
  <si>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</si>
  <si>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</si>
  <si>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</si>
  <si>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</si>
  <si>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</si>
  <si>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</si>
  <si>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</si>
  <si>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</si>
  <si>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</si>
  <si>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</si>
  <si>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</si>
  <si>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</si>
  <si>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</si>
  <si>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</si>
  <si>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</si>
  <si>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</si>
  <si>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</si>
  <si>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</si>
  <si>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</si>
  <si>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</si>
  <si>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</si>
  <si>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</si>
  <si>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</si>
  <si>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</si>
  <si>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</si>
  <si>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</si>
  <si>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</si>
  <si>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</si>
  <si>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</si>
  <si>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</si>
  <si>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</si>
  <si>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</si>
  <si>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</si>
  <si>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</si>
  <si>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</si>
  <si>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</si>
  <si>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</si>
  <si>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</si>
  <si>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</si>
  <si>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</si>
  <si>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</si>
  <si>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</si>
  <si>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</si>
  <si>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</si>
  <si>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</si>
  <si>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</si>
  <si>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</si>
  <si>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</si>
  <si>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</si>
  <si>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</si>
  <si>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</si>
  <si>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</si>
  <si>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</si>
  <si>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</si>
  <si>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</si>
  <si>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</si>
  <si>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</si>
  <si>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</si>
  <si>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</si>
  <si>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</si>
  <si>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</si>
  <si>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</si>
  <si>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</si>
  <si>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</si>
  <si>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</si>
  <si>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</si>
  <si>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</si>
  <si>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</si>
  <si>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</si>
  <si>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</si>
  <si>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</si>
  <si>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</si>
  <si>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</si>
  <si>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</si>
  <si>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</si>
  <si>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</si>
  <si>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</si>
  <si>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</si>
  <si>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</si>
  <si>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</si>
  <si>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</si>
  <si>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</si>
  <si>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</si>
  <si>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</si>
  <si>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</si>
  <si>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</si>
  <si>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</si>
  <si>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</si>
  <si>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</si>
  <si>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</si>
  <si>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</si>
  <si>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</si>
  <si>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</si>
  <si>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</si>
  <si>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</si>
  <si>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</si>
  <si>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</si>
  <si>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</si>
  <si>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</si>
  <si>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</si>
  <si>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</si>
  <si>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</si>
  <si>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</si>
  <si>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</si>
  <si>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</si>
  <si>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</si>
  <si>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</si>
  <si>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</si>
  <si>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</si>
  <si>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</si>
  <si>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</si>
  <si>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</si>
  <si>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</si>
  <si>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</si>
  <si>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</si>
  <si>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</si>
  <si>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</si>
  <si>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</si>
  <si>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</si>
  <si>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</si>
  <si>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</si>
  <si>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</si>
  <si>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</si>
  <si>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</si>
  <si>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</si>
  <si>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</si>
  <si>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</si>
  <si>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</si>
  <si>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</si>
  <si>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</si>
  <si>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</si>
  <si>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</si>
  <si>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</si>
  <si>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</si>
  <si>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</si>
  <si>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</si>
  <si>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</si>
  <si>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</si>
  <si>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</si>
  <si>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</si>
  <si>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</si>
  <si>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</si>
  <si>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</si>
  <si>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</si>
  <si>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</si>
  <si>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</si>
  <si>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</si>
  <si>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</si>
  <si>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</si>
  <si>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</si>
  <si>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</si>
  <si>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</si>
  <si>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</si>
  <si>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</si>
  <si>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</si>
  <si>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</si>
  <si>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</si>
  <si>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</si>
  <si>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</si>
  <si>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</si>
  <si>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</si>
  <si>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</si>
  <si>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</si>
  <si>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</si>
  <si>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</si>
  <si>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</si>
  <si>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</si>
  <si>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</si>
  <si>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</si>
  <si>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</si>
  <si>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</si>
  <si>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</si>
  <si>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</si>
  <si>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</si>
  <si>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</si>
  <si>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</si>
  <si>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</si>
  <si>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</si>
  <si>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</si>
  <si>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</si>
  <si>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</si>
  <si>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</si>
  <si>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</si>
  <si>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</si>
  <si>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</si>
  <si>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</si>
  <si>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</si>
  <si>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</si>
  <si>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</si>
  <si>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</si>
  <si>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</si>
  <si>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</si>
  <si>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</si>
  <si>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</si>
  <si>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</si>
  <si>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</si>
  <si>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</si>
  <si>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</si>
  <si>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</si>
  <si>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</si>
  <si>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</si>
  <si>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</si>
  <si>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</si>
  <si>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</si>
  <si>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</si>
  <si>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</si>
  <si>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</si>
  <si>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</si>
  <si>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</si>
  <si>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</si>
  <si>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</si>
  <si>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</si>
  <si>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</si>
  <si>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</si>
  <si>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</si>
  <si>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</si>
  <si>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</si>
  <si>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</si>
  <si>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</si>
  <si>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</si>
  <si>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</si>
  <si>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</si>
  <si>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</si>
  <si>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</si>
  <si>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</si>
  <si>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</si>
  <si>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</si>
  <si>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</si>
  <si>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</si>
  <si>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</si>
  <si>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</si>
  <si>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</si>
  <si>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</si>
  <si>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</si>
  <si>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</si>
  <si>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</si>
  <si>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</si>
  <si>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</si>
  <si>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</si>
  <si>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</si>
  <si>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</si>
  <si>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</si>
  <si>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</si>
  <si>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</si>
  <si>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</si>
  <si>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</si>
  <si>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</si>
  <si>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</si>
  <si>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</si>
  <si>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</si>
  <si>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</si>
  <si>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</si>
  <si>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</si>
  <si>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</si>
  <si>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</si>
  <si>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</si>
  <si>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</si>
  <si>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</si>
  <si>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</si>
  <si>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</si>
  <si>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</si>
  <si>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</si>
  <si>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</si>
  <si>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</si>
  <si>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</si>
  <si>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</si>
  <si>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</si>
  <si>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</si>
  <si>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</si>
  <si>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</si>
  <si>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</si>
  <si>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</si>
  <si>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</si>
  <si>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</si>
  <si>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</si>
  <si>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</si>
  <si>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</si>
  <si>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</si>
  <si>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</si>
  <si>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</si>
  <si>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</si>
  <si>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</si>
  <si>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</si>
  <si>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</si>
  <si>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</si>
  <si>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</si>
  <si>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</si>
  <si>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</si>
  <si>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</si>
  <si>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</si>
  <si>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</si>
  <si>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</si>
  <si>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</si>
  <si>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</si>
  <si>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</si>
  <si>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</si>
  <si>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</si>
  <si>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</si>
  <si>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</si>
  <si>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</si>
  <si>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</si>
  <si>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</si>
  <si>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</si>
  <si>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</si>
  <si>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</si>
  <si>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</si>
  <si>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</si>
  <si>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</si>
  <si>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</si>
  <si>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</si>
  <si>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</si>
  <si>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</si>
  <si>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</si>
  <si>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</si>
  <si>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</si>
  <si>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</si>
  <si>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</si>
  <si>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</si>
  <si>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</si>
  <si>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</si>
  <si>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</si>
  <si>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</si>
  <si>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</si>
  <si>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</si>
  <si>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</si>
  <si>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</si>
  <si>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</si>
  <si>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</si>
  <si>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</si>
  <si>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</si>
  <si>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</si>
  <si>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</si>
  <si>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</si>
  <si>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</si>
  <si>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</si>
  <si>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</si>
  <si>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</si>
  <si>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</si>
  <si>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</si>
  <si>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</si>
  <si>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</si>
  <si>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</si>
  <si>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</si>
  <si>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</si>
  <si>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</si>
  <si>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</si>
  <si>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</si>
  <si>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</si>
  <si>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</si>
  <si>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</si>
  <si>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</si>
  <si>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</si>
  <si>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</si>
  <si>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</si>
  <si>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</si>
  <si>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</si>
  <si>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</si>
  <si>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</si>
  <si>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</si>
  <si>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</si>
  <si>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</si>
  <si>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</si>
  <si>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</si>
  <si>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</si>
  <si>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</si>
  <si>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</si>
  <si>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</si>
  <si>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</si>
  <si>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</si>
  <si>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</si>
  <si>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</si>
  <si>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</si>
  <si>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</si>
  <si>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</si>
  <si>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</si>
  <si>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</si>
  <si>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</si>
  <si>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</si>
  <si>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</si>
  <si>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</si>
  <si>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</si>
  <si>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</si>
  <si>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</si>
  <si>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</si>
  <si>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</si>
  <si>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</si>
  <si>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</si>
  <si>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</si>
  <si>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</si>
  <si>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</si>
  <si>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</si>
  <si>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</si>
  <si>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</si>
  <si>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</si>
  <si>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</si>
  <si>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</si>
  <si>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</si>
  <si>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</si>
  <si>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</si>
  <si>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</si>
  <si>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</si>
  <si>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</si>
  <si>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</si>
  <si>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</si>
  <si>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</si>
  <si>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</si>
  <si>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</si>
  <si>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</si>
  <si>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</si>
  <si>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</si>
  <si>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</si>
  <si>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</si>
  <si>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</si>
  <si>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</si>
  <si>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</si>
  <si>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</si>
  <si>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</si>
  <si>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</si>
  <si>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</si>
  <si>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</si>
  <si>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</si>
  <si>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</si>
  <si>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</si>
  <si>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</si>
  <si>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</si>
  <si>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</si>
  <si>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</si>
  <si>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</si>
  <si>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</si>
  <si>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</si>
  <si>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</si>
  <si>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</si>
  <si>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</si>
  <si>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</si>
  <si>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</si>
  <si>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</si>
  <si>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</si>
  <si>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</si>
  <si>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</si>
  <si>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</si>
  <si>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</si>
  <si>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</si>
  <si>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</si>
  <si>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</si>
  <si>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</si>
  <si>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</si>
  <si>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</si>
  <si>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</si>
  <si>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</si>
  <si>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</si>
  <si>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</si>
  <si>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</si>
  <si>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</si>
  <si>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</si>
  <si>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</si>
  <si>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</si>
  <si>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</si>
  <si>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</si>
  <si>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</si>
  <si>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</si>
  <si>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</si>
  <si>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</si>
  <si>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</si>
  <si>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</si>
  <si>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</si>
  <si>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</si>
  <si>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</si>
  <si>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</si>
  <si>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</si>
  <si>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</si>
  <si>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</si>
  <si>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</si>
  <si>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</si>
  <si>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</si>
  <si>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</si>
  <si>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</si>
  <si>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</si>
  <si>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</si>
  <si>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</si>
  <si>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</si>
  <si>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</si>
  <si>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</si>
  <si>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</si>
  <si>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</si>
  <si>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</si>
  <si>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</si>
  <si>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</si>
  <si>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</si>
  <si>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</si>
  <si>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</si>
  <si>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</si>
  <si>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</si>
  <si>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</si>
  <si>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</si>
  <si>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</si>
  <si>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</si>
  <si>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</si>
  <si>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</si>
  <si>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</si>
  <si>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</si>
  <si>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</si>
  <si>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</si>
  <si>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</si>
  <si>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</si>
  <si>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</si>
  <si>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</si>
  <si>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</si>
  <si>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</si>
  <si>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</si>
  <si>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</si>
  <si>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</si>
  <si>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</si>
  <si>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</si>
  <si>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</si>
  <si>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</si>
  <si>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</si>
  <si>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</si>
  <si>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</si>
  <si>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</si>
  <si>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</si>
  <si>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</si>
  <si>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</si>
  <si>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</si>
  <si>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</si>
  <si>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</si>
  <si>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</si>
  <si>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</si>
  <si>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</si>
  <si>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</si>
  <si>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</si>
  <si>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</si>
  <si>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</si>
  <si>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</si>
  <si>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</si>
  <si>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</si>
  <si>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</si>
  <si>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</si>
  <si>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</si>
  <si>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</si>
  <si>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</si>
  <si>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</si>
  <si>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</si>
  <si>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</si>
  <si>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</si>
  <si>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</si>
  <si>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</si>
  <si>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</si>
  <si>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</si>
  <si>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</si>
  <si>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</si>
  <si>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</si>
  <si>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</si>
  <si>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</si>
  <si>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</si>
  <si>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</si>
  <si>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</si>
  <si>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</si>
  <si>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</si>
  <si>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</si>
  <si>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</si>
  <si>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</si>
  <si>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</si>
  <si>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</si>
  <si>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</si>
  <si>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</si>
  <si>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</si>
  <si>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</si>
  <si>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</si>
  <si>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</si>
  <si>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</si>
  <si>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</si>
  <si>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</si>
  <si>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</si>
  <si>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</si>
  <si>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</si>
  <si>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</si>
  <si>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</si>
  <si>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</si>
  <si>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</si>
  <si>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</si>
  <si>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</si>
  <si>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</si>
  <si>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</si>
  <si>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</si>
  <si>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</si>
  <si>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</si>
  <si>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</si>
  <si>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</si>
  <si>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</si>
  <si>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</si>
  <si>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</si>
  <si>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</si>
  <si>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</si>
  <si>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</si>
  <si>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</si>
  <si>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</si>
  <si>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</si>
  <si>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</si>
  <si>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</si>
  <si>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</si>
  <si>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</si>
  <si>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</si>
  <si>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</si>
  <si>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</si>
  <si>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</si>
  <si>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</si>
  <si>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</si>
  <si>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</si>
  <si>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</si>
  <si>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</si>
  <si>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</si>
  <si>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</si>
  <si>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</si>
  <si>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</si>
  <si>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</si>
  <si>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</si>
  <si>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</si>
  <si>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</si>
  <si>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</si>
  <si>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</si>
  <si>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</si>
  <si>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</si>
  <si>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</si>
  <si>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</si>
  <si>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</si>
  <si>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</si>
  <si>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</si>
  <si>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</si>
  <si>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</si>
  <si>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</si>
  <si>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</si>
  <si>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</si>
  <si>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</si>
  <si>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</si>
  <si>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</si>
  <si>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</si>
  <si>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</si>
  <si>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</si>
  <si>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</si>
  <si>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</si>
  <si>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</si>
  <si>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</si>
  <si>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</si>
  <si>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</si>
  <si>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</si>
  <si>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</si>
  <si>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</si>
  <si>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</si>
  <si>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</si>
  <si>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</si>
  <si>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</si>
  <si>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</si>
  <si>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</si>
  <si>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</si>
  <si>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</si>
  <si>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</si>
  <si>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</si>
  <si>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</si>
  <si>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</si>
  <si>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</si>
  <si>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</si>
  <si>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</si>
  <si>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</si>
  <si>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</si>
  <si>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</si>
  <si>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</si>
  <si>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</si>
  <si>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</si>
  <si>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</si>
  <si>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</si>
  <si>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</si>
  <si>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</si>
  <si>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</si>
  <si>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</si>
  <si>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</si>
  <si>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</si>
  <si>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</si>
  <si>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</si>
  <si>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</si>
  <si>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</si>
  <si>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</si>
  <si>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</si>
  <si>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</si>
  <si>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</si>
  <si>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</si>
  <si>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</si>
  <si>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</si>
  <si>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</si>
  <si>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</si>
  <si>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</si>
  <si>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</si>
  <si>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</si>
  <si>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</si>
  <si>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</si>
  <si>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</si>
  <si>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</si>
  <si>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</si>
  <si>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</si>
  <si>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</si>
  <si>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</si>
  <si>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</si>
  <si>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</si>
  <si>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</si>
  <si>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</si>
  <si>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</si>
  <si>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</si>
  <si>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</si>
  <si>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</si>
  <si>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</si>
  <si>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</si>
  <si>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</si>
  <si>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</si>
  <si>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</si>
  <si>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</si>
  <si>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</si>
  <si>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</si>
  <si>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</si>
  <si>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</si>
  <si>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</si>
  <si>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</si>
  <si>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</si>
  <si>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</si>
  <si>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</si>
  <si>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</si>
  <si>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</si>
  <si>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</si>
  <si>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</si>
  <si>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</si>
  <si>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</si>
  <si>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</si>
  <si>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</si>
  <si>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</si>
  <si>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</si>
  <si>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</si>
  <si>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</si>
  <si>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</si>
  <si>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</si>
  <si>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</si>
  <si>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</si>
  <si>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</si>
  <si>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</si>
  <si>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</si>
  <si>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</si>
  <si>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</si>
  <si>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</si>
  <si>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</si>
  <si>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</si>
  <si>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</si>
  <si>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</si>
  <si>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</si>
  <si>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</si>
  <si>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</si>
  <si>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</si>
  <si>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</si>
  <si>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</si>
  <si>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</si>
  <si>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</si>
  <si>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</si>
  <si>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</si>
  <si>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</si>
  <si>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</si>
  <si>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</si>
  <si>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</si>
  <si>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</si>
  <si>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</si>
  <si>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</si>
  <si>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</si>
  <si>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</si>
  <si>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</si>
  <si>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</si>
  <si>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</si>
  <si>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</si>
  <si>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</si>
  <si>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</si>
  <si>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</si>
  <si>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</si>
  <si>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</si>
  <si>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</si>
  <si>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</si>
  <si>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</si>
  <si>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</si>
  <si>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</si>
  <si>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</si>
  <si>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</si>
  <si>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</si>
  <si>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</si>
  <si>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</si>
  <si>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</si>
  <si>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</si>
  <si>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</si>
  <si>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</si>
  <si>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</si>
  <si>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</si>
  <si>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</si>
  <si>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</si>
  <si>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</si>
  <si>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</si>
  <si>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</si>
  <si>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</si>
  <si>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</si>
  <si>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</si>
  <si>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</si>
  <si>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</si>
  <si>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</si>
  <si>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</si>
  <si>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</si>
  <si>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</si>
  <si>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</si>
  <si>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</si>
  <si>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</si>
  <si>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</si>
  <si>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</si>
  <si>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</si>
  <si>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</si>
  <si>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</si>
  <si>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</si>
  <si>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</si>
  <si>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</si>
  <si>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</si>
  <si>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</si>
  <si>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</si>
  <si>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</si>
  <si>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</si>
  <si>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</si>
  <si>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</si>
  <si>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</si>
  <si>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</si>
  <si>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</si>
  <si>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</si>
  <si>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</si>
  <si>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</si>
  <si>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</si>
  <si>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</si>
  <si>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</si>
  <si>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</si>
  <si>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</si>
  <si>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</si>
  <si>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</si>
  <si>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</si>
  <si>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</si>
  <si>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</si>
  <si>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</si>
  <si>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</si>
  <si>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</si>
  <si>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</si>
  <si>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</si>
  <si>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</si>
  <si>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</si>
  <si>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</si>
  <si>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</si>
  <si>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</si>
  <si>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</si>
  <si>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</si>
  <si>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</si>
  <si>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</si>
  <si>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</si>
  <si>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</si>
  <si>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</si>
  <si>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</si>
  <si>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</si>
  <si>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</si>
  <si>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</si>
  <si>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</si>
  <si>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</si>
  <si>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</si>
  <si>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</si>
  <si>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</si>
  <si>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</si>
  <si>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</si>
  <si>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</si>
  <si>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</si>
  <si>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</si>
  <si>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</si>
  <si>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</si>
  <si>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</si>
  <si>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</si>
  <si>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</si>
  <si>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</si>
  <si>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</si>
  <si>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</si>
  <si>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</si>
  <si>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</si>
  <si>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</si>
  <si>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</si>
  <si>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</si>
  <si>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</si>
  <si>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</si>
  <si>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</si>
  <si>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</si>
  <si>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</si>
  <si>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</si>
  <si>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</si>
  <si>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</si>
  <si>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</si>
  <si>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</si>
  <si>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</si>
  <si>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</si>
  <si>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</si>
  <si>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</si>
  <si>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</si>
  <si>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</si>
  <si>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</si>
  <si>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</si>
  <si>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</si>
  <si>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</si>
  <si>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</si>
  <si>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</si>
  <si>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</si>
  <si>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</si>
  <si>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</si>
  <si>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</si>
  <si>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</si>
  <si>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</si>
  <si>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</si>
  <si>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</si>
  <si>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</si>
  <si>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</si>
  <si>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</si>
  <si>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</si>
  <si>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</si>
  <si>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</si>
  <si>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</si>
  <si>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</si>
  <si>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</si>
  <si>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</si>
  <si>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</si>
  <si>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</si>
  <si>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</si>
  <si>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</si>
  <si>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</si>
  <si>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</si>
  <si>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</si>
  <si>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</si>
  <si>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</si>
  <si>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</si>
  <si>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</si>
  <si>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</si>
  <si>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</si>
  <si>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</si>
  <si>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</si>
  <si>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</si>
  <si>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</si>
  <si>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</si>
  <si>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</si>
  <si>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</si>
  <si>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</si>
  <si>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</si>
  <si>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</si>
  <si>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</si>
  <si>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</si>
  <si>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</si>
  <si>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</si>
  <si>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</si>
  <si>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</si>
  <si>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</si>
  <si>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</si>
  <si>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</si>
  <si>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</si>
  <si>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</si>
  <si>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</si>
  <si>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</si>
  <si>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</si>
  <si>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</si>
  <si>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</si>
  <si>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</si>
  <si>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</si>
  <si>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</si>
  <si>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</si>
  <si>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</si>
  <si>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</si>
  <si>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</si>
  <si>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</si>
  <si>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</si>
  <si>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</si>
  <si>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</si>
  <si>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</si>
  <si>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</si>
  <si>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</si>
  <si>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</si>
  <si>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</si>
  <si>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</si>
  <si>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</si>
  <si>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</si>
  <si>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</si>
  <si>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</si>
  <si>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</si>
  <si>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</si>
  <si>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</si>
  <si>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</si>
  <si>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</si>
  <si>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</si>
  <si>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</si>
  <si>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</si>
  <si>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</si>
  <si>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</si>
  <si>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</si>
  <si>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</si>
  <si>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</si>
  <si>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</si>
  <si>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</si>
  <si>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</si>
  <si>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</si>
  <si>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</si>
  <si>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</si>
  <si>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</si>
  <si>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</si>
  <si>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</si>
  <si>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</si>
  <si>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</si>
  <si>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</si>
  <si>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</si>
  <si>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</si>
  <si>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</si>
  <si>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</si>
  <si>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</si>
  <si>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</si>
  <si>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</si>
  <si>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</si>
  <si>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</si>
  <si>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</si>
  <si>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</si>
  <si>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</si>
  <si>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</si>
  <si>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</si>
  <si>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</si>
  <si>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</si>
  <si>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</si>
  <si>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</si>
  <si>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</si>
  <si>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</si>
  <si>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</si>
  <si>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</si>
  <si>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</si>
  <si>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</si>
  <si>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</si>
  <si>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</si>
  <si>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</si>
  <si>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</si>
  <si>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</si>
  <si>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</si>
  <si>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</si>
  <si>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</si>
  <si>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</si>
  <si>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</si>
  <si>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</si>
  <si>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</si>
  <si>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</si>
  <si>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</si>
  <si>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</si>
  <si>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</si>
  <si>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</si>
  <si>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</si>
  <si>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</si>
  <si>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</si>
  <si>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</si>
  <si>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</si>
  <si>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</si>
  <si>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</si>
  <si>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</si>
  <si>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</si>
  <si>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</si>
  <si>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</si>
  <si>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</si>
  <si>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</si>
  <si>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</si>
  <si>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</si>
  <si>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</si>
  <si>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</si>
  <si>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</si>
  <si>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</si>
  <si>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</si>
  <si>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</si>
  <si>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</si>
  <si>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</si>
  <si>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</si>
  <si>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</si>
  <si>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</si>
  <si>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</si>
  <si>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</si>
  <si>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</si>
  <si>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</si>
  <si>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</si>
  <si>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</si>
  <si>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</si>
  <si>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</si>
  <si>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</si>
  <si>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</si>
  <si>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</si>
  <si>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</si>
  <si>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</si>
  <si>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</si>
  <si>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</si>
  <si>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</si>
  <si>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</si>
  <si>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</si>
  <si>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</si>
  <si>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</si>
  <si>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</si>
  <si>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</si>
  <si>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</si>
  <si>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</si>
  <si>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</si>
  <si>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</si>
  <si>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</si>
  <si>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</si>
  <si>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</si>
  <si>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</si>
  <si>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</si>
  <si>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</si>
  <si>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</si>
  <si>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</si>
  <si>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</si>
  <si>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</si>
  <si>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</si>
  <si>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</si>
  <si>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</si>
  <si>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</si>
  <si>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</si>
  <si>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</si>
  <si>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</si>
  <si>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</si>
  <si>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</si>
  <si>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</si>
  <si>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</si>
  <si>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</si>
  <si>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</si>
  <si>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</si>
  <si>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</si>
  <si>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</si>
  <si>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</si>
  <si>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</si>
  <si>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</si>
  <si>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</si>
  <si>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</si>
  <si>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</si>
  <si>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</si>
  <si>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</si>
  <si>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</si>
  <si>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</si>
  <si>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</si>
  <si>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</si>
  <si>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</si>
  <si>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</si>
  <si>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</si>
  <si>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</si>
  <si>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</si>
  <si>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</si>
  <si>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</si>
  <si>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</si>
  <si>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</si>
  <si>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</si>
  <si>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</si>
  <si>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</si>
  <si>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</si>
  <si>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</si>
  <si>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</si>
  <si>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</si>
  <si>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</si>
  <si>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</si>
  <si>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</si>
  <si>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</si>
  <si>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</si>
  <si>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</si>
  <si>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</si>
  <si>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</si>
  <si>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</si>
  <si>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</si>
  <si>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</si>
  <si>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</si>
  <si>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</si>
  <si>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</si>
  <si>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</si>
  <si>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</si>
  <si>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</si>
  <si>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</si>
  <si>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</si>
  <si>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</si>
  <si>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</si>
  <si>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</si>
  <si>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</si>
  <si>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</si>
  <si>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</si>
  <si>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</si>
  <si>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</si>
  <si>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</si>
  <si>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</si>
  <si>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</si>
  <si>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</si>
  <si>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</si>
  <si>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</si>
  <si>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</si>
  <si>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</si>
  <si>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</si>
  <si>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</si>
  <si>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</si>
  <si>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</si>
  <si>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</si>
  <si>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</si>
  <si>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</si>
  <si>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</si>
  <si>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</si>
  <si>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</si>
  <si>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</si>
  <si>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</si>
  <si>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</si>
  <si>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</si>
  <si>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</si>
  <si>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</si>
  <si>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</si>
  <si>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</si>
  <si>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</si>
  <si>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</si>
  <si>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</si>
  <si>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</si>
  <si>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</si>
  <si>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</si>
  <si>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</si>
  <si>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</si>
  <si>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</si>
  <si>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</si>
  <si>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</si>
  <si>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</si>
  <si>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</si>
  <si>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</si>
  <si>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</si>
  <si>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</si>
  <si>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</si>
  <si>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</si>
  <si>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</si>
  <si>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</si>
  <si>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</si>
  <si>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</si>
  <si>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</si>
  <si>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</si>
  <si>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</si>
  <si>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</si>
  <si>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</si>
  <si>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</si>
  <si>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</si>
  <si>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</si>
  <si>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</si>
  <si>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</si>
  <si>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</si>
  <si>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</si>
  <si>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</si>
  <si>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</si>
  <si>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</si>
  <si>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</si>
  <si>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</si>
  <si>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</si>
  <si>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</si>
  <si>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</si>
  <si>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</si>
  <si>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</si>
  <si>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</si>
  <si>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</si>
  <si>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</si>
  <si>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</si>
  <si>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</si>
  <si>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</si>
  <si>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</si>
  <si>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</si>
  <si>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</si>
  <si>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</si>
  <si>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</si>
  <si>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</si>
  <si>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</si>
  <si>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</si>
  <si>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</si>
  <si>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</si>
  <si>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</si>
  <si>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</si>
  <si>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</si>
  <si>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</si>
  <si>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</si>
  <si>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</si>
  <si>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</si>
  <si>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</si>
  <si>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</si>
  <si>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</si>
  <si>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</si>
  <si>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</si>
  <si>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</si>
  <si>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</si>
  <si>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</si>
  <si>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</si>
  <si>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</si>
  <si>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</si>
  <si>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</si>
  <si>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</si>
  <si>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</si>
  <si>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</si>
  <si>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</si>
  <si>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</si>
  <si>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</si>
  <si>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</si>
  <si>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</si>
  <si>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</si>
  <si>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</si>
  <si>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</si>
  <si>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</si>
  <si>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</si>
  <si>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</si>
  <si>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</si>
  <si>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</si>
  <si>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</si>
  <si>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</si>
  <si>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</si>
  <si>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</si>
  <si>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</si>
  <si>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</si>
  <si>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</si>
  <si>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</si>
  <si>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</si>
  <si>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</si>
  <si>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</si>
  <si>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</si>
  <si>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</si>
  <si>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</si>
  <si>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</si>
  <si>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</si>
  <si>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</si>
  <si>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</si>
  <si>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</si>
  <si>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</si>
  <si>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</si>
  <si>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</si>
  <si>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</si>
  <si>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</si>
  <si>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</si>
  <si>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</si>
  <si>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</si>
  <si>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</si>
  <si>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</si>
  <si>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</si>
  <si>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</si>
  <si>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</si>
  <si>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</si>
  <si>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</si>
  <si>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</si>
  <si>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</si>
  <si>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</si>
  <si>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</si>
  <si>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</si>
  <si>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</si>
  <si>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</si>
  <si>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</si>
  <si>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</si>
  <si>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</si>
  <si>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</si>
  <si>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</si>
  <si>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</si>
  <si>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</si>
  <si>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</si>
  <si>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</si>
  <si>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</si>
  <si>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</si>
  <si>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</si>
  <si>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</si>
  <si>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</si>
  <si>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</si>
  <si>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</si>
  <si>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</si>
  <si>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</si>
  <si>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</si>
  <si>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</si>
  <si>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</si>
  <si>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</si>
  <si>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</si>
  <si>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</si>
  <si>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</si>
  <si>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</si>
  <si>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</si>
  <si>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</si>
  <si>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</si>
  <si>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</si>
  <si>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</si>
  <si>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</si>
  <si>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</si>
  <si>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</si>
  <si>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</si>
  <si>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</si>
  <si>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</si>
  <si>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</si>
  <si>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</si>
  <si>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</si>
  <si>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</si>
  <si>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</si>
  <si>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</si>
  <si>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</si>
  <si>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</si>
  <si>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</si>
  <si>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</si>
  <si>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</si>
  <si>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</si>
  <si>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</si>
  <si>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</si>
  <si>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</si>
  <si>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</si>
  <si>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</si>
  <si>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</si>
  <si>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</si>
  <si>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</si>
  <si>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</si>
  <si>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</si>
  <si>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</si>
  <si>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</si>
  <si>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</si>
  <si>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</si>
  <si>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</si>
  <si>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</si>
  <si>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</si>
  <si>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</si>
  <si>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</si>
  <si>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</si>
  <si>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</si>
  <si>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</si>
  <si>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</si>
  <si>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</si>
  <si>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</si>
  <si>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</si>
  <si>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</si>
  <si>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</si>
  <si>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</si>
  <si>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</si>
  <si>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</si>
  <si>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</si>
  <si>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</si>
  <si>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</si>
  <si>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</si>
  <si>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</si>
  <si>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</si>
  <si>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</si>
  <si>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</si>
  <si>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</si>
  <si>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</si>
  <si>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</si>
  <si>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</si>
  <si>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</si>
  <si>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</si>
  <si>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</si>
  <si>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</si>
  <si>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</si>
  <si>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</si>
  <si>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</si>
  <si>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</si>
  <si>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</si>
  <si>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</si>
  <si>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</si>
  <si>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</si>
  <si>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</si>
  <si>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</si>
  <si>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</si>
  <si>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</si>
  <si>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</si>
  <si>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</si>
  <si>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</si>
  <si>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</si>
  <si>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</si>
  <si>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</si>
  <si>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</si>
  <si>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</si>
  <si>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</si>
  <si>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</si>
  <si>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</si>
  <si>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</si>
  <si>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</si>
  <si>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</si>
  <si>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</si>
  <si>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</si>
  <si>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</si>
  <si>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</si>
  <si>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</si>
  <si>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</si>
  <si>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</si>
  <si>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</si>
  <si>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</si>
  <si>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</si>
  <si>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</si>
  <si>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</si>
  <si>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</si>
  <si>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</si>
  <si>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</si>
  <si>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</si>
  <si>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</si>
  <si>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</si>
  <si>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</si>
  <si>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</si>
  <si>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</si>
  <si>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</si>
  <si>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</si>
  <si>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</si>
  <si>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</si>
  <si>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</si>
  <si>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</si>
  <si>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</si>
  <si>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</si>
  <si>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</si>
  <si>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</si>
  <si>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</si>
  <si>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</si>
  <si>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</si>
  <si>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</si>
  <si>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</si>
  <si>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</si>
  <si>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</si>
  <si>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</si>
  <si>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</si>
  <si>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</si>
  <si>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</si>
  <si>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</si>
  <si>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</si>
  <si>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</si>
  <si>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</si>
  <si>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</si>
  <si>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</si>
  <si>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</si>
  <si>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</si>
  <si>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</si>
  <si>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</si>
  <si>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</si>
  <si>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</si>
  <si>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</si>
  <si>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</si>
  <si>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</si>
  <si>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</si>
  <si>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</si>
  <si>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</si>
  <si>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</si>
  <si>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</si>
  <si>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</si>
  <si>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</si>
  <si>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</si>
  <si>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</si>
  <si>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</si>
  <si>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</si>
  <si>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</si>
  <si>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</si>
  <si>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</si>
  <si>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</si>
  <si>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</si>
  <si>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</si>
  <si>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</si>
  <si>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</si>
  <si>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</si>
  <si>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</si>
  <si>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</si>
  <si>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</si>
  <si>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</si>
  <si>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</si>
  <si>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</si>
  <si>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</si>
  <si>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</si>
  <si>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</si>
  <si>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</si>
  <si>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</si>
  <si>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</si>
  <si>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</si>
  <si>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</si>
  <si>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</si>
  <si>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</si>
  <si>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</si>
  <si>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</si>
  <si>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</si>
  <si>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</si>
  <si>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</si>
  <si>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</si>
  <si>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</si>
  <si>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</si>
  <si>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</si>
  <si>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</si>
  <si>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</si>
  <si>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</si>
  <si>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</si>
  <si>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</si>
  <si>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</si>
  <si>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</si>
  <si>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</si>
  <si>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</si>
  <si>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</si>
  <si>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</si>
  <si>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</si>
  <si>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</si>
  <si>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</si>
  <si>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</si>
  <si>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</si>
  <si>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</si>
  <si>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</si>
  <si>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</si>
  <si>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</si>
  <si>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</si>
  <si>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</si>
  <si>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</si>
  <si>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</si>
  <si>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</si>
  <si>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</si>
  <si>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</si>
  <si>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</si>
  <si>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</si>
  <si>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</si>
  <si>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</si>
  <si>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</si>
  <si>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</si>
  <si>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</si>
  <si>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</si>
  <si>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</si>
  <si>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</si>
  <si>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</si>
  <si>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</si>
  <si>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</si>
  <si>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</si>
  <si>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</si>
  <si>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</si>
  <si>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</si>
  <si>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</si>
  <si>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</si>
  <si>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</si>
  <si>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</si>
  <si>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</si>
  <si>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</si>
  <si>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</si>
  <si>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</si>
  <si>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</si>
  <si>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</si>
  <si>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</si>
  <si>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</si>
  <si>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</si>
  <si>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</si>
  <si>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</si>
  <si>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</si>
  <si>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</si>
  <si>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</si>
  <si>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</si>
  <si>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</si>
  <si>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</si>
  <si>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</si>
  <si>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</si>
  <si>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</si>
  <si>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</si>
  <si>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</si>
  <si>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</si>
  <si>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</si>
  <si>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</si>
  <si>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</si>
  <si>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</si>
  <si>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</si>
  <si>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</si>
  <si>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</si>
  <si>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</si>
  <si>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</si>
  <si>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</si>
  <si>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</si>
  <si>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</si>
  <si>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</si>
  <si>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</si>
  <si>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</si>
  <si>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</si>
  <si>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</si>
  <si>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</si>
  <si>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</si>
  <si>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</si>
  <si>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</si>
  <si>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</si>
  <si>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</si>
  <si>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</si>
  <si>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</si>
  <si>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</si>
  <si>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</si>
  <si>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</si>
  <si>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</si>
  <si>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</si>
  <si>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</si>
  <si>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</si>
  <si>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</si>
  <si>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</si>
  <si>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</si>
  <si>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</si>
  <si>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</si>
  <si>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</si>
  <si>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</si>
  <si>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</si>
  <si>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</si>
  <si>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</si>
  <si>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</si>
  <si>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</si>
  <si>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</si>
  <si>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</si>
  <si>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</si>
  <si>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</si>
  <si>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</si>
  <si>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</si>
  <si>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</si>
  <si>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</si>
  <si>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</si>
  <si>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</si>
  <si>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</si>
  <si>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</si>
  <si>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</si>
  <si>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</si>
  <si>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</si>
  <si>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</si>
  <si>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</si>
  <si>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</si>
  <si>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</si>
  <si>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</si>
  <si>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</si>
  <si>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</si>
  <si>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</si>
  <si>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</si>
  <si>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</si>
  <si>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</si>
  <si>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</si>
  <si>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</si>
  <si>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</si>
  <si>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</si>
  <si>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</si>
  <si>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</si>
  <si>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</si>
  <si>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</si>
  <si>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</si>
  <si>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</si>
  <si>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</si>
  <si>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</si>
  <si>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</si>
  <si>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</si>
  <si>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</si>
  <si>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</si>
  <si>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</si>
  <si>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</si>
  <si>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</si>
  <si>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</si>
  <si>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</si>
  <si>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</si>
  <si>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</si>
  <si>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</si>
  <si>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</si>
  <si>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</si>
  <si>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</si>
  <si>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</si>
  <si>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</si>
  <si>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</si>
  <si>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</si>
  <si>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</si>
  <si>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</si>
  <si>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</si>
  <si>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</si>
  <si>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</si>
  <si>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</si>
  <si>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</si>
  <si>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</si>
  <si>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</si>
  <si>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</si>
  <si>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</si>
  <si>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</si>
  <si>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</si>
  <si>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</si>
  <si>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</si>
  <si>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</si>
  <si>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</si>
  <si>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</si>
  <si>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</si>
  <si>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</si>
  <si>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</si>
  <si>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</si>
  <si>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</si>
  <si>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</si>
  <si>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</si>
  <si>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</si>
  <si>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</si>
  <si>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</si>
  <si>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</si>
  <si>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</si>
  <si>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</si>
  <si>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</si>
  <si>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</si>
  <si>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</si>
  <si>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</si>
  <si>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</si>
  <si>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</si>
  <si>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</si>
  <si>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</si>
  <si>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</si>
  <si>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</si>
  <si>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</si>
  <si>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</si>
  <si>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</si>
  <si>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</si>
  <si>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</si>
  <si>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</si>
  <si>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</si>
  <si>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</si>
  <si>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</si>
  <si>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</si>
  <si>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</si>
  <si>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</si>
  <si>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</si>
  <si>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</si>
  <si>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</si>
  <si>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</si>
  <si>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</si>
  <si>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</si>
  <si>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</si>
  <si>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</si>
  <si>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</si>
  <si>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</si>
  <si>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</si>
  <si>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</si>
  <si>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</si>
  <si>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</si>
  <si>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</si>
  <si>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</si>
  <si>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</si>
  <si>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</si>
  <si>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</si>
  <si>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</si>
  <si>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</si>
  <si>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</si>
  <si>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</si>
  <si>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</si>
  <si>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</si>
  <si>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</si>
  <si>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</si>
  <si>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</si>
  <si>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</si>
  <si>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</si>
  <si>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</si>
  <si>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</si>
  <si>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</si>
  <si>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</si>
  <si>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</si>
  <si>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</si>
  <si>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</si>
  <si>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</si>
  <si>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</si>
  <si>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</si>
  <si>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</si>
  <si>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</si>
  <si>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</si>
  <si>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</si>
  <si>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</si>
  <si>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</si>
  <si>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</si>
  <si>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</si>
  <si>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</si>
  <si>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</si>
  <si>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</si>
  <si>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</si>
  <si>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</si>
  <si>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</si>
  <si>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</si>
  <si>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</si>
  <si>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</si>
  <si>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</si>
  <si>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</si>
  <si>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</si>
  <si>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</si>
  <si>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</si>
  <si>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</si>
  <si>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</si>
  <si>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</si>
  <si>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</si>
  <si>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</si>
  <si>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</si>
  <si>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</si>
  <si>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</si>
  <si>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</si>
  <si>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</si>
  <si>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</si>
  <si>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</si>
  <si>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</si>
  <si>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</si>
  <si>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</si>
  <si>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</si>
  <si>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</si>
  <si>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</si>
  <si>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</si>
  <si>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</si>
  <si>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</si>
  <si>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</si>
  <si>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</si>
  <si>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</si>
  <si>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</si>
  <si>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</si>
  <si>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</si>
  <si>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</si>
  <si>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</si>
  <si>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</si>
  <si>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</si>
  <si>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</si>
  <si>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</si>
  <si>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</si>
  <si>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</si>
  <si>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</si>
  <si>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</si>
  <si>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</si>
  <si>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</si>
  <si>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</si>
  <si>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</si>
  <si>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</si>
  <si>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</si>
  <si>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</si>
  <si>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</si>
  <si>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</si>
  <si>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</si>
  <si>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</si>
  <si>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</si>
  <si>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</si>
  <si>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</si>
  <si>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</si>
  <si>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</si>
  <si>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</si>
  <si>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</si>
  <si>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</si>
  <si>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</si>
  <si>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</si>
  <si>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</si>
  <si>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</si>
  <si>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</si>
  <si>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</si>
  <si>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</si>
  <si>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</si>
  <si>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</si>
  <si>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</si>
  <si>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</si>
  <si>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</si>
  <si>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</si>
  <si>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</si>
  <si>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</si>
  <si>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</si>
  <si>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</si>
  <si>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</si>
  <si>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</si>
  <si>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</si>
  <si>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</si>
  <si>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</si>
  <si>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</si>
  <si>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</si>
  <si>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</si>
  <si>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</si>
  <si>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</si>
  <si>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</si>
  <si>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</si>
  <si>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</si>
  <si>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</si>
  <si>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</si>
  <si>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</si>
  <si>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</si>
  <si>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</si>
  <si>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</si>
  <si>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</si>
  <si>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</si>
  <si>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</si>
  <si>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</si>
  <si>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</si>
  <si>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</si>
  <si>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</si>
  <si>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</si>
  <si>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</si>
  <si>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</si>
  <si>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</si>
  <si>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</si>
  <si>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</si>
  <si>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</si>
  <si>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</si>
  <si>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</si>
  <si>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</si>
  <si>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</si>
  <si>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</si>
  <si>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</si>
  <si>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</si>
  <si>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</si>
  <si>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</si>
  <si>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</si>
  <si>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</si>
  <si>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</si>
  <si>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</si>
  <si>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</si>
  <si>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</si>
  <si>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</si>
  <si>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</si>
  <si>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</si>
  <si>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</si>
  <si>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</si>
  <si>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</si>
  <si>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</si>
  <si>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</si>
  <si>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</si>
  <si>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</si>
  <si>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</si>
  <si>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</si>
  <si>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</si>
  <si>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</si>
  <si>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</si>
  <si>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</si>
  <si>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</si>
  <si>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</si>
  <si>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</si>
  <si>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</si>
  <si>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</si>
  <si>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</si>
  <si>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</si>
  <si>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</si>
  <si>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</si>
  <si>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</si>
  <si>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</si>
  <si>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</si>
  <si>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</si>
  <si>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</si>
  <si>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</si>
  <si>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</si>
  <si>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</si>
  <si>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</si>
  <si>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</si>
  <si>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</si>
  <si>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</si>
  <si>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</si>
  <si>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</si>
  <si>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</si>
  <si>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</si>
  <si>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</si>
  <si>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</si>
  <si>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</si>
  <si>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</si>
  <si>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</si>
  <si>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</si>
  <si>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</si>
  <si>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</si>
  <si>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</si>
  <si>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</si>
  <si>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</si>
  <si>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</si>
  <si>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</si>
  <si>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</si>
  <si>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</si>
  <si>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</si>
  <si>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</si>
  <si>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</si>
  <si>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</si>
  <si>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</si>
  <si>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</si>
  <si>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</si>
  <si>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</si>
  <si>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</si>
  <si>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</si>
  <si>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</si>
  <si>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</si>
  <si>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</si>
  <si>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</si>
  <si>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</si>
  <si>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</si>
  <si>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</si>
  <si>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</si>
  <si>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</si>
  <si>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</si>
  <si>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</si>
  <si>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</si>
  <si>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</si>
  <si>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</si>
  <si>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</si>
  <si>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</si>
  <si>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</si>
  <si>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</si>
  <si>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</si>
  <si>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</si>
  <si>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</si>
  <si>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</si>
  <si>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</si>
  <si>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</si>
  <si>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</si>
  <si>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</si>
  <si>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</si>
  <si>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</si>
  <si>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</si>
  <si>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</si>
  <si>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</si>
  <si>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</si>
  <si>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</si>
  <si>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</si>
  <si>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</si>
  <si>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</si>
  <si>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</si>
  <si>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</si>
  <si>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</si>
  <si>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</si>
  <si>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</si>
  <si>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</si>
  <si>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</si>
  <si>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</si>
  <si>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</si>
  <si>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</si>
  <si>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</si>
  <si>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</si>
  <si>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</si>
  <si>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</si>
  <si>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</si>
  <si>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</si>
  <si>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</si>
  <si>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</si>
  <si>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</si>
  <si>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</si>
  <si>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</si>
  <si>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</si>
  <si>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</si>
  <si>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</si>
  <si>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</si>
  <si>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</si>
  <si>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</si>
  <si>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</si>
  <si>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</si>
  <si>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</si>
  <si>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</si>
  <si>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</si>
  <si>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</si>
  <si>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</si>
  <si>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</si>
  <si>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</si>
  <si>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</si>
  <si>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</si>
  <si>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</si>
  <si>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</si>
  <si>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</si>
  <si>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</si>
  <si>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</si>
  <si>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</si>
  <si>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</si>
  <si>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</si>
  <si>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</si>
  <si>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</si>
  <si>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</si>
  <si>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</si>
  <si>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</si>
  <si>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</si>
  <si>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</si>
  <si>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</si>
  <si>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</si>
  <si>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</si>
  <si>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</si>
  <si>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</si>
  <si>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</si>
  <si>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</si>
  <si>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</si>
  <si>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</si>
  <si>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</si>
  <si>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</si>
  <si>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</si>
  <si>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</si>
  <si>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</si>
  <si>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</si>
  <si>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</si>
  <si>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</si>
  <si>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</si>
  <si>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</si>
  <si>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</si>
  <si>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</si>
  <si>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</si>
  <si>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</si>
  <si>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</si>
  <si>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</si>
  <si>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</si>
  <si>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</si>
  <si>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</si>
  <si>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</si>
  <si>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</si>
  <si>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</si>
  <si>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</si>
  <si>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</si>
  <si>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</si>
  <si>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</si>
  <si>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</si>
  <si>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</si>
  <si>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</si>
  <si>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</si>
  <si>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</si>
  <si>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</si>
  <si>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</si>
  <si>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</si>
  <si>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</si>
  <si>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</si>
  <si>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</si>
  <si>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</si>
  <si>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</si>
  <si>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</si>
  <si>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</si>
  <si>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</si>
  <si>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</si>
  <si>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</si>
  <si>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</si>
  <si>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</si>
  <si>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</si>
  <si>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</si>
  <si>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</si>
  <si>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</si>
  <si>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</si>
  <si>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</si>
  <si>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</si>
  <si>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</si>
  <si>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</si>
  <si>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</si>
  <si>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</si>
  <si>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</si>
  <si>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</si>
  <si>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</si>
  <si>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</si>
  <si>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</si>
  <si>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</si>
  <si>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</si>
  <si>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</si>
  <si>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</si>
  <si>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</si>
  <si>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</si>
  <si>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</si>
  <si>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</si>
  <si>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</si>
  <si>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</si>
  <si>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</si>
  <si>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</si>
  <si>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</si>
  <si>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</si>
  <si>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</si>
  <si>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</si>
  <si>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</si>
  <si>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</si>
  <si>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</si>
  <si>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</si>
  <si>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</si>
  <si>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</si>
  <si>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</si>
  <si>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</si>
  <si>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</si>
  <si>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</si>
  <si>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</si>
  <si>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</si>
  <si>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</si>
  <si>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</si>
  <si>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</si>
  <si>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</si>
  <si>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</si>
  <si>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</si>
  <si>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</si>
  <si>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</si>
  <si>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</si>
  <si>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</si>
  <si>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</si>
  <si>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</si>
  <si>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</si>
  <si>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</si>
  <si>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</si>
  <si>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</si>
  <si>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</si>
  <si>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</si>
  <si>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</si>
  <si>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</si>
  <si>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</si>
  <si>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</si>
  <si>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</si>
  <si>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</si>
  <si>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</si>
  <si>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</si>
  <si>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</si>
  <si>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</si>
  <si>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</si>
  <si>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</si>
  <si>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</si>
  <si>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</si>
  <si>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</si>
  <si>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</si>
  <si>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</si>
  <si>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</si>
  <si>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</si>
  <si>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</si>
  <si>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</si>
  <si>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</si>
  <si>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</si>
  <si>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</si>
  <si>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</si>
  <si>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</si>
  <si>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</si>
  <si>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</si>
  <si>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</si>
  <si>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</si>
  <si>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</si>
  <si>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</si>
  <si>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</si>
  <si>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</si>
  <si>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</si>
  <si>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</si>
  <si>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</si>
  <si>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</si>
  <si>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</si>
  <si>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</si>
  <si>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</si>
  <si>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</si>
  <si>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</si>
  <si>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</si>
  <si>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</si>
  <si>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</si>
  <si>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</si>
  <si>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</si>
  <si>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</si>
  <si>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</si>
  <si>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</si>
  <si>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</si>
  <si>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</si>
  <si>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</si>
  <si>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</si>
  <si>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</si>
  <si>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</si>
  <si>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</si>
  <si>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</si>
  <si>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</si>
  <si>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</si>
  <si>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</si>
  <si>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</si>
  <si>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</si>
  <si>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</si>
  <si>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</si>
  <si>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</si>
  <si>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</si>
  <si>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</si>
  <si>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</si>
  <si>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</si>
  <si>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</si>
  <si>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</si>
  <si>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</si>
  <si>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</si>
  <si>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</si>
  <si>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</si>
  <si>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</si>
  <si>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</si>
  <si>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</si>
  <si>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</si>
  <si>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</si>
  <si>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</si>
  <si>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</si>
  <si>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</si>
  <si>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</si>
  <si>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</si>
  <si>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</si>
  <si>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</si>
  <si>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</si>
  <si>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</si>
  <si>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</si>
  <si>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</si>
  <si>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</si>
  <si>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</si>
  <si>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</si>
  <si>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</si>
  <si>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</si>
  <si>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</si>
  <si>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</si>
  <si>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</si>
  <si>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</si>
  <si>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</si>
  <si>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</si>
  <si>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</si>
  <si>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</si>
  <si>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</si>
  <si>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</si>
  <si>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</si>
  <si>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</si>
  <si>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</si>
  <si>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</si>
  <si>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</si>
  <si>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</si>
  <si>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</si>
  <si>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</si>
  <si>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</si>
  <si>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</si>
  <si>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</si>
  <si>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</si>
  <si>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</si>
  <si>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</si>
  <si>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</si>
  <si>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</si>
  <si>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</si>
  <si>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</si>
  <si>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</si>
  <si>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</si>
  <si>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</si>
  <si>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</si>
  <si>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</si>
  <si>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</si>
  <si>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</si>
  <si>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</si>
  <si>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</si>
  <si>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</si>
  <si>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</si>
  <si>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</si>
  <si>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</si>
  <si>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</si>
  <si>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</si>
  <si>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</si>
  <si>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</si>
  <si>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</si>
  <si>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</si>
  <si>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</si>
  <si>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</si>
  <si>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</si>
  <si>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</si>
  <si>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</si>
  <si>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</si>
  <si>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</si>
  <si>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</si>
  <si>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</si>
  <si>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</si>
  <si>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</si>
  <si>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</si>
  <si>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</si>
  <si>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</si>
  <si>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</si>
  <si>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</si>
  <si>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</si>
  <si>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</si>
  <si>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</si>
  <si>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</si>
  <si>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</si>
  <si>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</si>
  <si>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</si>
  <si>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</si>
  <si>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</si>
  <si>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</si>
  <si>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</si>
  <si>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</si>
  <si>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</si>
  <si>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</si>
  <si>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</si>
  <si>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</si>
  <si>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</si>
  <si>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</si>
  <si>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</si>
  <si>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</si>
  <si>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</si>
  <si>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</si>
  <si>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</si>
  <si>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</si>
  <si>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</si>
  <si>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</si>
  <si>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</si>
  <si>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</si>
  <si>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</si>
  <si>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</si>
  <si>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</si>
  <si>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</si>
  <si>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</si>
  <si>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</si>
  <si>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</si>
  <si>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</si>
  <si>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</si>
  <si>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</si>
  <si>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</si>
  <si>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</si>
  <si>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</si>
  <si>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</si>
  <si>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</si>
  <si>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</si>
  <si>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</si>
  <si>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</si>
  <si>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</si>
  <si>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</si>
  <si>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</si>
  <si>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</si>
  <si>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</si>
  <si>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</si>
  <si>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</si>
  <si>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</si>
  <si>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</si>
  <si>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</si>
  <si>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</si>
  <si>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</si>
  <si>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</si>
  <si>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</si>
  <si>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</si>
  <si>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</si>
  <si>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</si>
  <si>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</si>
  <si>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</si>
  <si>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</si>
  <si>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</si>
  <si>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</si>
  <si>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</si>
  <si>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</si>
  <si>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</si>
  <si>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</si>
  <si>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</si>
  <si>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</si>
  <si>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</si>
  <si>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</si>
  <si>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</si>
  <si>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</si>
  <si>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</si>
  <si>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</si>
  <si>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</si>
  <si>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</si>
  <si>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</si>
  <si>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</si>
  <si>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</si>
  <si>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</si>
  <si>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</si>
  <si>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</si>
  <si>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</si>
  <si>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</si>
  <si>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</si>
  <si>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</si>
  <si>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</si>
  <si>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</si>
  <si>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</si>
  <si>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</si>
  <si>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</si>
  <si>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</si>
  <si>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</si>
  <si>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</si>
  <si>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</si>
  <si>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</si>
  <si>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</si>
  <si>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</si>
  <si>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</si>
  <si>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</si>
  <si>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</si>
  <si>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</si>
  <si>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</si>
  <si>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</si>
  <si>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</si>
  <si>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</si>
  <si>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</si>
  <si>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</si>
  <si>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</si>
  <si>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</si>
  <si>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</si>
  <si>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</si>
  <si>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</si>
  <si>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</si>
  <si>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</si>
  <si>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</si>
  <si>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</si>
  <si>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</si>
  <si>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</si>
  <si>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</si>
  <si>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</si>
  <si>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</si>
  <si>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</si>
  <si>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</si>
  <si>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</si>
  <si>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</si>
  <si>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</si>
  <si>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</si>
  <si>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</si>
  <si>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</si>
  <si>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</si>
  <si>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</si>
  <si>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</si>
  <si>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</si>
  <si>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</si>
  <si>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</si>
  <si>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</si>
  <si>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</si>
  <si>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</si>
  <si>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</si>
  <si>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</si>
  <si>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</si>
  <si>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</si>
  <si>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</si>
  <si>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</si>
  <si>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</si>
  <si>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</si>
  <si>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</si>
  <si>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</si>
  <si>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</si>
  <si>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</si>
  <si>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</si>
  <si>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</si>
  <si>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</si>
  <si>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</si>
  <si>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</si>
  <si>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</si>
  <si>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</si>
  <si>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</si>
  <si>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</si>
  <si>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</si>
  <si>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</si>
  <si>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</si>
  <si>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</si>
  <si>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</si>
  <si>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</si>
  <si>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</si>
  <si>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</si>
  <si>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</si>
  <si>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</si>
  <si>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</si>
  <si>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</si>
  <si>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</si>
  <si>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</si>
  <si>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</si>
  <si>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</si>
  <si>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</si>
  <si>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</si>
  <si>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</si>
  <si>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</si>
  <si>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</si>
  <si>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</si>
  <si>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</si>
  <si>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</si>
  <si>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</si>
  <si>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</si>
  <si>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</si>
  <si>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</si>
  <si>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</si>
  <si>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</si>
  <si>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</si>
  <si>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</si>
  <si>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</si>
  <si>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</si>
  <si>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</si>
  <si>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</si>
  <si>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</si>
  <si>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</si>
  <si>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</si>
  <si>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</si>
  <si>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</si>
  <si>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</si>
  <si>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</si>
  <si>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</si>
  <si>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</si>
  <si>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</si>
  <si>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</si>
  <si>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</si>
  <si>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</si>
  <si>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</si>
  <si>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</si>
  <si>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</si>
  <si>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</si>
  <si>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</si>
  <si>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</si>
  <si>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</si>
  <si>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</si>
  <si>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</si>
  <si>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</si>
  <si>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</si>
  <si>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</si>
  <si>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</si>
  <si>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</si>
  <si>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</si>
  <si>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</si>
  <si>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</si>
  <si>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</si>
  <si>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</si>
  <si>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</si>
  <si>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</si>
  <si>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</si>
  <si>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</si>
  <si>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</si>
  <si>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</si>
  <si>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</si>
  <si>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</si>
  <si>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</si>
  <si>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</si>
  <si>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</si>
  <si>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</si>
  <si>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</si>
  <si>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</si>
  <si>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</si>
  <si>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</si>
  <si>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</si>
  <si>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</si>
  <si>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</si>
  <si>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</si>
  <si>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</si>
  <si>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</si>
  <si>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</si>
  <si>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</si>
  <si>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</si>
  <si>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</si>
  <si>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</si>
  <si>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</si>
  <si>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</si>
  <si>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</si>
  <si>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</si>
  <si>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</si>
  <si>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</si>
  <si>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</si>
  <si>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</si>
  <si>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</si>
  <si>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</si>
  <si>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</si>
  <si>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</si>
  <si>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</si>
  <si>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</si>
  <si>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</si>
  <si>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</si>
  <si>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</si>
  <si>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</si>
  <si>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</si>
  <si>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</si>
  <si>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</si>
  <si>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</si>
  <si>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</si>
  <si>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</si>
  <si>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</si>
  <si>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</si>
  <si>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</si>
  <si>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</si>
  <si>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</si>
  <si>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</si>
  <si>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</si>
  <si>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</si>
  <si>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</si>
  <si>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</si>
  <si>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</si>
  <si>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</si>
  <si>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</si>
  <si>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</si>
  <si>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</si>
  <si>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</si>
  <si>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</si>
  <si>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</si>
  <si>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</si>
  <si>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</si>
  <si>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</si>
  <si>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</si>
  <si>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</si>
  <si>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</si>
  <si>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</si>
  <si>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</si>
  <si>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</si>
  <si>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</si>
  <si>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</si>
  <si>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</si>
  <si>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</si>
  <si>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</si>
  <si>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</si>
  <si>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</si>
  <si>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</si>
  <si>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</si>
  <si>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</si>
  <si>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</si>
  <si>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</si>
  <si>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</si>
  <si>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</si>
  <si>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</si>
  <si>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</si>
  <si>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</si>
  <si>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</si>
  <si>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</si>
  <si>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</si>
  <si>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</si>
  <si>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</si>
  <si>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</si>
  <si>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</si>
  <si>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</si>
  <si>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</si>
  <si>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</si>
  <si>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</si>
  <si>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</si>
  <si>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</si>
  <si>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</si>
  <si>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</si>
  <si>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</si>
  <si>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</si>
  <si>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</si>
  <si>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</si>
  <si>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</si>
  <si>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</si>
  <si>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</si>
  <si>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</si>
  <si>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</si>
  <si>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</si>
  <si>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</si>
  <si>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</si>
  <si>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</si>
  <si>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</si>
  <si>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</si>
  <si>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</si>
  <si>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</si>
  <si>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</si>
  <si>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</si>
  <si>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</si>
  <si>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</si>
  <si>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</si>
  <si>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</si>
  <si>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</si>
  <si>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</si>
  <si>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</si>
  <si>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</si>
  <si>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</si>
  <si>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</si>
  <si>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</si>
  <si>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</si>
  <si>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</si>
  <si>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</si>
  <si>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</si>
  <si>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</si>
  <si>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</si>
  <si>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</si>
  <si>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</si>
  <si>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</si>
  <si>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</si>
  <si>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</si>
  <si>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</si>
  <si>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</si>
  <si>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</si>
  <si>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</si>
  <si>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</si>
  <si>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</si>
  <si>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</si>
  <si>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</si>
  <si>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</si>
  <si>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</si>
  <si>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</si>
  <si>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</si>
  <si>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</si>
  <si>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</si>
  <si>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</si>
  <si>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</si>
  <si>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</si>
  <si>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</si>
  <si>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</si>
  <si>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</si>
  <si>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</si>
  <si>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</si>
  <si>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</si>
  <si>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</si>
  <si>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</si>
  <si>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</si>
  <si>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</si>
  <si>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</si>
  <si>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</si>
  <si>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</si>
  <si>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</si>
  <si>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</si>
  <si>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</si>
  <si>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</si>
  <si>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</si>
  <si>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</si>
  <si>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</si>
  <si>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</si>
  <si>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</si>
  <si>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</si>
  <si>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</si>
  <si>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</si>
  <si>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</si>
  <si>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</si>
  <si>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</si>
  <si>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</si>
  <si>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</si>
  <si>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</si>
  <si>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</si>
  <si>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</si>
  <si>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</si>
  <si>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</si>
  <si>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</si>
  <si>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</si>
  <si>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</si>
  <si>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</si>
  <si>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</si>
  <si>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</si>
  <si>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</si>
  <si>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</si>
  <si>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</si>
  <si>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</si>
  <si>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</si>
  <si>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</si>
  <si>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</si>
  <si>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</si>
  <si>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</si>
  <si>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</si>
  <si>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</si>
  <si>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</si>
  <si>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</si>
  <si>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</si>
  <si>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</si>
  <si>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</si>
  <si>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</si>
  <si>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</si>
  <si>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</si>
  <si>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</si>
  <si>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</si>
  <si>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</si>
  <si>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</si>
  <si>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</si>
  <si>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</si>
  <si>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</si>
  <si>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</si>
  <si>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</si>
  <si>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</si>
  <si>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</si>
  <si>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</si>
  <si>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</si>
  <si>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</si>
  <si>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</si>
  <si>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</si>
  <si>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</si>
  <si>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</si>
  <si>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</si>
  <si>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</si>
  <si>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</si>
  <si>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</si>
  <si>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</si>
  <si>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</si>
  <si>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</si>
  <si>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</si>
  <si>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</si>
  <si>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</si>
  <si>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</si>
  <si>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</si>
  <si>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</si>
  <si>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</si>
  <si>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</si>
  <si>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</si>
  <si>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</si>
  <si>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</si>
  <si>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</si>
  <si>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</si>
  <si>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</si>
  <si>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</si>
  <si>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</si>
  <si>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</si>
  <si>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</si>
  <si>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</si>
  <si>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</si>
  <si>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</si>
  <si>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</si>
  <si>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</si>
  <si>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</si>
  <si>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</si>
  <si>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</si>
  <si>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</si>
  <si>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</si>
  <si>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</si>
  <si>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</si>
  <si>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</si>
  <si>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</si>
  <si>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</si>
  <si>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</si>
  <si>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</si>
  <si>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</si>
  <si>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</si>
  <si>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</si>
  <si>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</si>
  <si>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</si>
  <si>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</si>
  <si>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</si>
  <si>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</si>
  <si>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</si>
  <si>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</si>
  <si>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</si>
  <si>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</si>
  <si>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</si>
  <si>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</si>
  <si>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</si>
  <si>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</si>
  <si>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</si>
  <si>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</si>
  <si>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</si>
  <si>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</si>
  <si>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</si>
  <si>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</si>
  <si>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</si>
  <si>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</si>
  <si>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</si>
  <si>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</si>
  <si>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</si>
  <si>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</si>
  <si>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</si>
  <si>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</si>
  <si>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</si>
  <si>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</si>
  <si>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</si>
  <si>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</si>
  <si>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</si>
  <si>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</si>
  <si>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</si>
  <si>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</si>
  <si>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</si>
  <si>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</si>
  <si>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</si>
  <si>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</si>
  <si>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</si>
  <si>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</si>
  <si>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</si>
  <si>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</si>
  <si>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</si>
  <si>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</si>
  <si>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</si>
  <si>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</si>
  <si>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</si>
  <si>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</si>
  <si>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</si>
  <si>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</si>
  <si>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</si>
  <si>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</si>
  <si>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</si>
  <si>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</si>
  <si>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</si>
  <si>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</si>
  <si>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</si>
  <si>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</si>
  <si>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</si>
  <si>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</si>
  <si>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</si>
  <si>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</si>
  <si>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</si>
  <si>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</si>
  <si>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</si>
  <si>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</si>
  <si>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</si>
  <si>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</si>
  <si>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</si>
  <si>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</si>
  <si>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</si>
  <si>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</si>
  <si>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</si>
  <si>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</si>
  <si>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</si>
  <si>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</si>
  <si>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</si>
  <si>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</si>
  <si>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</si>
  <si>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</si>
  <si>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</si>
  <si>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</si>
  <si>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</si>
  <si>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</si>
  <si>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</si>
  <si>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</si>
  <si>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</si>
  <si>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</si>
  <si>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</si>
  <si>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</si>
  <si>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</si>
  <si>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</si>
  <si>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</si>
  <si>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</si>
  <si>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</si>
  <si>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</si>
  <si>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</si>
  <si>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</si>
  <si>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</si>
  <si>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</si>
  <si>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</si>
  <si>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</si>
  <si>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</si>
  <si>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</si>
  <si>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</si>
  <si>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</si>
  <si>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</si>
  <si>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</si>
  <si>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</si>
  <si>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</si>
  <si>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</si>
  <si>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</si>
  <si>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</si>
  <si>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</si>
  <si>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</si>
  <si>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</si>
  <si>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</si>
  <si>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</si>
  <si>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</si>
  <si>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</si>
  <si>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</si>
  <si>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</si>
  <si>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</si>
  <si>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</si>
  <si>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</si>
  <si>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</si>
  <si>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</si>
  <si>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</si>
  <si>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</si>
  <si>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</si>
  <si>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</si>
  <si>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</si>
  <si>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</si>
  <si>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</si>
  <si>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</si>
  <si>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</si>
  <si>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</si>
  <si>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</si>
  <si>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</si>
  <si>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</si>
  <si>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</si>
  <si>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</si>
  <si>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</si>
  <si>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</si>
  <si>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</si>
  <si>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</si>
  <si>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</si>
  <si>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</si>
  <si>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</si>
  <si>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</si>
  <si>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</si>
  <si>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</si>
  <si>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</si>
  <si>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</si>
  <si>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</si>
  <si>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</si>
  <si>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</si>
  <si>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</si>
  <si>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</si>
  <si>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</si>
  <si>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</si>
  <si>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</si>
  <si>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</si>
  <si>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</si>
  <si>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</si>
  <si>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</si>
  <si>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</si>
  <si>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</si>
  <si>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</si>
  <si>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</si>
  <si>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</si>
  <si>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</si>
  <si>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</si>
  <si>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</si>
  <si>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</si>
  <si>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</si>
  <si>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</si>
  <si>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</si>
  <si>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</si>
  <si>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</si>
  <si>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</si>
  <si>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</si>
  <si>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</si>
  <si>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</si>
  <si>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</si>
  <si>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</si>
  <si>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</si>
  <si>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</si>
  <si>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</si>
  <si>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</si>
  <si>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</si>
  <si>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</si>
  <si>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</si>
  <si>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</si>
  <si>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</si>
  <si>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</si>
  <si>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</si>
  <si>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</si>
  <si>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</si>
  <si>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</si>
  <si>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</si>
  <si>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</si>
  <si>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</si>
  <si>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</si>
  <si>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</si>
  <si>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</si>
  <si>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</si>
  <si>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</si>
  <si>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</si>
  <si>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</si>
  <si>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</si>
  <si>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</si>
  <si>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</si>
  <si>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</si>
  <si>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</si>
  <si>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</si>
  <si>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</si>
  <si>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</si>
  <si>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</si>
  <si>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</si>
  <si>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</si>
  <si>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</si>
  <si>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</si>
  <si>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</si>
  <si>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</si>
  <si>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</si>
  <si>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</si>
  <si>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</si>
  <si>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</si>
  <si>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</si>
  <si>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</si>
  <si>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</si>
  <si>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</si>
  <si>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</si>
  <si>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</si>
  <si>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</si>
  <si>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</si>
  <si>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</si>
  <si>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</si>
  <si>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</si>
  <si>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</si>
  <si>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</si>
  <si>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</si>
  <si>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</si>
  <si>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</si>
  <si>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</si>
  <si>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</si>
  <si>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</si>
  <si>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</si>
  <si>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</si>
  <si>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</si>
  <si>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</si>
  <si>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</si>
  <si>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</si>
  <si>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</si>
  <si>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</si>
  <si>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</si>
  <si>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</si>
  <si>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</si>
  <si>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</si>
  <si>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</si>
  <si>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</si>
  <si>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</si>
  <si>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</si>
  <si>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</si>
  <si>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</si>
  <si>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</si>
  <si>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</si>
  <si>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</si>
  <si>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</si>
  <si>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</si>
  <si>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</si>
  <si>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</si>
  <si>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</si>
  <si>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</si>
  <si>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</si>
  <si>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</si>
  <si>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</si>
  <si>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</si>
  <si>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</si>
  <si>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</si>
  <si>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</si>
  <si>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</si>
  <si>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</si>
  <si>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</si>
  <si>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</si>
  <si>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</si>
  <si>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</si>
  <si>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</si>
  <si>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</si>
  <si>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</si>
  <si>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</si>
  <si>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</si>
  <si>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</si>
  <si>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</si>
  <si>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</si>
  <si>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</si>
  <si>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</si>
  <si>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</si>
  <si>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</si>
  <si>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</si>
  <si>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</si>
  <si>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</si>
  <si>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</si>
  <si>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</si>
  <si>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</si>
  <si>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</si>
  <si>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</si>
  <si>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</si>
  <si>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</si>
  <si>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</si>
  <si>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</si>
  <si>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</si>
  <si>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</si>
  <si>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</si>
  <si>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</si>
  <si>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</si>
  <si>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</si>
  <si>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</si>
  <si>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</si>
  <si>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</si>
  <si>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</si>
  <si>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</si>
  <si>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</si>
  <si>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</si>
  <si>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</si>
  <si>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</si>
  <si>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</si>
  <si>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</si>
  <si>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</si>
  <si>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</si>
  <si>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</si>
  <si>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</si>
  <si>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</si>
  <si>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</si>
  <si>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</si>
  <si>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</si>
  <si>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</si>
  <si>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</si>
  <si>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</si>
  <si>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</si>
  <si>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</si>
  <si>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</si>
  <si>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</si>
  <si>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</si>
  <si>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</si>
  <si>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</si>
  <si>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</si>
  <si>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</si>
  <si>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</si>
  <si>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</si>
  <si>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</si>
  <si>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</si>
  <si>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</si>
  <si>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</si>
  <si>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</si>
  <si>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</si>
  <si>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</si>
  <si>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</si>
  <si>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</si>
  <si>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</si>
  <si>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</si>
  <si>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</si>
  <si>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</si>
  <si>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</si>
  <si>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</si>
  <si>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</si>
  <si>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</si>
  <si>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</si>
  <si>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</si>
  <si>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</si>
  <si>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</si>
  <si>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</si>
  <si>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</si>
  <si>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</si>
  <si>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</si>
  <si>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</si>
  <si>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</si>
  <si>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</si>
  <si>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</si>
  <si>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</si>
  <si>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</si>
  <si>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</si>
  <si>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</si>
  <si>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</si>
  <si>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</si>
  <si>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</si>
  <si>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</si>
  <si>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</si>
  <si>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</si>
  <si>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</si>
  <si>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</si>
  <si>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</si>
  <si>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</si>
  <si>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</si>
  <si>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</si>
  <si>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</si>
  <si>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</si>
  <si>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</si>
  <si>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</si>
  <si>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</si>
  <si>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</si>
  <si>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</si>
  <si>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</si>
  <si>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</si>
  <si>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</si>
  <si>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</si>
  <si>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</si>
  <si>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</si>
  <si>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</si>
  <si>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</si>
  <si>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</si>
  <si>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</si>
  <si>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</si>
  <si>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</si>
  <si>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</si>
  <si>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</si>
  <si>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</si>
  <si>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</si>
  <si>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</si>
  <si>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</si>
  <si>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</si>
  <si>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</si>
  <si>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</si>
  <si>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</si>
  <si>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</si>
  <si>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</si>
  <si>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</si>
  <si>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</si>
  <si>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</si>
  <si>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</si>
  <si>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</si>
  <si>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</si>
  <si>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</si>
  <si>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</si>
  <si>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</si>
  <si>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</si>
  <si>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</si>
  <si>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</si>
  <si>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</si>
  <si>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</si>
  <si>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</si>
  <si>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</si>
  <si>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</si>
  <si>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</si>
  <si>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</si>
  <si>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</si>
  <si>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</si>
  <si>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</si>
  <si>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</si>
  <si>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</si>
  <si>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</si>
  <si>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</si>
  <si>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</si>
  <si>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</si>
  <si>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</si>
  <si>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</si>
  <si>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</si>
  <si>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</si>
  <si>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</si>
  <si>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</si>
  <si>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</si>
  <si>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</si>
  <si>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</si>
  <si>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</si>
  <si>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</si>
  <si>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</si>
  <si>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</si>
  <si>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</si>
  <si>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</si>
  <si>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</si>
  <si>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</si>
  <si>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</si>
  <si>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</si>
  <si>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</si>
  <si>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</si>
  <si>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</si>
  <si>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</si>
  <si>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</si>
  <si>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</si>
  <si>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</si>
  <si>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</si>
  <si>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</si>
  <si>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</si>
  <si>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</si>
  <si>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</si>
  <si>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</si>
  <si>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</si>
  <si>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</si>
  <si>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</si>
  <si>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</si>
  <si>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</si>
  <si>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</si>
  <si>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</si>
  <si>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</si>
  <si>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</si>
  <si>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</si>
  <si>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</si>
  <si>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</si>
  <si>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</si>
  <si>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</si>
  <si>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</si>
  <si>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</si>
  <si>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</si>
  <si>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</si>
  <si>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</si>
  <si>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</si>
  <si>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</si>
  <si>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</si>
  <si>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</si>
  <si>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</si>
  <si>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</si>
  <si>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</si>
  <si>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</si>
  <si>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</si>
  <si>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</si>
  <si>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</si>
  <si>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</si>
  <si>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</si>
  <si>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</si>
  <si>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</si>
  <si>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</si>
  <si>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</si>
  <si>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</si>
  <si>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</si>
  <si>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</si>
  <si>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</si>
  <si>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</si>
  <si>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</si>
  <si>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</si>
  <si>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</si>
  <si>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</si>
  <si>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</si>
  <si>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</si>
  <si>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</si>
  <si>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</si>
  <si>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</si>
  <si>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</si>
  <si>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</si>
  <si>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</si>
  <si>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</si>
  <si>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</si>
  <si>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</si>
  <si>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</si>
  <si>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</si>
  <si>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</si>
  <si>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</si>
  <si>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</si>
  <si>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</si>
  <si>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</si>
  <si>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</si>
  <si>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</si>
  <si>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</si>
  <si>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</si>
  <si>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</si>
  <si>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</si>
  <si>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</si>
  <si>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</si>
  <si>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</si>
  <si>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</si>
  <si>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</si>
  <si>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</si>
  <si>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</si>
  <si>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</si>
  <si>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</si>
  <si>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</si>
  <si>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</si>
  <si>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</si>
  <si>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</si>
  <si>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</si>
  <si>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</si>
  <si>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</si>
  <si>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</si>
  <si>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</si>
  <si>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</si>
  <si>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</si>
  <si>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</si>
  <si>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</si>
  <si>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</si>
  <si>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</si>
  <si>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</si>
  <si>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</si>
  <si>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</si>
  <si>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</si>
  <si>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</si>
  <si>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</si>
  <si>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</si>
  <si>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</si>
  <si>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</si>
  <si>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</si>
  <si>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</si>
  <si>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</si>
  <si>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</si>
  <si>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</si>
  <si>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</si>
  <si>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</si>
  <si>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</si>
  <si>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</si>
  <si>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</si>
  <si>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</si>
  <si>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</si>
  <si>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</si>
  <si>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</si>
  <si>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</si>
  <si>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</si>
  <si>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</si>
  <si>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</si>
  <si>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</si>
  <si>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</si>
  <si>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</si>
  <si>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</si>
  <si>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</si>
  <si>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</si>
  <si>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</si>
  <si>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</si>
  <si>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</si>
  <si>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</si>
  <si>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</si>
  <si>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</si>
  <si>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</si>
  <si>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</si>
  <si>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</si>
  <si>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</si>
  <si>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</si>
  <si>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</si>
  <si>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</si>
  <si>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</si>
  <si>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</si>
  <si>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</si>
  <si>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</si>
  <si>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</si>
  <si>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</si>
  <si>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</si>
  <si>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</si>
  <si>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</si>
  <si>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</si>
  <si>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</si>
  <si>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</si>
  <si>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</si>
  <si>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</si>
  <si>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</si>
  <si>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</si>
  <si>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</si>
  <si>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</si>
  <si>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</si>
  <si>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</si>
  <si>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</si>
  <si>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</si>
  <si>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</si>
  <si>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</si>
  <si>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</si>
  <si>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</si>
  <si>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</si>
  <si>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</si>
  <si>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</si>
  <si>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</si>
  <si>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</si>
  <si>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</si>
  <si>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</si>
  <si>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</si>
  <si>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</si>
  <si>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</si>
  <si>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</si>
  <si>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</si>
  <si>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</si>
  <si>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</si>
  <si>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</si>
  <si>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</si>
  <si>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</si>
  <si>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</si>
  <si>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</si>
  <si>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</si>
  <si>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</si>
  <si>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</si>
  <si>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</si>
  <si>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</si>
  <si>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</si>
  <si>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</si>
  <si>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</si>
  <si>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</si>
  <si>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</si>
  <si>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</si>
  <si>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</si>
  <si>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</si>
  <si>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</si>
  <si>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</si>
  <si>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</si>
  <si>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</si>
  <si>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</si>
  <si>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</si>
  <si>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</si>
  <si>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</si>
  <si>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</si>
  <si>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</si>
  <si>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</si>
  <si>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</si>
  <si>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</si>
  <si>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</si>
  <si>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</si>
  <si>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</si>
  <si>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</si>
  <si>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</si>
  <si>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</si>
  <si>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</si>
  <si>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</si>
  <si>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</si>
  <si>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</si>
  <si>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</si>
  <si>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</si>
  <si>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</si>
  <si>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</si>
  <si>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</si>
  <si>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</si>
  <si>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</si>
  <si>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</si>
  <si>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</si>
  <si>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</si>
  <si>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</si>
  <si>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</si>
  <si>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</si>
  <si>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</si>
  <si>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</si>
  <si>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</si>
  <si>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</si>
  <si>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</si>
  <si>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</si>
  <si>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</si>
  <si>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</si>
  <si>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</si>
  <si>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</si>
  <si>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</si>
  <si>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</si>
  <si>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</si>
  <si>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</si>
  <si>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</si>
  <si>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</si>
  <si>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</si>
  <si>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</si>
  <si>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</si>
  <si>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</si>
  <si>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</si>
  <si>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</si>
  <si>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</si>
  <si>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</si>
  <si>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</si>
  <si>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</si>
  <si>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</si>
  <si>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</si>
  <si>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</si>
  <si>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</si>
  <si>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</si>
  <si>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</si>
  <si>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</si>
  <si>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</si>
  <si>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</si>
  <si>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</si>
  <si>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</si>
  <si>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</si>
  <si>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</si>
  <si>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</si>
  <si>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</si>
  <si>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</si>
  <si>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</si>
  <si>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</si>
  <si>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</si>
  <si>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</si>
  <si>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</si>
  <si>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</si>
  <si>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</si>
  <si>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</si>
  <si>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</si>
  <si>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</si>
  <si>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</si>
  <si>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</si>
  <si>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</si>
  <si>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</si>
  <si>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</si>
  <si>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</si>
  <si>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</si>
  <si>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</si>
  <si>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</si>
  <si>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</si>
  <si>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</si>
  <si>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</si>
  <si>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</si>
  <si>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</si>
  <si>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</si>
  <si>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</si>
  <si>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</si>
  <si>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</si>
  <si>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</si>
  <si>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</si>
  <si>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</si>
  <si>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</si>
  <si>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</si>
  <si>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</si>
  <si>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</si>
  <si>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</si>
  <si>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</si>
  <si>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</si>
  <si>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</si>
  <si>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</si>
  <si>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</si>
  <si>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</si>
  <si>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</si>
  <si>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</si>
  <si>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</si>
  <si>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</si>
  <si>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</si>
  <si>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</si>
  <si>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</si>
  <si>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</si>
  <si>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</si>
  <si>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</si>
  <si>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</si>
  <si>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</si>
  <si>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</si>
  <si>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</si>
  <si>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</si>
  <si>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</si>
  <si>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</si>
  <si>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</si>
  <si>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</si>
  <si>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</si>
  <si>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</si>
  <si>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</si>
  <si>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</si>
  <si>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</si>
  <si>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</si>
  <si>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</si>
  <si>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</si>
  <si>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</si>
  <si>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</si>
  <si>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</si>
  <si>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</si>
  <si>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</si>
  <si>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</si>
  <si>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</si>
  <si>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</si>
  <si>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</si>
  <si>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</si>
  <si>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</si>
  <si>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</si>
  <si>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</si>
  <si>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</si>
  <si>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</si>
  <si>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</si>
  <si>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</si>
  <si>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</si>
  <si>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</si>
  <si>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</si>
  <si>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</si>
  <si>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</si>
  <si>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</si>
  <si>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</si>
  <si>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</si>
  <si>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</si>
  <si>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</si>
  <si>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</si>
  <si>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</si>
  <si>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</si>
  <si>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</si>
  <si>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</si>
  <si>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</si>
  <si>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</si>
  <si>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</si>
  <si>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</si>
  <si>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</si>
  <si>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</si>
  <si>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</si>
  <si>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</si>
  <si>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</si>
  <si>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</si>
  <si>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</si>
  <si>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</si>
  <si>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</si>
  <si>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</si>
  <si>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</si>
  <si>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</si>
  <si>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</si>
  <si>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</si>
  <si>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</si>
  <si>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</si>
  <si>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</si>
  <si>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</si>
  <si>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</si>
  <si>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</si>
  <si>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</si>
  <si>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</si>
  <si>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</si>
  <si>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</si>
  <si>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</si>
  <si>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</si>
  <si>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</si>
  <si>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</si>
  <si>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</si>
  <si>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</si>
  <si>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</si>
  <si>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</si>
  <si>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</si>
  <si>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</si>
  <si>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</si>
  <si>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</si>
  <si>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</si>
  <si>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</si>
  <si>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</si>
  <si>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</si>
  <si>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</si>
  <si>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</si>
  <si>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</si>
  <si>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</si>
  <si>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</si>
  <si>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</si>
  <si>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</si>
  <si>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</si>
  <si>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</si>
  <si>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</si>
  <si>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</si>
  <si>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</si>
  <si>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</si>
  <si>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</si>
  <si>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</si>
  <si>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</si>
  <si>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</si>
  <si>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</si>
  <si>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</si>
  <si>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</si>
  <si>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</si>
  <si>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</si>
  <si>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</si>
  <si>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</si>
  <si>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</si>
  <si>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</si>
  <si>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</si>
  <si>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</si>
  <si>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</si>
  <si>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</si>
  <si>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</si>
  <si>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</si>
  <si>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</si>
  <si>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</si>
  <si>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</si>
  <si>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</si>
  <si>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</si>
  <si>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</si>
  <si>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</si>
  <si>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</si>
  <si>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</si>
  <si>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</si>
  <si>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</si>
  <si>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</si>
  <si>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</si>
  <si>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</si>
  <si>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</si>
  <si>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</si>
  <si>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</si>
  <si>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</si>
  <si>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</si>
  <si>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</si>
  <si>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</si>
  <si>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</si>
  <si>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</si>
  <si>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</si>
  <si>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</si>
  <si>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</si>
  <si>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</si>
  <si>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</si>
  <si>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</si>
  <si>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</si>
  <si>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</si>
  <si>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</si>
  <si>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</si>
  <si>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</si>
  <si>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</si>
  <si>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</si>
  <si>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</si>
  <si>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</si>
  <si>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</si>
  <si>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</si>
  <si>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</si>
  <si>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</si>
  <si>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</si>
  <si>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</si>
  <si>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</si>
  <si>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</si>
  <si>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</si>
  <si>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</si>
  <si>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</si>
  <si>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</si>
  <si>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</si>
  <si>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</si>
  <si>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</si>
  <si>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</si>
  <si>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</si>
  <si>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</si>
  <si>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</si>
  <si>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</si>
  <si>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</si>
  <si>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</si>
  <si>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</si>
  <si>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</si>
  <si>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</si>
  <si>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</si>
  <si>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</si>
  <si>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</si>
  <si>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</si>
  <si>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</si>
  <si>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</si>
  <si>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</si>
  <si>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</si>
  <si>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</si>
  <si>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</si>
  <si>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</si>
  <si>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</si>
  <si>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</si>
  <si>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</si>
  <si>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</si>
  <si>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</si>
  <si>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</si>
  <si>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</si>
  <si>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</si>
  <si>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</si>
  <si>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</si>
  <si>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</si>
  <si>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</si>
  <si>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</si>
  <si>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</si>
  <si>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</si>
  <si>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</si>
  <si>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</si>
  <si>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</si>
  <si>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</si>
  <si>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</si>
  <si>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</si>
  <si>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</si>
  <si>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</si>
  <si>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</si>
  <si>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</si>
  <si>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</si>
  <si>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</si>
  <si>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</si>
  <si>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</si>
  <si>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</si>
  <si>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</si>
  <si>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</si>
  <si>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</si>
  <si>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</si>
  <si>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</si>
  <si>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</si>
  <si>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</si>
  <si>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</si>
  <si>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</si>
  <si>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</si>
  <si>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</si>
  <si>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</si>
  <si>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</si>
  <si>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</si>
  <si>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</si>
  <si>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</si>
  <si>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</si>
  <si>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</si>
  <si>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</si>
  <si>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</si>
  <si>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</si>
  <si>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</si>
  <si>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</si>
  <si>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</si>
  <si>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</si>
  <si>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</si>
  <si>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</si>
  <si>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</si>
  <si>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</si>
  <si>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</si>
  <si>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</si>
  <si>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</si>
  <si>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</si>
  <si>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</si>
  <si>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</si>
  <si>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</si>
  <si>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</si>
  <si>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</si>
  <si>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</si>
  <si>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</si>
  <si>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</si>
  <si>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</si>
  <si>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</si>
  <si>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</si>
  <si>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</si>
  <si>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</si>
  <si>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</si>
  <si>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</si>
  <si>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</si>
  <si>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</si>
  <si>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</si>
  <si>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</si>
  <si>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</si>
  <si>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</si>
  <si>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</si>
  <si>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</si>
  <si>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</si>
  <si>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</si>
  <si>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</si>
  <si>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</si>
  <si>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</si>
  <si>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</si>
  <si>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</si>
  <si>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</si>
  <si>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</si>
  <si>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</si>
  <si>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</si>
  <si>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</si>
  <si>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</si>
  <si>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</si>
  <si>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</si>
  <si>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</si>
  <si>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</si>
  <si>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</si>
  <si>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</si>
  <si>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</si>
  <si>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</si>
  <si>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</si>
  <si>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</si>
  <si>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</si>
  <si>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</si>
  <si>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</si>
  <si>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</si>
  <si>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</si>
  <si>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</si>
  <si>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</si>
  <si>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</si>
  <si>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</si>
  <si>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</si>
  <si>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</si>
  <si>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</si>
  <si>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</si>
  <si>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</si>
  <si>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</si>
  <si>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</si>
  <si>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</si>
  <si>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</si>
  <si>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</si>
  <si>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</si>
  <si>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</si>
  <si>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</si>
  <si>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</si>
  <si>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</si>
  <si>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</si>
  <si>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</si>
  <si>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</si>
  <si>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</si>
  <si>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</si>
  <si>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</si>
  <si>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</si>
  <si>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</si>
  <si>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</si>
  <si>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</si>
  <si>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</si>
  <si>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</si>
  <si>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</si>
  <si>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</si>
  <si>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</si>
  <si>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</si>
  <si>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</si>
  <si>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</si>
  <si>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</si>
  <si>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</si>
  <si>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</si>
  <si>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</si>
  <si>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</si>
  <si>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</si>
  <si>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</si>
  <si>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</si>
  <si>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</si>
  <si>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</si>
  <si>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</si>
  <si>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</si>
  <si>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</si>
  <si>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</si>
  <si>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</si>
  <si>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</si>
  <si>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</si>
  <si>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</si>
  <si>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</si>
  <si>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</si>
  <si>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</si>
  <si>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</si>
  <si>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</si>
  <si>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</si>
  <si>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</si>
  <si>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</si>
  <si>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</si>
  <si>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</si>
  <si>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</si>
  <si>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</si>
  <si>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</si>
  <si>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</si>
  <si>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</si>
  <si>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</si>
  <si>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</si>
  <si>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</si>
  <si>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</si>
  <si>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</si>
  <si>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</si>
  <si>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</si>
  <si>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</si>
  <si>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</si>
  <si>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</si>
  <si>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</si>
  <si>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</si>
  <si>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</si>
  <si>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</si>
  <si>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</si>
  <si>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</si>
  <si>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</si>
  <si>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</si>
  <si>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</si>
  <si>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</si>
  <si>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</si>
  <si>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</si>
  <si>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</si>
  <si>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</si>
  <si>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</si>
  <si>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</si>
  <si>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</si>
  <si>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</si>
  <si>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</si>
  <si>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</si>
  <si>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</si>
  <si>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</si>
  <si>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</si>
  <si>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</si>
  <si>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</si>
  <si>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</si>
  <si>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</si>
  <si>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</si>
  <si>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</si>
  <si>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</si>
  <si>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</si>
  <si>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</si>
  <si>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</si>
  <si>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</si>
  <si>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</si>
  <si>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</si>
  <si>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</si>
  <si>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</si>
  <si>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</si>
  <si>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</si>
  <si>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</si>
  <si>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</si>
  <si>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</si>
  <si>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</si>
  <si>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</si>
  <si>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</si>
  <si>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</si>
  <si>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</si>
  <si>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</si>
  <si>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</si>
  <si>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</si>
  <si>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</si>
  <si>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</si>
  <si>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</si>
  <si>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</si>
  <si>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</si>
  <si>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</si>
  <si>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</si>
  <si>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</si>
  <si>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</si>
  <si>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</si>
  <si>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</si>
  <si>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</si>
  <si>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</si>
  <si>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</si>
  <si>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</si>
  <si>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</si>
  <si>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</si>
  <si>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</si>
  <si>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</si>
  <si>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</si>
  <si>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</si>
  <si>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</si>
  <si>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</si>
  <si>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</si>
  <si>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</si>
  <si>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</si>
  <si>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</si>
  <si>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</si>
  <si>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</si>
  <si>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</si>
  <si>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</si>
  <si>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</si>
  <si>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</si>
  <si>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</si>
  <si>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</si>
  <si>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</si>
  <si>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</si>
  <si>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</si>
  <si>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</si>
  <si>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</si>
  <si>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</si>
  <si>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</si>
  <si>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</si>
  <si>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</si>
  <si>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</si>
  <si>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</si>
  <si>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</si>
  <si>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</si>
  <si>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</si>
  <si>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</si>
  <si>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</si>
  <si>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</si>
  <si>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</si>
  <si>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</si>
  <si>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</si>
  <si>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</si>
  <si>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</si>
  <si>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</si>
  <si>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</si>
  <si>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</si>
  <si>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</si>
  <si>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</si>
  <si>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</si>
  <si>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</si>
  <si>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</si>
  <si>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</si>
  <si>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</si>
  <si>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</si>
  <si>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</si>
  <si>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</si>
  <si>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</si>
  <si>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</si>
  <si>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</si>
  <si>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</si>
  <si>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</si>
  <si>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</si>
  <si>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</si>
  <si>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</si>
  <si>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</si>
  <si>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</si>
  <si>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</si>
  <si>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</si>
  <si>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</si>
  <si>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</si>
  <si>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</si>
  <si>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</si>
  <si>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</si>
  <si>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</si>
  <si>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</si>
  <si>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</si>
  <si>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</si>
  <si>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</si>
  <si>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</si>
  <si>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</si>
  <si>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</si>
  <si>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</si>
  <si>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</si>
  <si>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</si>
  <si>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</si>
  <si>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</si>
  <si>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</si>
  <si>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</si>
  <si>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</si>
  <si>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</si>
  <si>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</si>
  <si>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</si>
  <si>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</si>
  <si>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</si>
  <si>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</si>
  <si>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</si>
  <si>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</si>
  <si>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</si>
  <si>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</si>
  <si>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</si>
  <si>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</si>
  <si>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</si>
  <si>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</si>
  <si>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</si>
  <si>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</si>
  <si>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</si>
  <si>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</si>
  <si>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</si>
  <si>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</si>
  <si>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</si>
  <si>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</si>
  <si>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</si>
  <si>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</si>
  <si>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</si>
  <si>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</si>
  <si>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</si>
  <si>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</si>
  <si>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</si>
  <si>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</si>
  <si>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</si>
  <si>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</si>
  <si>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</si>
  <si>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</si>
  <si>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</si>
  <si>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</si>
  <si>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</si>
  <si>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</si>
  <si>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</si>
  <si>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</si>
  <si>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</si>
  <si>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</si>
  <si>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</si>
  <si>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</si>
  <si>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</si>
  <si>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</si>
  <si>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</si>
  <si>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</si>
  <si>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</si>
  <si>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</si>
  <si>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</si>
  <si>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</si>
  <si>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</si>
  <si>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</si>
  <si>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</si>
  <si>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</si>
  <si>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</si>
  <si>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</si>
  <si>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</si>
  <si>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</si>
  <si>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</si>
  <si>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</si>
  <si>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</si>
  <si>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</si>
  <si>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</si>
  <si>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</si>
  <si>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</si>
  <si>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</si>
  <si>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</si>
  <si>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</si>
  <si>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</si>
  <si>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</si>
  <si>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</si>
  <si>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</si>
  <si>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</si>
  <si>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</si>
  <si>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</si>
  <si>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</si>
  <si>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</si>
  <si>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</si>
  <si>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</si>
  <si>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</si>
  <si>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</si>
  <si>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</si>
  <si>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</si>
  <si>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</si>
  <si>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</si>
  <si>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</si>
  <si>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</si>
  <si>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</si>
  <si>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</si>
  <si>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</si>
  <si>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</si>
  <si>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</si>
  <si>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</si>
  <si>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</si>
  <si>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</si>
  <si>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</si>
  <si>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</si>
  <si>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</si>
  <si>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</si>
  <si>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</si>
  <si>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</si>
  <si>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</si>
  <si>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</si>
  <si>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</si>
  <si>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</si>
  <si>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</si>
  <si>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</si>
  <si>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</si>
  <si>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</si>
  <si>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</si>
  <si>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</si>
  <si>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</si>
  <si>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</si>
  <si>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</si>
  <si>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</si>
  <si>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</si>
  <si>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</si>
  <si>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</si>
  <si>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</si>
  <si>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</si>
  <si>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</si>
  <si>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</si>
  <si>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</si>
  <si>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</si>
  <si>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</si>
  <si>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</si>
  <si>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</si>
  <si>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</si>
  <si>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</si>
  <si>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</si>
  <si>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</si>
  <si>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</si>
  <si>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</si>
  <si>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</si>
  <si>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</si>
  <si>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</si>
  <si>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</si>
  <si>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</si>
  <si>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</si>
  <si>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</si>
  <si>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</si>
  <si>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</si>
  <si>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</si>
  <si>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</si>
  <si>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</si>
  <si>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</si>
  <si>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</si>
  <si>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</si>
  <si>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</si>
  <si>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</si>
  <si>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</si>
  <si>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</si>
  <si>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</si>
  <si>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</si>
  <si>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</si>
  <si>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</si>
  <si>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</si>
  <si>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</si>
  <si>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</si>
  <si>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</si>
  <si>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</si>
  <si>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</si>
  <si>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</si>
  <si>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</si>
  <si>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</si>
  <si>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</si>
  <si>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</si>
  <si>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</si>
  <si>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</si>
  <si>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</si>
  <si>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</si>
  <si>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</si>
  <si>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</si>
  <si>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</si>
  <si>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</si>
  <si>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</si>
  <si>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</si>
  <si>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</si>
  <si>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</si>
  <si>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</si>
  <si>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</si>
  <si>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</si>
  <si>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</si>
  <si>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</si>
  <si>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</si>
  <si>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</si>
  <si>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</si>
  <si>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</si>
  <si>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</si>
  <si>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</si>
  <si>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</si>
  <si>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</si>
  <si>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</si>
  <si>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</si>
  <si>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</si>
  <si>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</si>
  <si>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</si>
  <si>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</si>
  <si>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</si>
  <si>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</si>
  <si>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</si>
  <si>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</si>
  <si>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</si>
  <si>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</si>
  <si>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</si>
  <si>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</si>
  <si>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</si>
  <si>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</si>
  <si>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</si>
  <si>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</si>
  <si>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</si>
  <si>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</si>
  <si>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</si>
  <si>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</si>
  <si>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</si>
  <si>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</si>
  <si>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</si>
  <si>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</si>
  <si>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</si>
  <si>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</si>
  <si>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</si>
  <si>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</si>
  <si>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</si>
  <si>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</si>
  <si>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</si>
  <si>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</si>
  <si>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</si>
  <si>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</si>
  <si>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</si>
  <si>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</si>
  <si>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</si>
  <si>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</si>
  <si>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</si>
  <si>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</si>
  <si>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</si>
  <si>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</si>
  <si>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</si>
  <si>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</si>
  <si>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</si>
  <si>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</si>
  <si>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</si>
  <si>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</si>
  <si>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</si>
  <si>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</si>
  <si>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</si>
  <si>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</si>
  <si>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</si>
  <si>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</si>
  <si>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</si>
  <si>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</si>
  <si>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</si>
  <si>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</si>
  <si>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</si>
  <si>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</si>
  <si>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</si>
  <si>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</si>
  <si>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</si>
  <si>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</si>
  <si>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</si>
  <si>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</si>
  <si>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</si>
  <si>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</si>
  <si>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</si>
  <si>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</si>
  <si>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</si>
  <si>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</si>
  <si>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</si>
  <si>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</si>
  <si>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</si>
  <si>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</si>
  <si>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</si>
  <si>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</si>
  <si>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</si>
  <si>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</si>
  <si>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</si>
  <si>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</si>
  <si>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</si>
  <si>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</si>
  <si>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</si>
  <si>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</si>
  <si>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</si>
  <si>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</si>
  <si>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</si>
  <si>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</si>
  <si>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</si>
  <si>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</si>
  <si>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</si>
  <si>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</si>
  <si>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</si>
  <si>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</si>
  <si>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</si>
  <si>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</si>
  <si>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</si>
  <si>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</si>
  <si>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</si>
  <si>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</si>
  <si>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</si>
  <si>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</si>
  <si>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</si>
  <si>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</si>
  <si>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</si>
  <si>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</si>
  <si>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</si>
  <si>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</si>
  <si>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</si>
  <si>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</si>
  <si>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</si>
  <si>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</si>
  <si>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</si>
  <si>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</si>
  <si>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</si>
  <si>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</si>
  <si>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</si>
  <si>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</si>
  <si>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</si>
  <si>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</si>
  <si>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</si>
  <si>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</si>
  <si>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</si>
  <si>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</si>
  <si>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</si>
  <si>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</si>
  <si>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</si>
  <si>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</si>
  <si>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</si>
  <si>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</si>
  <si>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</si>
  <si>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</si>
  <si>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</si>
  <si>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</si>
  <si>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</si>
  <si>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</si>
  <si>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</si>
  <si>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</si>
  <si>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</si>
  <si>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</si>
  <si>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</si>
  <si>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</si>
  <si>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</si>
  <si>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</si>
  <si>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</si>
  <si>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</si>
  <si>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</si>
  <si>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</si>
  <si>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</si>
  <si>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</si>
  <si>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</si>
  <si>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</si>
  <si>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</si>
  <si>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</si>
  <si>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</si>
  <si>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</si>
  <si>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</si>
  <si>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</si>
  <si>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</si>
  <si>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</si>
  <si>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</si>
  <si>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</si>
  <si>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</si>
  <si>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</si>
  <si>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</si>
  <si>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</si>
  <si>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</si>
  <si>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</si>
  <si>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</si>
  <si>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</si>
  <si>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</si>
  <si>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</si>
  <si>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</si>
  <si>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</si>
  <si>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</si>
  <si>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</si>
  <si>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</si>
  <si>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</si>
  <si>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</si>
  <si>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</si>
  <si>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</si>
  <si>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</si>
  <si>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</si>
  <si>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</si>
  <si>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</si>
  <si>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</si>
  <si>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</si>
  <si>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</si>
  <si>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</si>
  <si>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</si>
  <si>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</si>
  <si>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</si>
  <si>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</si>
  <si>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</si>
  <si>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</si>
  <si>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</si>
  <si>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</si>
  <si>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</si>
  <si>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</si>
  <si>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</si>
  <si>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</si>
  <si>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</si>
  <si>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</si>
  <si>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</si>
  <si>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</si>
  <si>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</si>
  <si>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</si>
  <si>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</si>
  <si>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</si>
  <si>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</si>
  <si>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</si>
  <si>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</si>
  <si>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</si>
  <si>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</si>
  <si>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</si>
  <si>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</si>
  <si>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</si>
  <si>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</si>
  <si>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</si>
  <si>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</si>
  <si>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</si>
  <si>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</si>
  <si>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</si>
  <si>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</si>
  <si>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</si>
  <si>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</si>
  <si>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</si>
  <si>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</si>
  <si>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</si>
  <si>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</si>
  <si>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</si>
  <si>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</si>
  <si>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</si>
  <si>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</si>
  <si>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</si>
  <si>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</si>
  <si>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</si>
  <si>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</si>
  <si>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</si>
  <si>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</si>
  <si>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</si>
  <si>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</si>
  <si>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</si>
  <si>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</si>
  <si>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</si>
  <si>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</si>
  <si>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</si>
  <si>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</si>
  <si>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</si>
  <si>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</si>
  <si>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</si>
  <si>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</si>
  <si>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</si>
  <si>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</si>
  <si>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</si>
  <si>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</si>
  <si>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</si>
  <si>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</si>
  <si>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</si>
  <si>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</si>
  <si>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</si>
  <si>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</si>
  <si>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</si>
  <si>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</si>
  <si>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</si>
  <si>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</si>
  <si>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</si>
  <si>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</si>
  <si>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</si>
  <si>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</si>
  <si>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</si>
  <si>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</si>
  <si>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</si>
  <si>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</si>
  <si>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</si>
  <si>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</si>
  <si>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</si>
  <si>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</si>
  <si>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</si>
  <si>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</si>
  <si>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</si>
  <si>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</si>
  <si>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</si>
  <si>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</si>
  <si>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</si>
  <si>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</si>
  <si>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</si>
  <si>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</si>
  <si>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</si>
  <si>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</si>
  <si>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</si>
  <si>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</si>
  <si>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</si>
  <si>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</si>
  <si>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</si>
  <si>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</si>
  <si>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</si>
  <si>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</si>
  <si>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</si>
  <si>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</si>
  <si>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</si>
  <si>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</si>
  <si>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</si>
  <si>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</si>
  <si>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</si>
  <si>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</si>
  <si>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</si>
  <si>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</si>
  <si>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</si>
  <si>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</si>
  <si>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</si>
  <si>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</si>
  <si>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</si>
  <si>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</si>
  <si>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</si>
  <si>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</si>
  <si>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</si>
  <si>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</si>
  <si>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</si>
  <si>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</si>
  <si>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</si>
  <si>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</si>
  <si>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</si>
  <si>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</si>
  <si>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</si>
  <si>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</si>
  <si>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</si>
  <si>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</si>
  <si>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</si>
  <si>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</si>
  <si>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</si>
  <si>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</si>
  <si>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</si>
  <si>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</si>
  <si>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</si>
  <si>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</si>
  <si>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</si>
  <si>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</si>
  <si>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</si>
  <si>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</si>
  <si>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</si>
  <si>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</si>
  <si>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</si>
  <si>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</si>
  <si>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</si>
  <si>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</si>
  <si>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</si>
  <si>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</si>
  <si>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</si>
  <si>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</si>
  <si>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</si>
  <si>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</si>
  <si>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</si>
  <si>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</si>
  <si>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</si>
  <si>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</si>
  <si>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</si>
  <si>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</si>
  <si>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</si>
  <si>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</si>
  <si>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</si>
  <si>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</si>
  <si>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</si>
  <si>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</si>
  <si>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</si>
  <si>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</si>
  <si>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</si>
  <si>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</si>
  <si>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</si>
  <si>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</si>
  <si>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</si>
  <si>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</si>
  <si>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</si>
  <si>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</si>
  <si>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</si>
  <si>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</si>
  <si>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</si>
  <si>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</si>
  <si>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</si>
  <si>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</si>
  <si>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</si>
  <si>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</si>
  <si>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</si>
  <si>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</si>
  <si>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</si>
  <si>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</si>
  <si>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</si>
  <si>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</si>
  <si>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</si>
  <si>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</si>
  <si>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</si>
  <si>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</si>
  <si>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</si>
  <si>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</si>
  <si>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</si>
  <si>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</si>
  <si>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</si>
  <si>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</si>
  <si>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</si>
  <si>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</si>
  <si>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</si>
  <si>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</si>
  <si>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</si>
  <si>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</si>
  <si>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</si>
  <si>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</si>
  <si>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</si>
  <si>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</si>
  <si>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</si>
  <si>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</si>
  <si>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</si>
  <si>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</si>
  <si>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</si>
  <si>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</si>
  <si>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</si>
  <si>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</si>
  <si>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</si>
  <si>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</si>
  <si>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</si>
  <si>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</si>
  <si>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</si>
  <si>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</si>
  <si>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</si>
  <si>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</si>
  <si>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</si>
  <si>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</si>
  <si>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</si>
  <si>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</si>
  <si>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</si>
  <si>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</si>
  <si>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</si>
  <si>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</si>
  <si>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</si>
  <si>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</si>
  <si>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</si>
  <si>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</si>
  <si>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</si>
  <si>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</si>
  <si>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</si>
  <si>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</si>
  <si>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</si>
  <si>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</si>
  <si>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</si>
  <si>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</si>
  <si>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</si>
  <si>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</si>
  <si>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</si>
  <si>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</si>
  <si>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</si>
  <si>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</si>
  <si>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</si>
  <si>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</si>
  <si>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</si>
  <si>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</si>
  <si>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</si>
  <si>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</si>
  <si>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</si>
  <si>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</si>
  <si>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</si>
  <si>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</si>
  <si>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</si>
  <si>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</si>
  <si>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</si>
  <si>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</si>
  <si>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</si>
  <si>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</si>
  <si>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</si>
  <si>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</si>
  <si>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</si>
  <si>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</si>
  <si>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</si>
  <si>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</si>
  <si>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</si>
  <si>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</si>
  <si>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</si>
  <si>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</si>
  <si>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</si>
  <si>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</si>
  <si>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</si>
  <si>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</si>
  <si>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</si>
  <si>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</si>
  <si>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</si>
  <si>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</si>
  <si>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</si>
  <si>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</si>
  <si>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</si>
  <si>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</si>
  <si>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</si>
  <si>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</si>
  <si>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</si>
  <si>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</si>
  <si>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</si>
  <si>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</si>
  <si>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</si>
  <si>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</si>
  <si>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</si>
  <si>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</si>
  <si>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</si>
  <si>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</si>
  <si>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</si>
  <si>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</si>
  <si>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</si>
  <si>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</si>
  <si>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</si>
  <si>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</si>
  <si>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</si>
  <si>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</si>
  <si>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</si>
  <si>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</si>
  <si>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</si>
  <si>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</si>
  <si>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</si>
  <si>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</si>
  <si>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</si>
  <si>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</si>
  <si>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</si>
  <si>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</si>
  <si>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</si>
  <si>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</si>
  <si>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</si>
  <si>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</si>
  <si>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</si>
  <si>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</si>
  <si>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</si>
  <si>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</si>
  <si>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</si>
  <si>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</si>
  <si>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</si>
  <si>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</si>
  <si>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</si>
  <si>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</si>
  <si>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</si>
  <si>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</si>
  <si>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</si>
  <si>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</si>
  <si>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</si>
  <si>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</si>
  <si>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</si>
  <si>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</si>
  <si>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</si>
  <si>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</si>
  <si>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</si>
  <si>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</si>
  <si>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</si>
  <si>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</si>
  <si>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</si>
  <si>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</si>
  <si>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</si>
  <si>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</si>
  <si>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</si>
  <si>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</si>
  <si>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</si>
  <si>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</si>
  <si>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</si>
  <si>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</si>
  <si>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</si>
  <si>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</si>
  <si>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</si>
  <si>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</si>
  <si>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</si>
  <si>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</si>
  <si>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</si>
  <si>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</si>
  <si>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</si>
  <si>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</si>
  <si>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</si>
  <si>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</si>
  <si>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</si>
  <si>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</si>
  <si>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</si>
  <si>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</si>
  <si>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</si>
  <si>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</si>
  <si>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</si>
  <si>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</si>
  <si>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</si>
  <si>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</si>
  <si>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</si>
  <si>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</si>
  <si>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</si>
  <si>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</si>
  <si>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</si>
  <si>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</si>
  <si>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</si>
  <si>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</si>
  <si>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</si>
  <si>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</si>
  <si>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</si>
  <si>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</si>
  <si>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</si>
  <si>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</si>
  <si>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</si>
  <si>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</si>
  <si>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</si>
  <si>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</si>
  <si>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</si>
  <si>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</si>
  <si>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</si>
  <si>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</si>
  <si>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</si>
  <si>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</si>
  <si>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</si>
  <si>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</si>
  <si>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</si>
  <si>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</si>
  <si>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</si>
  <si>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</si>
  <si>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</si>
  <si>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</si>
  <si>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</si>
  <si>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</si>
  <si>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</si>
  <si>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</si>
  <si>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</si>
  <si>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</si>
  <si>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</si>
  <si>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</si>
  <si>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</si>
  <si>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</si>
  <si>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</si>
  <si>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</si>
  <si>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</si>
  <si>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</si>
  <si>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</si>
  <si>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</si>
  <si>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</si>
  <si>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</si>
  <si>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</si>
  <si>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</si>
  <si>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</si>
  <si>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</si>
  <si>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</si>
  <si>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</si>
  <si>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</si>
  <si>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</si>
  <si>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</si>
  <si>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</si>
  <si>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</si>
  <si>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</si>
  <si>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</si>
  <si>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</si>
  <si>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</si>
  <si>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</si>
  <si>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</si>
  <si>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</si>
  <si>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</si>
  <si>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</si>
  <si>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</si>
  <si>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</si>
  <si>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</si>
  <si>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</si>
  <si>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</si>
  <si>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</si>
  <si>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</si>
  <si>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</si>
  <si>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</si>
  <si>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</si>
  <si>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</si>
  <si>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</si>
  <si>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</si>
  <si>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</si>
  <si>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</si>
  <si>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</si>
  <si>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</si>
  <si>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</si>
  <si>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</si>
  <si>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</si>
  <si>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</si>
  <si>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</si>
  <si>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</si>
  <si>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</si>
  <si>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</si>
  <si>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</si>
  <si>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</si>
  <si>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</si>
  <si>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</si>
  <si>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</si>
  <si>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</si>
  <si>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</si>
  <si>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</si>
  <si>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</si>
  <si>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</si>
  <si>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</si>
  <si>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</si>
  <si>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</si>
  <si>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</si>
  <si>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</si>
  <si>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</si>
  <si>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</si>
  <si>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</si>
  <si>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</si>
  <si>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</si>
  <si>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</si>
  <si>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</si>
  <si>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</si>
  <si>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</si>
  <si>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</si>
  <si>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</si>
  <si>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</si>
  <si>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</si>
  <si>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</si>
  <si>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</si>
  <si>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</si>
  <si>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</si>
  <si>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</si>
  <si>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</si>
  <si>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</si>
  <si>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</si>
  <si>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</si>
  <si>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</si>
  <si>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</si>
  <si>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</si>
  <si>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</si>
  <si>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</si>
  <si>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</si>
  <si>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</si>
  <si>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</si>
  <si>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</si>
  <si>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</si>
  <si>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</si>
  <si>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</si>
  <si>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</si>
  <si>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</si>
  <si>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</si>
  <si>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</si>
  <si>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</si>
  <si>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</si>
  <si>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</si>
  <si>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</si>
  <si>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</si>
  <si>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</si>
  <si>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</si>
  <si>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</si>
  <si>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</si>
  <si>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</si>
  <si>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</si>
  <si>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</si>
  <si>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</si>
  <si>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</si>
  <si>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</si>
  <si>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</si>
  <si>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</si>
  <si>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</si>
  <si>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</si>
  <si>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</si>
  <si>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</si>
  <si>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</si>
  <si>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</si>
  <si>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</si>
  <si>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</si>
  <si>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</si>
  <si>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</si>
  <si>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</si>
  <si>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</si>
  <si>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</si>
  <si>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</si>
  <si>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</si>
  <si>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</si>
  <si>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</si>
  <si>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</si>
  <si>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</si>
  <si>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</si>
  <si>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</si>
  <si>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</si>
  <si>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</si>
  <si>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</si>
  <si>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</si>
  <si>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</si>
  <si>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</si>
  <si>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</si>
  <si>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</si>
  <si>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</si>
  <si>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</si>
  <si>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</si>
  <si>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</si>
  <si>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</si>
  <si>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</si>
  <si>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</si>
  <si>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</si>
  <si>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</si>
  <si>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</si>
  <si>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</si>
  <si>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</si>
  <si>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</si>
  <si>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</si>
  <si>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</si>
  <si>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</si>
  <si>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</si>
  <si>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</si>
  <si>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</si>
  <si>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</si>
  <si>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</si>
  <si>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</si>
  <si>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</si>
  <si>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</si>
  <si>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</si>
  <si>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</si>
  <si>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</si>
  <si>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</si>
  <si>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</si>
  <si>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</si>
  <si>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</si>
  <si>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</si>
  <si>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</si>
  <si>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</si>
  <si>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</si>
  <si>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</si>
  <si>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</si>
  <si>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</si>
  <si>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</si>
  <si>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</si>
  <si>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</si>
  <si>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</si>
  <si>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</si>
  <si>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</si>
  <si>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</si>
  <si>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</si>
  <si>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</si>
  <si>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</si>
  <si>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</si>
  <si>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</si>
  <si>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</si>
  <si>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</si>
  <si>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</si>
  <si>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</si>
  <si>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</si>
  <si>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</si>
  <si>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</si>
  <si>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</si>
  <si>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</si>
  <si>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</si>
  <si>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</si>
  <si>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</si>
  <si>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</si>
  <si>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</si>
  <si>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</si>
  <si>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</si>
  <si>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</si>
  <si>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</si>
  <si>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</si>
  <si>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</si>
  <si>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</si>
  <si>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</si>
  <si>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</si>
  <si>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</si>
  <si>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</si>
  <si>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</si>
  <si>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</si>
  <si>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</si>
  <si>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</si>
  <si>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</si>
  <si>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</si>
  <si>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</si>
  <si>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</si>
  <si>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</si>
  <si>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</si>
  <si>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</si>
  <si>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</si>
  <si>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</si>
  <si>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</si>
  <si>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</si>
  <si>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</si>
  <si>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</si>
  <si>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</si>
  <si>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</si>
  <si>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</si>
  <si>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</si>
  <si>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</si>
  <si>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</si>
  <si>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</si>
  <si>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</si>
  <si>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</si>
  <si>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</si>
  <si>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</si>
  <si>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</si>
  <si>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</si>
  <si>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</si>
  <si>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</si>
  <si>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</si>
  <si>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</si>
  <si>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</si>
  <si>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</si>
  <si>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</si>
  <si>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</si>
  <si>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</si>
  <si>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</si>
  <si>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</si>
  <si>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</si>
  <si>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</si>
  <si>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</si>
  <si>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</si>
  <si>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</si>
  <si>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</si>
  <si>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</si>
  <si>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</si>
  <si>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</si>
  <si>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</si>
  <si>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</si>
  <si>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</si>
  <si>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</si>
  <si>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</si>
  <si>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</si>
  <si>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</si>
  <si>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</si>
  <si>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</si>
  <si>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</si>
  <si>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</si>
  <si>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</si>
  <si>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</si>
  <si>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</si>
  <si>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</si>
  <si>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</si>
  <si>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</si>
  <si>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</si>
  <si>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</si>
  <si>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</si>
  <si>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</si>
  <si>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</si>
  <si>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</si>
  <si>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</si>
  <si>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</si>
  <si>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</si>
  <si>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</si>
  <si>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</si>
  <si>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</si>
  <si>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</si>
  <si>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</si>
  <si>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</si>
  <si>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</si>
  <si>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</si>
  <si>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</si>
  <si>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</si>
  <si>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</si>
  <si>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</si>
  <si>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</si>
  <si>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</si>
  <si>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</si>
  <si>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</si>
  <si>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</si>
  <si>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</si>
  <si>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</si>
  <si>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</si>
  <si>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</si>
  <si>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</si>
  <si>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</si>
  <si>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</si>
  <si>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</si>
  <si>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</si>
  <si>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</si>
  <si>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</si>
  <si>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</si>
  <si>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</si>
  <si>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</si>
  <si>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</si>
  <si>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</si>
  <si>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</si>
  <si>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</si>
  <si>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</si>
  <si>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</si>
  <si>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</si>
  <si>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</si>
  <si>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</si>
  <si>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</si>
  <si>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</si>
  <si>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</si>
  <si>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</si>
  <si>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</si>
  <si>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</si>
  <si>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</si>
  <si>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</si>
  <si>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</si>
  <si>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</si>
  <si>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</si>
  <si>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</si>
  <si>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</si>
  <si>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</si>
  <si>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</si>
  <si>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</si>
  <si>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</si>
  <si>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</si>
  <si>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</si>
  <si>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</si>
  <si>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</si>
  <si>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</si>
  <si>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</si>
  <si>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</si>
  <si>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</si>
  <si>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</si>
  <si>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</si>
  <si>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</si>
  <si>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</si>
  <si>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</si>
  <si>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</si>
  <si>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</si>
  <si>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</si>
  <si>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</si>
  <si>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</si>
  <si>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</si>
  <si>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</si>
  <si>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</si>
  <si>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</si>
  <si>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</si>
  <si>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</si>
  <si>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</si>
  <si>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</si>
  <si>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</si>
  <si>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</si>
  <si>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</si>
  <si>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</si>
  <si>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</si>
  <si>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</si>
  <si>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</si>
  <si>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</si>
  <si>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</si>
  <si>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</si>
  <si>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</si>
  <si>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</si>
  <si>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</si>
  <si>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</si>
  <si>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</si>
  <si>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</si>
  <si>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</si>
  <si>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</si>
  <si>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</si>
  <si>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</si>
  <si>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</si>
  <si>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</si>
  <si>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</si>
  <si>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</si>
  <si>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</si>
  <si>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</si>
  <si>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</si>
  <si>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</si>
  <si>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</si>
  <si>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</si>
  <si>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</si>
  <si>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</si>
  <si>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</si>
  <si>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</si>
  <si>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</si>
  <si>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</si>
  <si>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</si>
  <si>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</si>
  <si>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</si>
  <si>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</si>
  <si>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</si>
  <si>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</si>
  <si>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</si>
  <si>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</si>
  <si>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</si>
  <si>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</si>
  <si>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</si>
  <si>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</si>
  <si>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</si>
  <si>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</si>
  <si>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</si>
  <si>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</si>
  <si>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</si>
  <si>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</si>
  <si>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</si>
  <si>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</si>
  <si>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</si>
  <si>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</si>
  <si>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</si>
  <si>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</si>
  <si>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</si>
  <si>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</si>
  <si>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</si>
  <si>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</si>
  <si>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</si>
  <si>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</si>
  <si>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</si>
  <si>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</si>
  <si>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</si>
  <si>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</si>
  <si>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</si>
  <si>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</si>
  <si>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</si>
  <si>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</si>
  <si>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</si>
  <si>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</si>
  <si>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</si>
  <si>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</si>
  <si>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</si>
  <si>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</si>
  <si>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</si>
  <si>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</si>
  <si>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</si>
  <si>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</si>
  <si>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</si>
  <si>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</si>
  <si>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</si>
  <si>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</si>
  <si>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</si>
  <si>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</si>
  <si>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</si>
  <si>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</si>
  <si>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</si>
  <si>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</si>
  <si>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</si>
  <si>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</si>
  <si>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</si>
  <si>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</si>
  <si>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</si>
  <si>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</si>
  <si>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</si>
  <si>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</si>
  <si>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</si>
  <si>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</si>
  <si>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</si>
  <si>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</si>
  <si>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</si>
  <si>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</si>
  <si>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</si>
  <si>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</si>
  <si>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</si>
  <si>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</si>
  <si>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</si>
  <si>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</si>
  <si>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</si>
  <si>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</si>
  <si>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</si>
  <si>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</si>
  <si>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</si>
  <si>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</si>
  <si>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</si>
  <si>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</si>
  <si>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</si>
  <si>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</si>
  <si>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</si>
  <si>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</si>
  <si>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</si>
  <si>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</si>
  <si>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</si>
  <si>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</si>
  <si>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</si>
  <si>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</si>
  <si>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</si>
  <si>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</si>
  <si>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</si>
  <si>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</si>
  <si>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</si>
  <si>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</si>
  <si>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</si>
  <si>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</si>
  <si>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</si>
  <si>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</si>
  <si>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</si>
  <si>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</si>
  <si>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</si>
  <si>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</si>
  <si>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</si>
  <si>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</si>
  <si>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</si>
  <si>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</si>
  <si>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</si>
  <si>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</si>
  <si>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</si>
  <si>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</si>
  <si>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</si>
  <si>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</si>
  <si>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</si>
  <si>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</si>
  <si>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</si>
  <si>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</si>
  <si>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</si>
  <si>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</si>
  <si>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</si>
  <si>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</si>
  <si>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</si>
  <si>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</si>
  <si>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</si>
  <si>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</si>
  <si>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</si>
  <si>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</si>
  <si>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</si>
  <si>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</si>
  <si>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</si>
  <si>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</si>
  <si>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</si>
  <si>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</si>
  <si>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</si>
  <si>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</si>
  <si>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</si>
  <si>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</si>
  <si>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</si>
  <si>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</si>
  <si>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</si>
  <si>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</si>
  <si>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</si>
  <si>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</si>
  <si>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</si>
  <si>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</si>
  <si>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</si>
  <si>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</si>
  <si>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</si>
  <si>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</si>
  <si>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</si>
  <si>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</si>
  <si>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</si>
  <si>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</si>
  <si>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</si>
  <si>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</si>
  <si>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</si>
  <si>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</si>
  <si>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</si>
  <si>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</si>
  <si>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</si>
  <si>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</si>
  <si>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</si>
  <si>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</si>
  <si>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</si>
  <si>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</si>
  <si>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</si>
  <si>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</si>
  <si>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</si>
  <si>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</si>
  <si>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</si>
  <si>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</si>
  <si>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</si>
  <si>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</si>
  <si>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</si>
  <si>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</si>
  <si>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</si>
  <si>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</si>
  <si>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</si>
  <si>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</si>
  <si>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</si>
  <si>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</si>
  <si>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</si>
  <si>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</si>
  <si>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</si>
  <si>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</si>
  <si>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</si>
  <si>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</si>
  <si>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</si>
  <si>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</si>
  <si>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</si>
  <si>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</si>
  <si>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</si>
  <si>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</si>
  <si>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</si>
  <si>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</si>
  <si>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</si>
  <si>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</si>
  <si>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</si>
  <si>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</si>
  <si>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</si>
  <si>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</si>
  <si>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</si>
  <si>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</si>
  <si>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</si>
  <si>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</si>
  <si>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</si>
  <si>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</si>
  <si>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</si>
  <si>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</si>
  <si>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</si>
  <si>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</si>
  <si>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</si>
  <si>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</si>
  <si>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</si>
  <si>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</si>
  <si>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</si>
  <si>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</si>
  <si>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</si>
  <si>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</si>
  <si>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</si>
  <si>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</si>
  <si>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</si>
  <si>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</si>
  <si>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</si>
  <si>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</si>
  <si>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</si>
  <si>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</si>
  <si>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</si>
  <si>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</si>
  <si>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</si>
  <si>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</si>
  <si>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</si>
  <si>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</si>
  <si>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</si>
  <si>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</si>
  <si>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</si>
  <si>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</si>
  <si>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</si>
  <si>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</si>
  <si>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</si>
  <si>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</si>
  <si>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</si>
  <si>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</si>
  <si>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</si>
  <si>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</si>
  <si>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</si>
  <si>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</si>
  <si>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</si>
  <si>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</si>
  <si>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</si>
  <si>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</si>
  <si>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</si>
  <si>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</si>
  <si>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</si>
  <si>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</si>
  <si>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</si>
  <si>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</si>
  <si>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</si>
  <si>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</si>
  <si>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</si>
  <si>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</si>
  <si>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</si>
  <si>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</si>
  <si>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</si>
  <si>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</si>
  <si>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</si>
  <si>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</si>
  <si>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</si>
  <si>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</si>
  <si>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</si>
  <si>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</si>
  <si>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</si>
  <si>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</si>
  <si>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</si>
  <si>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</si>
  <si>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</si>
  <si>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</si>
  <si>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</si>
  <si>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</si>
  <si>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</si>
  <si>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</si>
  <si>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</si>
  <si>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</si>
  <si>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</si>
  <si>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</si>
  <si>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</si>
  <si>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</si>
  <si>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</si>
  <si>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</si>
  <si>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</si>
  <si>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</si>
  <si>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</si>
  <si>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</si>
  <si>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</si>
  <si>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</si>
  <si>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</si>
  <si>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</si>
  <si>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</si>
  <si>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</si>
  <si>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</si>
  <si>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</si>
  <si>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</si>
  <si>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</si>
  <si>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</si>
  <si>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</si>
  <si>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</si>
  <si>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</si>
  <si>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</si>
  <si>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</si>
  <si>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</si>
  <si>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</si>
  <si>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</si>
  <si>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</si>
  <si>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</si>
  <si>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</si>
  <si>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</si>
  <si>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</si>
  <si>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</si>
  <si>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</si>
  <si>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</si>
  <si>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</si>
  <si>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</si>
  <si>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</si>
  <si>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</si>
  <si>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</si>
  <si>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</si>
  <si>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</si>
  <si>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</si>
  <si>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</si>
  <si>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</si>
  <si>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</si>
  <si>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</si>
  <si>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</si>
  <si>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</si>
  <si>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</si>
  <si>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</si>
  <si>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</si>
  <si>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</si>
  <si>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</si>
  <si>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</si>
  <si>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</si>
  <si>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</si>
  <si>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</si>
  <si>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</si>
  <si>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</si>
  <si>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</si>
  <si>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</si>
  <si>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</si>
  <si>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</si>
  <si>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</si>
  <si>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</si>
  <si>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</si>
  <si>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</si>
  <si>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</si>
  <si>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</si>
  <si>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</si>
  <si>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</si>
  <si>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</si>
  <si>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</si>
  <si>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</si>
  <si>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</si>
  <si>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</si>
  <si>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</si>
  <si>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</si>
  <si>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</si>
  <si>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</si>
  <si>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</si>
  <si>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</si>
  <si>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</si>
  <si>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</si>
  <si>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</si>
  <si>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</si>
  <si>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</si>
  <si>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</si>
  <si>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</si>
  <si>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</si>
  <si>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</si>
  <si>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</si>
  <si>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</si>
  <si>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</si>
  <si>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</si>
  <si>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</si>
  <si>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</si>
  <si>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</si>
  <si>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</si>
  <si>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</si>
  <si>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</si>
  <si>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</si>
  <si>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</si>
  <si>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</si>
  <si>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</si>
  <si>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</si>
  <si>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</si>
  <si>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</si>
  <si>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</si>
  <si>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</si>
  <si>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</si>
  <si>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</si>
  <si>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</si>
  <si>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</si>
  <si>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</si>
  <si>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</si>
  <si>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</si>
  <si>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</si>
  <si>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</si>
  <si>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</si>
  <si>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</si>
  <si>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</si>
  <si>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</si>
  <si>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</si>
  <si>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</si>
  <si>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</si>
  <si>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</si>
  <si>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</si>
  <si>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</si>
  <si>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</si>
  <si>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</si>
  <si>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</si>
  <si>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</si>
  <si>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</si>
  <si>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</si>
  <si>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</si>
  <si>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</si>
  <si>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</si>
  <si>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</si>
  <si>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</si>
  <si>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</si>
  <si>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</si>
  <si>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</si>
  <si>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</si>
  <si>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</si>
  <si>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</si>
  <si>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</si>
  <si>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</si>
  <si>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</si>
  <si>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</si>
  <si>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</si>
  <si>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</si>
  <si>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</si>
  <si>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</si>
  <si>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</si>
  <si>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</si>
  <si>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</si>
  <si>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</si>
  <si>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</si>
  <si>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</si>
  <si>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</si>
  <si>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</si>
  <si>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</si>
  <si>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</si>
  <si>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</si>
  <si>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</si>
  <si>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</si>
  <si>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</si>
  <si>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</si>
  <si>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</si>
  <si>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</si>
  <si>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</si>
  <si>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</si>
  <si>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</si>
  <si>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</si>
  <si>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</si>
  <si>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</si>
  <si>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</si>
  <si>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</si>
  <si>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</si>
  <si>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</si>
  <si>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</si>
  <si>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</si>
  <si>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</si>
  <si>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</si>
  <si>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</si>
  <si>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</si>
  <si>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</si>
  <si>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</si>
  <si>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</si>
  <si>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</si>
  <si>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</si>
  <si>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</si>
  <si>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</si>
  <si>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</si>
  <si>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</si>
  <si>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</si>
  <si>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</si>
  <si>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</si>
  <si>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</si>
  <si>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</si>
  <si>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</si>
  <si>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</si>
  <si>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</si>
  <si>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</si>
  <si>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</si>
  <si>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</si>
  <si>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</si>
  <si>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</si>
  <si>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</si>
  <si>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</si>
  <si>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</si>
  <si>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</si>
  <si>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</si>
  <si>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</si>
  <si>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</si>
  <si>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</si>
  <si>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</si>
  <si>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</si>
  <si>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</si>
  <si>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</si>
  <si>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</si>
  <si>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</si>
  <si>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</si>
  <si>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</si>
  <si>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</si>
  <si>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</si>
  <si>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</si>
  <si>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</si>
  <si>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</si>
  <si>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E322</t>
  </si>
  <si>
    <t>Bartello</t>
  </si>
  <si>
    <t>ke</t>
  </si>
  <si>
    <t>1605 front door key</t>
  </si>
  <si>
    <t>E315</t>
  </si>
  <si>
    <t>Fendius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</si>
</sst>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41422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45016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45017</v>
      </c>
      <c r="L3" s="52"/>
      <c r="M3" s="52"/>
      <c r="N3" s="84">
        <f ca="1">TODAY()</f>
        <v>41422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41422</v>
      </c>
      <c r="B4" s="44" t="str">
        <f t="shared" ref="B4:B31" si="5">IF(C4="","",B3)</f>
        <v>0554</v>
      </c>
      <c r="C4" s="23" t="s">
        <v>45018</v>
      </c>
      <c r="D4" s="60" t="str">
        <f t="shared" si="0"/>
        <v>01</v>
      </c>
      <c r="E4" s="45" t="s">
        <v>45019</v>
      </c>
      <c r="F4" s="31" t="s">
        <v>37888</v>
      </c>
      <c r="G4" s="56">
        <v>25</v>
      </c>
      <c r="H4" s="21" t="s">
        <v>45016</v>
      </c>
      <c r="I4" s="24" t="str">
        <f t="shared" si="1"/>
        <v>4130</v>
      </c>
      <c r="J4" s="46" t="str">
        <f t="shared" si="2"/>
        <v>Key Fee</v>
      </c>
      <c r="K4" s="25" t="s">
        <v>45017</v>
      </c>
      <c r="L4" s="52"/>
      <c r="M4" s="52"/>
      <c r="N4" s="84">
        <f ca="1">N3+60</f>
        <v>41482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E322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41422</v>
      </c>
      <c r="F2" s="12" t="str">
        <f>'Billing Adjustment'!K3</f>
        <v>1605 front door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E315</v>
      </c>
      <c r="C3" s="3" t="str">
        <f>'Billing Adjustment'!D4</f>
        <v>01</v>
      </c>
      <c r="D3" t="str">
        <f>'Billing Adjustment'!H4</f>
        <v>ke</v>
      </c>
      <c r="E3" s="59">
        <f>'Billing Adjustment'!A4</f>
        <v>41422</v>
      </c>
      <c r="F3" s="12" t="str">
        <f>'Billing Adjustment'!K4</f>
        <v>1605 front door key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2013-05-28T14:44:02Z</dcterms:modified>
</cp:coreProperties>
</file>